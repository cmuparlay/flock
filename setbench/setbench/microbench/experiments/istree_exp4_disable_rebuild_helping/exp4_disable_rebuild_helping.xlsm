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setbench\microbench\experiments\istree_exp4_disable_rebuild_helping\"/>
    </mc:Choice>
  </mc:AlternateContent>
  <bookViews>
    <workbookView xWindow="0" yWindow="0" windowWidth="28054" windowHeight="11811" activeTab="2"/>
  </bookViews>
  <sheets>
    <sheet name="instructions" sheetId="3" r:id="rId1"/>
    <sheet name="data" sheetId="2" r:id="rId2"/>
    <sheet name="pivot" sheetId="1" r:id="rId3"/>
  </sheets>
  <functionGroups builtInGroupCount="18"/>
  <definedNames>
    <definedName name="ExternalData_11" localSheetId="1">data!$A$1:$AP$1950</definedName>
    <definedName name="ExternalData_12" localSheetId="1">data!$A$1:$AT$406</definedName>
    <definedName name="ExternalData_13" localSheetId="1">data!$A$1:$AU$321</definedName>
    <definedName name="ExternalData_14" localSheetId="1">data!$A$1:$AV$641</definedName>
    <definedName name="ExternalData_15" localSheetId="1">data!$A$1:$BB$55</definedName>
    <definedName name="ExternalData_16" localSheetId="1">data!$A$1:$BB$55</definedName>
    <definedName name="ExternalData_17" localSheetId="1">data!$A$1:$BE$73</definedName>
  </definedNames>
  <calcPr calcId="162913"/>
  <pivotCaches>
    <pivotCache cacheId="8" r:id="rId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0" i="1" l="1"/>
  <c r="B30" i="1"/>
  <c r="C30" i="1"/>
  <c r="A31" i="1"/>
  <c r="B31" i="1"/>
  <c r="C31" i="1"/>
  <c r="A32" i="1"/>
  <c r="B32" i="1"/>
  <c r="C32" i="1"/>
  <c r="BF3" i="2"/>
  <c r="BF4" i="2"/>
  <c r="BF5" i="2"/>
  <c r="BF6" i="2"/>
  <c r="BF7" i="2"/>
  <c r="BF8" i="2"/>
  <c r="BF9" i="2"/>
  <c r="BF10" i="2"/>
  <c r="BF11" i="2"/>
  <c r="BF12" i="2"/>
  <c r="BF13" i="2"/>
  <c r="BF14" i="2"/>
  <c r="BF15" i="2"/>
  <c r="BF16" i="2"/>
  <c r="BF17" i="2"/>
  <c r="BF18" i="2"/>
  <c r="BF19" i="2"/>
  <c r="BF20" i="2"/>
  <c r="BF21" i="2"/>
  <c r="BF22" i="2"/>
  <c r="BF23" i="2"/>
  <c r="BF24" i="2"/>
  <c r="BF25" i="2"/>
  <c r="BF26" i="2"/>
  <c r="BF27" i="2"/>
  <c r="BF28" i="2"/>
  <c r="BF29" i="2"/>
  <c r="BF30" i="2"/>
  <c r="BF31" i="2"/>
  <c r="BF32" i="2"/>
  <c r="BF33" i="2"/>
  <c r="BF34" i="2"/>
  <c r="BF35" i="2"/>
  <c r="BF36" i="2"/>
  <c r="BF37" i="2"/>
  <c r="BF38" i="2"/>
  <c r="BF39" i="2"/>
  <c r="BF40" i="2"/>
  <c r="BF41" i="2"/>
  <c r="BF42" i="2"/>
  <c r="BF43" i="2"/>
  <c r="BF44" i="2"/>
  <c r="BF45" i="2"/>
  <c r="BF46" i="2"/>
  <c r="BF47" i="2"/>
  <c r="BF48" i="2"/>
  <c r="BF49" i="2"/>
  <c r="BF50" i="2"/>
  <c r="BF51" i="2"/>
  <c r="BF52" i="2"/>
  <c r="BF53" i="2"/>
  <c r="BF54" i="2"/>
  <c r="BF55" i="2"/>
  <c r="BF56" i="2"/>
  <c r="BF57" i="2"/>
  <c r="BF58" i="2"/>
  <c r="BF59" i="2"/>
  <c r="BF60" i="2"/>
  <c r="BF61" i="2"/>
  <c r="BF62" i="2"/>
  <c r="BF63" i="2"/>
  <c r="BF64" i="2"/>
  <c r="BF65" i="2"/>
  <c r="BF66" i="2"/>
  <c r="BF67" i="2"/>
  <c r="BF68" i="2"/>
  <c r="BF69" i="2"/>
  <c r="BF70" i="2"/>
  <c r="BF71" i="2"/>
  <c r="BF72" i="2"/>
  <c r="BF73" i="2"/>
  <c r="BF2" i="2"/>
  <c r="A26" i="1" l="1"/>
  <c r="B26" i="1"/>
  <c r="C26" i="1"/>
  <c r="A27" i="1"/>
  <c r="B27" i="1"/>
  <c r="C27" i="1"/>
  <c r="A28" i="1"/>
  <c r="B28" i="1"/>
  <c r="C28" i="1"/>
  <c r="A29" i="1"/>
  <c r="B29" i="1"/>
  <c r="C29" i="1"/>
  <c r="A24" i="1" l="1"/>
  <c r="B24" i="1"/>
  <c r="C24" i="1"/>
  <c r="A25" i="1"/>
  <c r="B25" i="1"/>
  <c r="C25" i="1"/>
  <c r="A23" i="1" l="1"/>
  <c r="A22" i="1"/>
  <c r="A21" i="1"/>
  <c r="C23" i="1"/>
  <c r="B23" i="1"/>
  <c r="C22" i="1"/>
  <c r="B22" i="1"/>
  <c r="C21" i="1"/>
  <c r="B21" i="1"/>
</calcChain>
</file>

<file path=xl/connections.xml><?xml version="1.0" encoding="utf-8"?>
<connections xmlns="http://schemas.openxmlformats.org/spreadsheetml/2006/main">
  <connection id="1" name="Connection" type="6" refreshedVersion="6" deleted="1" background="1" saveData="1">
    <textPr sourceFile="C:\Users\t35brown\Documents\bitbucket\setbench\microbench\experiments\istree_scaling_threads\data_filtered.csv" comma="1">
      <textFields>
        <textField/>
      </textFields>
    </textPr>
  </connection>
  <connection id="2" name="Connection1" type="6" refreshedVersion="6" deleted="1" background="1" saveData="1">
    <textPr sourceFile="C:\Users\t35brown\Documents\bitbucket\setbench\microbench\experiments\istree_scaling_threads\scaling_threads.csv" comma="1">
      <textFields>
        <textField/>
      </textFields>
    </textPr>
  </connection>
  <connection id="3" name="Connection2" type="6" refreshedVersion="6" deleted="1" background="1" saveData="1">
    <textPr sourceFile="C:\Users\t35brown\Documents\bitbucket\setbench\microbench\experiments\istree_scaling_threads\scaling_threads.csv" comma="1">
      <textFields>
        <textField/>
      </textFields>
    </textPr>
  </connection>
  <connection id="4" name="Connection3" type="6" refreshedVersion="6" deleted="1" background="1" saveData="1">
    <textPr sourceFile="C:\Users\t35brown\Documents\bitbucket\setbench\microbench\experiments\istree_exp4_disable_rebuild_helping\disable_rebuild_helping.csv" comma="1">
      <textFields>
        <textField/>
      </textFields>
    </textPr>
  </connection>
  <connection id="5" name="Connection4" type="6" refreshedVersion="6" deleted="1" background="1" saveData="1">
    <textPr sourceFile="C:\Users\t35brown\Documents\bitbucket\setbench\microbench\experiments\istree_exp4_disable_rebuild_helping\istree_exp4_disable_rebuild_helping.csv" comma="1">
      <textFields>
        <textField/>
      </textFields>
    </textPr>
  </connection>
  <connection id="6" name="Connection5" type="6" refreshedVersion="6" deleted="1" background="1" saveData="1">
    <textPr sourceFile="C:\Users\t35brown\Documents\bitbucket\setbench\microbench\experiments\istree_exp4_disable_rebuild_helping\istree_exp4_disable_rebuild_helping.csv" comma="1">
      <textFields>
        <textField/>
      </textFields>
    </textPr>
  </connection>
  <connection id="7" name="Connection7" type="6" refreshedVersion="5" deleted="1"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<sst xmlns="http://schemas.openxmlformats.org/spreadsheetml/2006/main" count="744" uniqueCount="311">
  <si>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</si>
  <si>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</si>
  <si>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</si>
  <si>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</si>
  <si>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</si>
  <si>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</si>
  <si>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</si>
  <si>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</si>
  <si>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</si>
  <si>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</si>
  <si>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</si>
  <si>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</si>
  <si>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</si>
  <si>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</si>
  <si>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</si>
  <si>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</si>
  <si>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</si>
  <si>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</si>
  <si>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</si>
  <si>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</si>
  <si>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</si>
  <si>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</si>
  <si>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</si>
  <si>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</si>
  <si>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</si>
  <si>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</si>
  <si>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</si>
  <si>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</si>
  <si>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</si>
  <si>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</si>
  <si>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</si>
  <si>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</si>
  <si>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</si>
  <si>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</si>
  <si>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</si>
  <si>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</si>
  <si>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</si>
  <si>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</si>
  <si>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</si>
  <si>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</si>
  <si>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</si>
  <si>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</si>
  <si>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</si>
  <si>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</si>
  <si>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</si>
  <si>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</si>
  <si>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</si>
  <si>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</si>
  <si>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</si>
  <si>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</si>
  <si>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</si>
  <si>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</si>
  <si>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</si>
  <si>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</si>
  <si>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</si>
  <si>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</si>
  <si>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</si>
  <si>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</si>
  <si>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</si>
  <si>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</si>
  <si>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</si>
  <si>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</si>
  <si>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Average of total_throughput</t>
  </si>
  <si>
    <t>reclaimer_debra</t>
  </si>
  <si>
    <t>exp</t>
  </si>
  <si>
    <t>B2</t>
  </si>
  <si>
    <t>threads_final_keysum</t>
  </si>
  <si>
    <t>threads_final_size</t>
  </si>
  <si>
    <t>final_size</t>
  </si>
  <si>
    <t>validate_result</t>
  </si>
  <si>
    <t>success</t>
  </si>
  <si>
    <t>maxresident_mb</t>
  </si>
  <si>
    <t>prefill_elapsed_ms</t>
  </si>
  <si>
    <t>tree_stats_sizeInBytes</t>
  </si>
  <si>
    <t>sum_num_try_rebuild_at_depth_by_index</t>
  </si>
  <si>
    <t>sum_num_complete_rebuild_at_depth_by_index</t>
  </si>
  <si>
    <t>sum_num_help_subtree_total</t>
  </si>
  <si>
    <t>first_thread_announced_epoch_by_index</t>
  </si>
  <si>
    <t>PAPI_RES_STL</t>
  </si>
  <si>
    <t>brown_ext_ist_lf_disabled</t>
  </si>
  <si>
    <t>brown_ext_ist_lf_enabled</t>
  </si>
  <si>
    <t>sequential rebuild</t>
  </si>
  <si>
    <t>collaborative rebuild</t>
  </si>
  <si>
    <t>u=40% k=2x10^8</t>
  </si>
  <si>
    <t>u=40% k=2x10^7</t>
  </si>
  <si>
    <t>u=40% k=2x10^6</t>
  </si>
  <si>
    <t>u=10% k=2x10^8</t>
  </si>
  <si>
    <t>u=10% k=2x10^7</t>
  </si>
  <si>
    <t>u=10% k=2x10^6</t>
  </si>
  <si>
    <t>u=1% k=2x10^8</t>
  </si>
  <si>
    <t>u=1% k=2x10^7</t>
  </si>
  <si>
    <t>u=1% k=2x10^6</t>
  </si>
  <si>
    <t>istree_exp4_disable_rebuild_helping/step10001.txt</t>
  </si>
  <si>
    <t>istree_exp4_disable_rebuild_helping/step10002.txt</t>
  </si>
  <si>
    <t>istree_exp4_disable_rebuild_helping/step10003.txt</t>
  </si>
  <si>
    <t>istree_exp4_disable_rebuild_helping/step10004.txt</t>
  </si>
  <si>
    <t>istree_exp4_disable_rebuild_helping/step10005.txt</t>
  </si>
  <si>
    <t>istree_exp4_disable_rebuild_helping/step10006.txt</t>
  </si>
  <si>
    <t>istree_exp4_disable_rebuild_helping/step10007.txt</t>
  </si>
  <si>
    <t>istree_exp4_disable_rebuild_helping/step10008.txt</t>
  </si>
  <si>
    <t>istree_exp4_disable_rebuild_helping/step10009.txt</t>
  </si>
  <si>
    <t>istree_exp4_disable_rebuild_helping/step10010.txt</t>
  </si>
  <si>
    <t>istree_exp4_disable_rebuild_helping/step10011.txt</t>
  </si>
  <si>
    <t>istree_exp4_disable_rebuild_helping/step10012.txt</t>
  </si>
  <si>
    <t>istree_exp4_disable_rebuild_helping/step10013.txt</t>
  </si>
  <si>
    <t>istree_exp4_disable_rebuild_helping/step10014.txt</t>
  </si>
  <si>
    <t>istree_exp4_disable_rebuild_helping/step10015.txt</t>
  </si>
  <si>
    <t>istree_exp4_disable_rebuild_helping/step10016.txt</t>
  </si>
  <si>
    <t>istree_exp4_disable_rebuild_helping/step10017.txt</t>
  </si>
  <si>
    <t>istree_exp4_disable_rebuild_helping/step10018.txt</t>
  </si>
  <si>
    <t>istree_exp4_disable_rebuild_helping/step10019.txt</t>
  </si>
  <si>
    <t>istree_exp4_disable_rebuild_helping/step10020.txt</t>
  </si>
  <si>
    <t>istree_exp4_disable_rebuild_helping/step10021.txt</t>
  </si>
  <si>
    <t>istree_exp4_disable_rebuild_helping/step10022.txt</t>
  </si>
  <si>
    <t>istree_exp4_disable_rebuild_helping/step10023.txt</t>
  </si>
  <si>
    <t>istree_exp4_disable_rebuild_helping/step10024.txt</t>
  </si>
  <si>
    <t>istree_exp4_disable_rebuild_helping/step10025.txt</t>
  </si>
  <si>
    <t>istree_exp4_disable_rebuild_helping/step10026.txt</t>
  </si>
  <si>
    <t>istree_exp4_disable_rebuild_helping/step10027.txt</t>
  </si>
  <si>
    <t>istree_exp4_disable_rebuild_helping/step10028.txt</t>
  </si>
  <si>
    <t>istree_exp4_disable_rebuild_helping/step10029.txt</t>
  </si>
  <si>
    <t>istree_exp4_disable_rebuild_helping/step10030.txt</t>
  </si>
  <si>
    <t>istree_exp4_disable_rebuild_helping/step10031.txt</t>
  </si>
  <si>
    <t>istree_exp4_disable_rebuild_helping/step10032.txt</t>
  </si>
  <si>
    <t>istree_exp4_disable_rebuild_helping/step10033.txt</t>
  </si>
  <si>
    <t>istree_exp4_disable_rebuild_helping/step10034.txt</t>
  </si>
  <si>
    <t>istree_exp4_disable_rebuild_helping/step10035.txt</t>
  </si>
  <si>
    <t>istree_exp4_disable_rebuild_helping/step10036.txt</t>
  </si>
  <si>
    <t>istree_exp4_disable_rebuild_helping/step10037.txt</t>
  </si>
  <si>
    <t>istree_exp4_disable_rebuild_helping/step10038.txt</t>
  </si>
  <si>
    <t>istree_exp4_disable_rebuild_helping/step10039.txt</t>
  </si>
  <si>
    <t>istree_exp4_disable_rebuild_helping/step10040.txt</t>
  </si>
  <si>
    <t>istree_exp4_disable_rebuild_helping/step10041.txt</t>
  </si>
  <si>
    <t>istree_exp4_disable_rebuild_helping/step10042.txt</t>
  </si>
  <si>
    <t>istree_exp4_disable_rebuild_helping/step10043.txt</t>
  </si>
  <si>
    <t>istree_exp4_disable_rebuild_helping/step10044.txt</t>
  </si>
  <si>
    <t>istree_exp4_disable_rebuild_helping/step10045.txt</t>
  </si>
  <si>
    <t>istree_exp4_disable_rebuild_helping/step10046.txt</t>
  </si>
  <si>
    <t>istree_exp4_disable_rebuild_helping/step10047.txt</t>
  </si>
  <si>
    <t>istree_exp4_disable_rebuild_helping/step10048.txt</t>
  </si>
  <si>
    <t>istree_exp4_disable_rebuild_helping/step10049.txt</t>
  </si>
  <si>
    <t>istree_exp4_disable_rebuild_helping/step10050.txt</t>
  </si>
  <si>
    <t>istree_exp4_disable_rebuild_helping/step10051.txt</t>
  </si>
  <si>
    <t>istree_exp4_disable_rebuild_helping/step10052.txt</t>
  </si>
  <si>
    <t>istree_exp4_disable_rebuild_helping/step10053.txt</t>
  </si>
  <si>
    <t>istree_exp4_disable_rebuild_helping/step10054.txt</t>
  </si>
  <si>
    <t>sum_duration_all_ops_total</t>
  </si>
  <si>
    <t>sum_duration_markAndCount_total</t>
  </si>
  <si>
    <t>sum_duration_wastedWorkBuilding_total</t>
  </si>
  <si>
    <t>sum_duration_buildAndReplace_total</t>
  </si>
  <si>
    <t>sum_duration_rotateAndFree_total</t>
  </si>
  <si>
    <t>sum_duration_traverseAndRetire_total</t>
  </si>
  <si>
    <t>404 839960 408995 3355056</t>
  </si>
  <si>
    <t>358 839169 408730 3355005</t>
  </si>
  <si>
    <t>20 66421 558959 14015848 35167</t>
  </si>
  <si>
    <t>20 66419 558919 14015807 35167</t>
  </si>
  <si>
    <t>1 16918 678384 7728055 1307307</t>
  </si>
  <si>
    <t>1 16918 678379 7728053 1307307</t>
  </si>
  <si>
    <t>0 0 0 605032 793544</t>
  </si>
  <si>
    <t>1534 1955092 950065 7806856</t>
  </si>
  <si>
    <t>832 1944269 946805 7806118</t>
  </si>
  <si>
    <t>49 117040 987922 24758501 62175</t>
  </si>
  <si>
    <t>37 117031 987694 24758074 62175</t>
  </si>
  <si>
    <t>6 37949 1372715 15508827 2641399</t>
  </si>
  <si>
    <t>3 37948 1372686 15508798 2641398</t>
  </si>
  <si>
    <t>1 31602 2150502 33463237 9431239</t>
  </si>
  <si>
    <t>1 31602 2150489 33463229 9431239</t>
  </si>
  <si>
    <t>1460 1675669 815242 6683149</t>
  </si>
  <si>
    <t>713 1664537 810727 6682132</t>
  </si>
  <si>
    <t>78 123363 1039127 26096864 65806</t>
  </si>
  <si>
    <t>39 123349 1038776 26096180 65805</t>
  </si>
  <si>
    <t>10 39540 1376587 15528178 2647072</t>
  </si>
  <si>
    <t>3 39536 1376527 15528114 2647065</t>
  </si>
  <si>
    <t>1 31588 2149855 33459446 9434609</t>
  </si>
  <si>
    <t>1 31584 2149825 33459423 9434609</t>
  </si>
  <si>
    <t>398 832472 403768 3327357</t>
  </si>
  <si>
    <t>354 831752 403501 3327299</t>
  </si>
  <si>
    <t>23 63256 533659 13453430 33865</t>
  </si>
  <si>
    <t>20 63256 533628 13453388 33865</t>
  </si>
  <si>
    <t>1 18606 685896 7742785 1309776</t>
  </si>
  <si>
    <t>1 18605 685892 7742784 1309776</t>
  </si>
  <si>
    <t>0 0 0 604111 792656</t>
  </si>
  <si>
    <t>1523 1975620 958735 7883612</t>
  </si>
  <si>
    <t>841 1964656 955303 7882828</t>
  </si>
  <si>
    <t>49 122037 1035685 25956553 65408</t>
  </si>
  <si>
    <t>38 122028 1035469 25956122 65407</t>
  </si>
  <si>
    <t>3 38257 1371231 15511806 2640125</t>
  </si>
  <si>
    <t>3 38256 1371202 15511786 2640125</t>
  </si>
  <si>
    <t>1 31590 2149284 33461176 9428926</t>
  </si>
  <si>
    <t>1 31587 2149268 33461168 9428926</t>
  </si>
  <si>
    <t>1462 1664287 809828 6632170</t>
  </si>
  <si>
    <t>708 1653393 805339 6631164</t>
  </si>
  <si>
    <t>99 120208 1014597 25435495 63797</t>
  </si>
  <si>
    <t>38 120198 1014262 25434745 63797</t>
  </si>
  <si>
    <t>5 38448 1373602 15515449 2641673</t>
  </si>
  <si>
    <t>3 38447 1373565 15515396 2641669</t>
  </si>
  <si>
    <t>5 31587 2148985 33468865 9432455</t>
  </si>
  <si>
    <t>1 31586 2148968 33468839 9432453</t>
  </si>
  <si>
    <t>392 832962 404802 3328957</t>
  </si>
  <si>
    <t>354 832177 404516 3328891</t>
  </si>
  <si>
    <t>21 66425 559018 14021378 34899</t>
  </si>
  <si>
    <t>20 66424 558973 14021352 34899</t>
  </si>
  <si>
    <t>2 17144 679807 7725963 1308193</t>
  </si>
  <si>
    <t>1 17144 679803 7725961 1308193</t>
  </si>
  <si>
    <t>0 0 0 609513 795448</t>
  </si>
  <si>
    <t>1495 1905357 923853 7602010</t>
  </si>
  <si>
    <t>811 1895038 920594 7601318</t>
  </si>
  <si>
    <t>60 123356 1037472 26092684 65314</t>
  </si>
  <si>
    <t>39 123345 1037300 26092274 65313</t>
  </si>
  <si>
    <t>5 37637 1368894 15505356 2639523</t>
  </si>
  <si>
    <t>3 37637 1368868 15505320 2639520</t>
  </si>
  <si>
    <t>2 31597 2148537 33462785 9432185</t>
  </si>
  <si>
    <t>1 31597 2148520 33462775 9432185</t>
  </si>
  <si>
    <t>1506 1688789 821603 6737013</t>
  </si>
  <si>
    <t>719 1677614 817103 6735976</t>
  </si>
  <si>
    <t>85 120217 1012103 25432910 63650</t>
  </si>
  <si>
    <t>38 120198 1011730 25432197 63648</t>
  </si>
  <si>
    <t>10 36963 1367921 15498045 2640177</t>
  </si>
  <si>
    <t>3 36960 1367876 15497995 2640167</t>
  </si>
  <si>
    <t>1 31594 2149624 33458139 9432466</t>
  </si>
  <si>
    <t>1 31591 2149592 33458113 9432466</t>
  </si>
  <si>
    <t>543 1181596 575267 4723108</t>
  </si>
  <si>
    <t>503 1180576 574902 4723042</t>
  </si>
  <si>
    <t>30 94890 799661 20066166 50599</t>
  </si>
  <si>
    <t>29 94887 799609 20066111 50599</t>
  </si>
  <si>
    <t>2 19997 688153 8132286 1477287</t>
  </si>
  <si>
    <t>2 19997 688145 8132281 1477287</t>
  </si>
  <si>
    <t>0 0 0 604380 792146</t>
  </si>
  <si>
    <t>5526 6899862 3354053 27547154</t>
  </si>
  <si>
    <t>2937 6857790 3340622 27544413</t>
  </si>
  <si>
    <t>376 695902 5867046 147207612 369423</t>
  </si>
  <si>
    <t>220 695778 5864553 147204917 369420</t>
  </si>
  <si>
    <t>28 159988 5701220 65580231 11239150</t>
  </si>
  <si>
    <t>16 159979 5700995 65580071 11239129</t>
  </si>
  <si>
    <t>1 31598 2148546 36838686 11750262</t>
  </si>
  <si>
    <t>1 31597 2148531 36838683 11750262</t>
  </si>
  <si>
    <t>14071 10896387 5299111 43452889</t>
  </si>
  <si>
    <t>4634 10780070 5260897 43444837</t>
  </si>
  <si>
    <t>1772 1474371 12427535 311862447 782758</t>
  </si>
  <si>
    <t>466 1473885 12416732 311847582 782746</t>
  </si>
  <si>
    <t>144 399933 13759979 155453696 26629178</t>
  </si>
  <si>
    <t>39 399891 13758745 155452701 26629118</t>
  </si>
  <si>
    <t>19 94756 6449082 109831789 32611255</t>
  </si>
  <si>
    <t>3 94750 6449001 109831724 32611251</t>
  </si>
  <si>
    <t>563 1195226 579268 4773028</t>
  </si>
  <si>
    <t>509 1194151 578905 4772947</t>
  </si>
  <si>
    <t>33 94894 801092 20098914 50841</t>
  </si>
  <si>
    <t>30 94894 801040 20098861 50841</t>
  </si>
  <si>
    <t>2 19997 688895 8136851 1477502</t>
  </si>
  <si>
    <t>2 19997 688894 8136845 1477502</t>
  </si>
  <si>
    <t>0 0 0 601108 790805</t>
  </si>
  <si>
    <t>5510 6897128 3352915 27542655</t>
  </si>
  <si>
    <t>2937 6855368 3339609 27540003</t>
  </si>
  <si>
    <t>381 695955 5865494 147445564 370434</t>
  </si>
  <si>
    <t>220 695848 5863108 147442931 370433</t>
  </si>
  <si>
    <t>istree_exp4_disable_rebuild_helping/step10055.txt</t>
  </si>
  <si>
    <t>26 159968 5653750 65385531 11213039</t>
  </si>
  <si>
    <t>16 159965 5653484 65385372 11213019</t>
  </si>
  <si>
    <t>istree_exp4_disable_rebuild_helping/step10056.txt</t>
  </si>
  <si>
    <t>2 31584 2150453 36814994 11747075</t>
  </si>
  <si>
    <t>1 31584 2150437 36814989 11747075</t>
  </si>
  <si>
    <t>istree_exp4_disable_rebuild_helping/step10057.txt</t>
  </si>
  <si>
    <t>14103 10933460 5316152 43619427</t>
  </si>
  <si>
    <t>4650 10815865 5277852 43611487</t>
  </si>
  <si>
    <t>istree_exp4_disable_rebuild_helping/step10058.txt</t>
  </si>
  <si>
    <t>1762 1471184 12408654 311378302 781784</t>
  </si>
  <si>
    <t>465 1470687 12398058 311363397 781768</t>
  </si>
  <si>
    <t>istree_exp4_disable_rebuild_helping/step10059.txt</t>
  </si>
  <si>
    <t>156 399951 13767542 155455394 26638462</t>
  </si>
  <si>
    <t>40 399909 13766207 155454471 26638398</t>
  </si>
  <si>
    <t>istree_exp4_disable_rebuild_helping/step10060.txt</t>
  </si>
  <si>
    <t>16 94772 6447952 110466692 32786585</t>
  </si>
  <si>
    <t>3 94762 6447867 110466608 32786578</t>
  </si>
  <si>
    <t>istree_exp4_disable_rebuild_helping/step10061.txt</t>
  </si>
  <si>
    <t>564 1190950 578518 4760077</t>
  </si>
  <si>
    <t>507 1189873 578139 4760006</t>
  </si>
  <si>
    <t>istree_exp4_disable_rebuild_helping/step10062.txt</t>
  </si>
  <si>
    <t>33 94883 799445 20121809 50063</t>
  </si>
  <si>
    <t>30 94882 799385 20121763 50063</t>
  </si>
  <si>
    <t>istree_exp4_disable_rebuild_helping/step10063.txt</t>
  </si>
  <si>
    <t>2 19992 687472 8139789 1478742</t>
  </si>
  <si>
    <t>2 19992 687469 8139788 1478742</t>
  </si>
  <si>
    <t>istree_exp4_disable_rebuild_helping/step10064.txt</t>
  </si>
  <si>
    <t>0 0 0 599091 790322</t>
  </si>
  <si>
    <t>istree_exp4_disable_rebuild_helping/step10065.txt</t>
  </si>
  <si>
    <t>5593 6882295 3344548 27478016</t>
  </si>
  <si>
    <t>2930 6840825 3331169 27475337</t>
  </si>
  <si>
    <t>istree_exp4_disable_rebuild_helping/step10066.txt</t>
  </si>
  <si>
    <t>373 695956 5868188 147164532 370564</t>
  </si>
  <si>
    <t>219 695845 5865715 147161826 370559</t>
  </si>
  <si>
    <t>istree_exp4_disable_rebuild_helping/step10067.txt</t>
  </si>
  <si>
    <t>34 160263 5751491 65762994 11261769</t>
  </si>
  <si>
    <t>16 160254 5751205 65762841 11261754</t>
  </si>
  <si>
    <t>istree_exp4_disable_rebuild_helping/step10068.txt</t>
  </si>
  <si>
    <t>1 31590 2149317 37046502 11837768</t>
  </si>
  <si>
    <t>1 31590 2149298 37046490 11837768</t>
  </si>
  <si>
    <t>istree_exp4_disable_rebuild_helping/step10069.txt</t>
  </si>
  <si>
    <t>14227 10908813 5297850 43513177</t>
  </si>
  <si>
    <t>4640 10791734 5259640 43505078</t>
  </si>
  <si>
    <t>istree_exp4_disable_rebuild_helping/step10070.txt</t>
  </si>
  <si>
    <t>1733 1471360 12418273 311599484 782026</t>
  </si>
  <si>
    <t>465 1470862 12407699 311584792 782012</t>
  </si>
  <si>
    <t>istree_exp4_disable_rebuild_helping/step10071.txt</t>
  </si>
  <si>
    <t>154 389935 13429337 151599038 25982688</t>
  </si>
  <si>
    <t>39 389892 13428135 151598139 25982633</t>
  </si>
  <si>
    <t>istree_exp4_disable_rebuild_helping/step10072.txt</t>
  </si>
  <si>
    <t>16 94772 6447367 110616686 32821521</t>
  </si>
  <si>
    <t>3 94764 6447291 110616610 32821517</t>
  </si>
  <si>
    <t>u=1% k=2x10^9</t>
  </si>
  <si>
    <t>u=10% k=2x10^9</t>
  </si>
  <si>
    <t>u=40% k=2x10^9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</si>
</sst>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cellXfs>
  <cellStyles count="1">
    <cellStyle name="Normal" xfId="0" builtinId="0"/>
  </cellStyles>
  <dxfs count="10">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AFAFA"/>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r>
              <a:rPr lang="en-US" sz="4000"/>
              <a:t>190 threads</a:t>
            </a:r>
          </a:p>
        </c:rich>
      </c:tx>
      <c:layout>
        <c:manualLayout>
          <c:xMode val="edge"/>
          <c:yMode val="edge"/>
          <c:x val="9.0924861259534473E-2"/>
          <c:y val="0.82816734417344173"/>
        </c:manualLayout>
      </c:layout>
      <c:overlay val="1"/>
      <c:spPr>
        <a:noFill/>
        <a:ln w="12700">
          <a:solidFill>
            <a:schemeClr val="bg1"/>
          </a:solid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35125816308342173"/>
          <c:y val="2.0968809419867753E-2"/>
          <c:w val="0.53349405446360842"/>
          <c:h val="0.77297546457607436"/>
        </c:manualLayout>
      </c:layout>
      <c:barChart>
        <c:barDir val="bar"/>
        <c:grouping val="clustered"/>
        <c:varyColors val="0"/>
        <c:ser>
          <c:idx val="2"/>
          <c:order val="0"/>
          <c:tx>
            <c:strRef>
              <c:f>pivot!$B$20</c:f>
              <c:strCache>
                <c:ptCount val="1"/>
                <c:pt idx="0">
                  <c:v>sequential rebuild</c:v>
                </c:pt>
              </c:strCache>
            </c:strRef>
          </c:tx>
          <c:spPr>
            <a:solidFill>
              <a:schemeClr val="accent3"/>
            </a:solidFill>
            <a:ln>
              <a:noFill/>
            </a:ln>
            <a:effectLst/>
          </c:spPr>
          <c:invertIfNegative val="0"/>
          <c:cat>
            <c:strRef>
              <c:f>pivot!$A$21:$A$32</c:f>
              <c:strCache>
                <c:ptCount val="12"/>
                <c:pt idx="0">
                  <c:v>u=40% k=2x10^9</c:v>
                </c:pt>
                <c:pt idx="1">
                  <c:v>u=40% k=2x10^8</c:v>
                </c:pt>
                <c:pt idx="2">
                  <c:v>u=40% k=2x10^7</c:v>
                </c:pt>
                <c:pt idx="3">
                  <c:v>u=40% k=2x10^6</c:v>
                </c:pt>
                <c:pt idx="4">
                  <c:v>u=10% k=2x10^9</c:v>
                </c:pt>
                <c:pt idx="5">
                  <c:v>u=10% k=2x10^8</c:v>
                </c:pt>
                <c:pt idx="6">
                  <c:v>u=10% k=2x10^7</c:v>
                </c:pt>
                <c:pt idx="7">
                  <c:v>u=10% k=2x10^6</c:v>
                </c:pt>
                <c:pt idx="8">
                  <c:v>u=1% k=2x10^9</c:v>
                </c:pt>
                <c:pt idx="9">
                  <c:v>u=1% k=2x10^8</c:v>
                </c:pt>
                <c:pt idx="10">
                  <c:v>u=1% k=2x10^7</c:v>
                </c:pt>
                <c:pt idx="11">
                  <c:v>u=1% k=2x10^6</c:v>
                </c:pt>
              </c:strCache>
            </c:strRef>
          </c:cat>
          <c:val>
            <c:numRef>
              <c:f>pivot!$B$21:$B$32</c:f>
              <c:numCache>
                <c:formatCode>0</c:formatCode>
                <c:ptCount val="12"/>
                <c:pt idx="0">
                  <c:v>20833924.333333332</c:v>
                </c:pt>
                <c:pt idx="1">
                  <c:v>8201474.333333333</c:v>
                </c:pt>
                <c:pt idx="2">
                  <c:v>7987038.666666667</c:v>
                </c:pt>
                <c:pt idx="3">
                  <c:v>14845361.333333334</c:v>
                </c:pt>
                <c:pt idx="4">
                  <c:v>83334201.333333328</c:v>
                </c:pt>
                <c:pt idx="5">
                  <c:v>32751076.666666668</c:v>
                </c:pt>
                <c:pt idx="6">
                  <c:v>31868253</c:v>
                </c:pt>
                <c:pt idx="7">
                  <c:v>68943024</c:v>
                </c:pt>
                <c:pt idx="8">
                  <c:v>145513769.66666666</c:v>
                </c:pt>
                <c:pt idx="9">
                  <c:v>160606290.33333334</c:v>
                </c:pt>
                <c:pt idx="10">
                  <c:v>172508973</c:v>
                </c:pt>
                <c:pt idx="11">
                  <c:v>296242582.33333331</c:v>
                </c:pt>
              </c:numCache>
            </c:numRef>
          </c:val>
          <c:extLst>
            <c:ext xmlns:c16="http://schemas.microsoft.com/office/drawing/2014/chart" uri="{C3380CC4-5D6E-409C-BE32-E72D297353CC}">
              <c16:uniqueId val="{00000000-2CD0-447C-8E06-4DA7A6D936F5}"/>
            </c:ext>
          </c:extLst>
        </c:ser>
        <c:ser>
          <c:idx val="0"/>
          <c:order val="1"/>
          <c:tx>
            <c:strRef>
              <c:f>pivot!$C$20</c:f>
              <c:strCache>
                <c:ptCount val="1"/>
                <c:pt idx="0">
                  <c:v>collaborative rebuild</c:v>
                </c:pt>
              </c:strCache>
            </c:strRef>
          </c:tx>
          <c:spPr>
            <a:solidFill>
              <a:schemeClr val="accent1"/>
            </a:solidFill>
            <a:ln w="76200">
              <a:noFill/>
            </a:ln>
            <a:effectLst/>
          </c:spPr>
          <c:invertIfNegative val="0"/>
          <c:cat>
            <c:strRef>
              <c:f>pivot!$A$21:$A$32</c:f>
              <c:strCache>
                <c:ptCount val="12"/>
                <c:pt idx="0">
                  <c:v>u=40% k=2x10^9</c:v>
                </c:pt>
                <c:pt idx="1">
                  <c:v>u=40% k=2x10^8</c:v>
                </c:pt>
                <c:pt idx="2">
                  <c:v>u=40% k=2x10^7</c:v>
                </c:pt>
                <c:pt idx="3">
                  <c:v>u=40% k=2x10^6</c:v>
                </c:pt>
                <c:pt idx="4">
                  <c:v>u=10% k=2x10^9</c:v>
                </c:pt>
                <c:pt idx="5">
                  <c:v>u=10% k=2x10^8</c:v>
                </c:pt>
                <c:pt idx="6">
                  <c:v>u=10% k=2x10^7</c:v>
                </c:pt>
                <c:pt idx="7">
                  <c:v>u=10% k=2x10^6</c:v>
                </c:pt>
                <c:pt idx="8">
                  <c:v>u=1% k=2x10^9</c:v>
                </c:pt>
                <c:pt idx="9">
                  <c:v>u=1% k=2x10^8</c:v>
                </c:pt>
                <c:pt idx="10">
                  <c:v>u=1% k=2x10^7</c:v>
                </c:pt>
                <c:pt idx="11">
                  <c:v>u=1% k=2x10^6</c:v>
                </c:pt>
              </c:strCache>
            </c:strRef>
          </c:cat>
          <c:val>
            <c:numRef>
              <c:f>pivot!$C$21:$C$32</c:f>
              <c:numCache>
                <c:formatCode>0</c:formatCode>
                <c:ptCount val="12"/>
                <c:pt idx="0">
                  <c:v>73030755</c:v>
                </c:pt>
                <c:pt idx="1">
                  <c:v>82669118</c:v>
                </c:pt>
                <c:pt idx="2">
                  <c:v>97007604</c:v>
                </c:pt>
                <c:pt idx="3">
                  <c:v>96601393.666666672</c:v>
                </c:pt>
                <c:pt idx="4">
                  <c:v>110766010.66666667</c:v>
                </c:pt>
                <c:pt idx="5">
                  <c:v>140140543</c:v>
                </c:pt>
                <c:pt idx="6">
                  <c:v>183407620.33333334</c:v>
                </c:pt>
                <c:pt idx="7">
                  <c:v>244319224</c:v>
                </c:pt>
                <c:pt idx="8">
                  <c:v>145190895</c:v>
                </c:pt>
                <c:pt idx="9">
                  <c:v>189829132.33333334</c:v>
                </c:pt>
                <c:pt idx="10">
                  <c:v>250678484.66666666</c:v>
                </c:pt>
                <c:pt idx="11">
                  <c:v>421984946</c:v>
                </c:pt>
              </c:numCache>
            </c:numRef>
          </c:val>
          <c:extLst>
            <c:ext xmlns:c16="http://schemas.microsoft.com/office/drawing/2014/chart" uri="{C3380CC4-5D6E-409C-BE32-E72D297353CC}">
              <c16:uniqueId val="{00000001-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l"/>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25400" cap="flat" cmpd="sng" algn="ctr">
              <a:solidFill>
                <a:schemeClr val="bg2">
                  <a:lumMod val="9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microsecond</a:t>
                </a:r>
                <a:endParaRPr lang="en-US" sz="4000">
                  <a:solidFill>
                    <a:schemeClr val="bg1"/>
                  </a:solidFill>
                </a:endParaRPr>
              </a:p>
            </c:rich>
          </c:tx>
          <c:layout>
            <c:manualLayout>
              <c:xMode val="edge"/>
              <c:yMode val="edge"/>
              <c:x val="0.40533162547319124"/>
              <c:y val="0.90482868757258994"/>
            </c:manualLayout>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majorUnit val="100000000"/>
        <c:minorUnit val="50000000"/>
        <c:dispUnits>
          <c:builtInUnit val="millions"/>
        </c:dispUnits>
      </c:valAx>
      <c:spPr>
        <a:solidFill>
          <a:srgbClr val="FFFFFF"/>
        </a:solidFill>
        <a:ln w="38100">
          <a:solidFill>
            <a:schemeClr val="bg1"/>
          </a:solidFill>
        </a:ln>
        <a:effectLst/>
      </c:spPr>
    </c:plotArea>
    <c:legend>
      <c:legendPos val="tr"/>
      <c:layout>
        <c:manualLayout>
          <c:xMode val="edge"/>
          <c:yMode val="edge"/>
          <c:x val="0.47920321898270485"/>
          <c:y val="0.60362454026325973"/>
          <c:w val="0.39676660490812066"/>
          <c:h val="0.17688403039864578"/>
        </c:manualLayout>
      </c:layout>
      <c:overlay val="1"/>
      <c:spPr>
        <a:solidFill>
          <a:srgbClr val="FFFFFF"/>
        </a:solidFill>
        <a:ln w="12700">
          <a:solidFill>
            <a:schemeClr val="bg1"/>
          </a:solid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210911</xdr:colOff>
      <xdr:row>0</xdr:row>
      <xdr:rowOff>0</xdr:rowOff>
    </xdr:from>
    <xdr:to>
      <xdr:col>48</xdr:col>
      <xdr:colOff>95249</xdr:colOff>
      <xdr:row>52</xdr:row>
      <xdr:rowOff>81642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34.574608796298" createdVersion="6" refreshedVersion="6" minRefreshableVersion="3" recordCount="73">
  <cacheSource type="worksheet">
    <worksheetSource ref="A1:BF1048576" sheet="data"/>
  </cacheSource>
  <cacheFields count="58">
    <cacheField name="filename" numFmtId="0">
      <sharedItems containsBlank="1"/>
    </cacheField>
    <cacheField name="DS_TYPENAME" numFmtId="0">
      <sharedItems containsBlank="1" count="3">
        <s v="brown_ext_ist_lf_disabled"/>
        <s v="brown_ext_ist_lf_enabled"/>
        <m/>
      </sharedItems>
    </cacheField>
    <cacheField name="size_node" numFmtId="0">
      <sharedItems containsString="0" containsBlank="1" containsNumber="1" containsInteger="1" minValue="72" maxValue="72"/>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60000" maxValue="60000"/>
    </cacheField>
    <cacheField name="INS" numFmtId="0">
      <sharedItems containsString="0" containsBlank="1" containsNumber="1" minValue="0.5" maxValue="20"/>
    </cacheField>
    <cacheField name="DEL" numFmtId="0">
      <sharedItems containsString="0" containsBlank="1" containsNumber="1" minValue="0.5"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0"/>
    </cacheField>
    <cacheField name="PREFILL_THREADS" numFmtId="0">
      <sharedItems containsString="0" containsBlank="1" containsNumber="1" containsInteger="1" minValue="190" maxValue="190"/>
    </cacheField>
    <cacheField name="TOTAL_THREADS" numFmtId="0">
      <sharedItems containsString="0" containsBlank="1" containsNumber="1" containsInteger="1" minValue="190" maxValue="190"/>
    </cacheField>
    <cacheField name="WORK_THREADS" numFmtId="0">
      <sharedItems containsString="0" containsBlank="1" containsNumber="1" containsInteger="1" minValue="190"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7825331023" maxValue="1.00004017048037E+18"/>
    </cacheField>
    <cacheField name="threads_final_size" numFmtId="0">
      <sharedItems containsString="0" containsBlank="1" containsNumber="1" containsInteger="1" minValue="998135" maxValue="1000045103"/>
    </cacheField>
    <cacheField name="final_keysum" numFmtId="0">
      <sharedItems containsString="0" containsBlank="1" containsNumber="1" containsInteger="1" minValue="997825331023" maxValue="1.00004017048037E+18"/>
    </cacheField>
    <cacheField name="final_size" numFmtId="0">
      <sharedItems containsString="0" containsBlank="1" containsNumber="1" containsInteger="1" minValue="998135" maxValue="1000045103"/>
    </cacheField>
    <cacheField name="validate_result" numFmtId="0">
      <sharedItems containsBlank="1"/>
    </cacheField>
    <cacheField name="tree_stats_height" numFmtId="0">
      <sharedItems containsString="0" containsBlank="1" containsNumber="1" containsInteger="1" minValue="6" maxValue="7"/>
    </cacheField>
    <cacheField name="tree_stats_numInternals" numFmtId="0">
      <sharedItems containsString="0" containsBlank="1" containsNumber="1" containsInteger="1" minValue="33053" maxValue="124967086"/>
    </cacheField>
    <cacheField name="tree_stats_numLeaves" numFmtId="0">
      <sharedItems containsString="0" containsBlank="1" containsNumber="1" containsInteger="1" minValue="1031874" maxValue="1163019476"/>
    </cacheField>
    <cacheField name="tree_stats_numNodes" numFmtId="0">
      <sharedItems containsString="0" containsBlank="1" containsNumber="1" containsInteger="1" minValue="1064927" maxValue="1287986562"/>
    </cacheField>
    <cacheField name="tree_stats_numKeys" numFmtId="0">
      <sharedItems containsString="0" containsBlank="1" containsNumber="1" containsInteger="1" minValue="998135" maxValue="1000045103"/>
    </cacheField>
    <cacheField name="tree_stats_avgDegreeInternal" numFmtId="0">
      <sharedItems containsString="0" containsBlank="1" containsNumber="1" minValue="7.3324100000000003" maxValue="32.231900000000003"/>
    </cacheField>
    <cacheField name="tree_stats_avgDegreeLeaves" numFmtId="0">
      <sharedItems containsString="0" containsBlank="1" containsNumber="1" minValue="0.83219100000000001" maxValue="0.96891400000000005"/>
    </cacheField>
    <cacheField name="tree_stats_avgKeyDepth" numFmtId="0">
      <sharedItems containsString="0" containsBlank="1" containsNumber="1" minValue="3.0000800000000001" maxValue="4.08561"/>
    </cacheField>
    <cacheField name="tree_stats_sizeInBytes" numFmtId="0">
      <sharedItems containsString="0" containsBlank="1" containsNumber="1" containsInteger="1" minValue="19154208" maxValue="28656788208"/>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8969" maxValue="48468303"/>
    </cacheField>
    <cacheField name="first_thread_announced_epoch_by_index" numFmtId="0">
      <sharedItems containsString="0" containsBlank="1" containsNumber="1" containsInteger="1" minValue="7738" maxValue="175496"/>
    </cacheField>
    <cacheField name="sum_duration_all_ops_total" numFmtId="0">
      <sharedItems containsNonDate="0" containsString="0" containsBlank="1"/>
    </cacheField>
    <cacheField name="sum_duration_markAndCount_total" numFmtId="0">
      <sharedItems containsNonDate="0" containsString="0" containsBlank="1"/>
    </cacheField>
    <cacheField name="sum_duration_wastedWorkBuilding_total" numFmtId="0">
      <sharedItems containsNonDate="0" containsString="0" containsBlank="1"/>
    </cacheField>
    <cacheField name="sum_duration_buildAndReplace_total" numFmtId="0">
      <sharedItems containsNonDate="0" containsString="0" containsBlank="1"/>
    </cacheField>
    <cacheField name="sum_duration_rotateAndFree_total" numFmtId="0">
      <sharedItems containsNonDate="0" containsString="0" containsBlank="1"/>
    </cacheField>
    <cacheField name="sum_duration_traverseAndRetire_total" numFmtId="0">
      <sharedItems containsNonDate="0" containsString="0" containsBlank="1"/>
    </cacheField>
    <cacheField name="total_find" numFmtId="0">
      <sharedItems containsString="0" containsBlank="1" containsNumber="1" containsInteger="1" minValue="285000073" maxValue="25178024466"/>
    </cacheField>
    <cacheField name="total_rq" numFmtId="0">
      <sharedItems containsString="0" containsBlank="1" containsNumber="1" containsInteger="1" minValue="0" maxValue="0"/>
    </cacheField>
    <cacheField name="total_updates" numFmtId="0">
      <sharedItems containsString="0" containsBlank="1" containsNumber="1" containsInteger="1" minValue="86981573" maxValue="2330215456"/>
    </cacheField>
    <cacheField name="total_queries" numFmtId="0">
      <sharedItems containsString="0" containsBlank="1" containsNumber="1" containsInteger="1" minValue="285000073" maxValue="25178024466"/>
    </cacheField>
    <cacheField name="total_ops" numFmtId="0">
      <sharedItems containsString="0" containsBlank="1" containsNumber="1" containsInteger="1" minValue="475008843" maxValue="25432347914"/>
    </cacheField>
    <cacheField name="find_throughput" numFmtId="0">
      <sharedItems containsString="0" containsBlank="1" containsNumber="1" containsInteger="1" minValue="4750001" maxValue="419633741"/>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1449692" maxValue="38836924"/>
    </cacheField>
    <cacheField name="query_throughput" numFmtId="0">
      <sharedItems containsString="0" containsBlank="1" containsNumber="1" containsInteger="1" minValue="4750001" maxValue="419633741"/>
    </cacheField>
    <cacheField name="total_throughput" numFmtId="0">
      <sharedItems containsString="0" containsBlank="1" containsNumber="1" containsInteger="1" minValue="7916814" maxValue="423872465"/>
    </cacheField>
    <cacheField name="PAPI_L2_TCM" numFmtId="0">
      <sharedItems containsString="0" containsBlank="1" containsNumber="1" minValue="8.5275200000000009" maxValue="33.074599999999997"/>
    </cacheField>
    <cacheField name="PAPI_L3_TCM" numFmtId="0">
      <sharedItems containsString="0" containsBlank="1" containsNumber="1" minValue="0.39284400000000003" maxValue="21.525700000000001"/>
    </cacheField>
    <cacheField name="PAPI_TOT_CYC" numFmtId="0">
      <sharedItems containsString="0" containsBlank="1" containsNumber="1" minValue="1233.6600000000001" maxValue="52987.4"/>
    </cacheField>
    <cacheField name="PAPI_RES_STL" numFmtId="0">
      <sharedItems containsString="0" containsBlank="1" containsNumber="1" minValue="409.858" maxValue="4947.6099999999997"/>
    </cacheField>
    <cacheField name="maxresident_mb" numFmtId="0">
      <sharedItems containsString="0" containsBlank="1" containsNumber="1" containsInteger="1" minValue="1433" maxValue="121937"/>
    </cacheField>
    <cacheField name="prefill_elapsed_ms" numFmtId="0">
      <sharedItems containsString="0" containsBlank="1" containsNumber="1" containsInteger="1" minValue="218" maxValue="9835"/>
    </cacheField>
    <cacheField name="exp" numFmtId="0">
      <sharedItems containsBlank="1" count="13">
        <s v="u=1% k=2x10^6"/>
        <s v="u=1% k=2x10^7"/>
        <s v="u=1% k=2x10^8"/>
        <s v="u=1% k=2x10^9"/>
        <s v="u=10% k=2x10^6"/>
        <s v="u=10% k=2x10^7"/>
        <s v="u=10% k=2x10^8"/>
        <s v="u=10% k=2x10^9"/>
        <s v="u=40% k=2x10^6"/>
        <s v="u=40% k=2x10^7"/>
        <s v="u=40% k=2x10^8"/>
        <s v="u=40% k=2x10^9"/>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3">
  <r>
    <s v="istree_exp4_disable_rebuild_helping/step10001.txt"/>
    <x v="0"/>
    <n v="72"/>
    <s v="reclaimer_debra"/>
    <s v="allocator_new"/>
    <s v="pool_none"/>
    <n v="60000"/>
    <n v="0.5"/>
    <n v="0.5"/>
    <n v="0"/>
    <n v="1"/>
    <n v="2000000"/>
    <n v="190"/>
    <n v="190"/>
    <n v="190"/>
    <n v="0"/>
    <s v="insertIfAbsent"/>
    <n v="1000374343650"/>
    <n v="1000332"/>
    <n v="1000374343650"/>
    <n v="1000332"/>
    <s v="success"/>
    <n v="6"/>
    <n v="33076"/>
    <n v="1032449"/>
    <n v="1065525"/>
    <n v="1000332"/>
    <n v="32.214399999999998"/>
    <n v="0.96889199999999998"/>
    <n v="3.0000800000000001"/>
    <n v="19165248"/>
    <s v="404 839960 408995 3355056"/>
    <s v="358 839169 408730 3355005"/>
    <m/>
    <n v="122320"/>
    <m/>
    <m/>
    <m/>
    <m/>
    <m/>
    <m/>
    <n v="17694314315"/>
    <n v="0"/>
    <n v="178746064"/>
    <n v="17694314315"/>
    <n v="17873060379"/>
    <n v="294905238"/>
    <n v="0"/>
    <n v="2979101"/>
    <n v="294905238"/>
    <n v="297884339"/>
    <n v="8.5275200000000009"/>
    <n v="0.39318900000000001"/>
    <n v="1745.68"/>
    <n v="409.858"/>
    <n v="2833"/>
    <n v="291"/>
    <x v="0"/>
  </r>
  <r>
    <s v="istree_exp4_disable_rebuild_helping/step10002.txt"/>
    <x v="0"/>
    <n v="72"/>
    <s v="reclaimer_debra"/>
    <s v="allocator_new"/>
    <s v="pool_none"/>
    <n v="60000"/>
    <n v="0.5"/>
    <n v="0.5"/>
    <n v="0"/>
    <n v="1"/>
    <n v="20000000"/>
    <n v="190"/>
    <n v="190"/>
    <n v="190"/>
    <n v="0"/>
    <s v="insertIfAbsent"/>
    <n v="99993474445718"/>
    <n v="9997061"/>
    <n v="99993474445718"/>
    <n v="9997061"/>
    <s v="success"/>
    <n v="7"/>
    <n v="1804536"/>
    <n v="11810561"/>
    <n v="13615097"/>
    <n v="9997061"/>
    <n v="7.5449299999999999"/>
    <n v="0.84645099999999995"/>
    <n v="4.03667"/>
    <n v="333336464"/>
    <s v="20 66421 558959 14015848 35167"/>
    <s v="20 66419 558919 14015807 35167"/>
    <m/>
    <n v="63844"/>
    <m/>
    <m/>
    <m/>
    <m/>
    <m/>
    <m/>
    <n v="10369126682"/>
    <n v="0"/>
    <n v="104726313"/>
    <n v="10369126682"/>
    <n v="10473852995"/>
    <n v="172818778"/>
    <n v="0"/>
    <n v="1745438"/>
    <n v="172818778"/>
    <n v="174564216"/>
    <n v="16.074400000000001"/>
    <n v="6.5980800000000004"/>
    <n v="2991.13"/>
    <n v="1248.52"/>
    <n v="3761"/>
    <n v="353"/>
    <x v="1"/>
  </r>
  <r>
    <s v="istree_exp4_disable_rebuild_helping/step10003.txt"/>
    <x v="0"/>
    <n v="72"/>
    <s v="reclaimer_debra"/>
    <s v="allocator_new"/>
    <s v="pool_none"/>
    <n v="60000"/>
    <n v="0.5"/>
    <n v="0.5"/>
    <n v="0"/>
    <n v="1"/>
    <n v="200000000"/>
    <n v="190"/>
    <n v="190"/>
    <n v="190"/>
    <n v="0"/>
    <s v="insertIfAbsent"/>
    <n v="9999747247632900"/>
    <n v="99994890"/>
    <n v="9999747247632900"/>
    <n v="99994890"/>
    <s v="success"/>
    <n v="7"/>
    <n v="12333924"/>
    <n v="112676703"/>
    <n v="125010627"/>
    <n v="99994890"/>
    <n v="10.1355"/>
    <n v="0.88744999999999996"/>
    <n v="4.02555"/>
    <n v="2790691152"/>
    <s v="1 16918 678384 7728055 1307307"/>
    <s v="1 16918 678379 7728053 1307307"/>
    <m/>
    <n v="57524"/>
    <m/>
    <m/>
    <m/>
    <m/>
    <m/>
    <m/>
    <n v="9514724228"/>
    <n v="0"/>
    <n v="96095474"/>
    <n v="9514724228"/>
    <n v="9610819702"/>
    <n v="158578737"/>
    <n v="0"/>
    <n v="1601591"/>
    <n v="158578737"/>
    <n v="160180328"/>
    <n v="19.365100000000002"/>
    <n v="9.6334300000000006"/>
    <n v="3200.82"/>
    <n v="1969.94"/>
    <n v="13578"/>
    <n v="1075"/>
    <x v="2"/>
  </r>
  <r>
    <s v="istree_exp4_disable_rebuild_helping/step10004.txt"/>
    <x v="0"/>
    <n v="72"/>
    <s v="reclaimer_debra"/>
    <s v="allocator_new"/>
    <s v="pool_none"/>
    <n v="60000"/>
    <n v="0.5"/>
    <n v="0.5"/>
    <n v="0"/>
    <n v="1"/>
    <n v="2000000000"/>
    <n v="190"/>
    <n v="190"/>
    <n v="190"/>
    <n v="0"/>
    <s v="insertIfAbsent"/>
    <n v="9.9998628553984499E+17"/>
    <n v="1000001833"/>
    <n v="9.9998628553984499E+17"/>
    <n v="1000001833"/>
    <s v="success"/>
    <n v="7"/>
    <n v="104127951"/>
    <n v="1118619474"/>
    <n v="1222747425"/>
    <n v="1000001833"/>
    <n v="11.742699999999999"/>
    <n v="0.89396100000000001"/>
    <n v="4.0404"/>
    <n v="26239752736"/>
    <s v="0 0 0 605032 793544"/>
    <s v="0 0 0 605032 793544"/>
    <m/>
    <n v="51266"/>
    <m/>
    <m/>
    <m/>
    <m/>
    <m/>
    <m/>
    <n v="8639154346"/>
    <n v="0"/>
    <n v="87264300"/>
    <n v="8639154346"/>
    <n v="8726418646"/>
    <n v="143985905"/>
    <n v="0"/>
    <n v="1454405"/>
    <n v="143985905"/>
    <n v="145440310"/>
    <n v="22.166499999999999"/>
    <n v="14.135"/>
    <n v="3635.65"/>
    <n v="2892.62"/>
    <n v="62229"/>
    <n v="9090"/>
    <x v="3"/>
  </r>
  <r>
    <s v="istree_exp4_disable_rebuild_helping/step10005.txt"/>
    <x v="0"/>
    <n v="72"/>
    <s v="reclaimer_debra"/>
    <s v="allocator_new"/>
    <s v="pool_none"/>
    <n v="60000"/>
    <n v="5"/>
    <n v="5"/>
    <n v="0"/>
    <n v="1"/>
    <n v="2000000"/>
    <n v="190"/>
    <n v="190"/>
    <n v="190"/>
    <n v="0"/>
    <s v="insertIfAbsent"/>
    <n v="1000315287261"/>
    <n v="1000355"/>
    <n v="1000315287261"/>
    <n v="1000355"/>
    <s v="success"/>
    <n v="6"/>
    <n v="55144"/>
    <n v="1077038"/>
    <n v="1132182"/>
    <n v="1000355"/>
    <n v="20.531400000000001"/>
    <n v="0.92880200000000002"/>
    <n v="3.0463100000000001"/>
    <n v="21666416"/>
    <s v="1534 1955092 950065 7806856"/>
    <s v="832 1944269 946805 7806118"/>
    <m/>
    <n v="36714"/>
    <m/>
    <m/>
    <m/>
    <m/>
    <m/>
    <m/>
    <n v="3742858941"/>
    <n v="0"/>
    <n v="415847410"/>
    <n v="3742858941"/>
    <n v="4158706351"/>
    <n v="62380982"/>
    <n v="0"/>
    <n v="6930790"/>
    <n v="62380982"/>
    <n v="69311772"/>
    <n v="11.536099999999999"/>
    <n v="2.7991799999999998"/>
    <n v="7439.94"/>
    <n v="1119.56"/>
    <n v="3177"/>
    <n v="318"/>
    <x v="4"/>
  </r>
  <r>
    <s v="istree_exp4_disable_rebuild_helping/step10006.txt"/>
    <x v="0"/>
    <n v="72"/>
    <s v="reclaimer_debra"/>
    <s v="allocator_new"/>
    <s v="pool_none"/>
    <n v="60000"/>
    <n v="5"/>
    <n v="5"/>
    <n v="0"/>
    <n v="1"/>
    <n v="20000000"/>
    <n v="190"/>
    <n v="190"/>
    <n v="190"/>
    <n v="0"/>
    <s v="insertIfAbsent"/>
    <n v="99963530440149"/>
    <n v="9996346"/>
    <n v="99963530440149"/>
    <n v="9996346"/>
    <s v="success"/>
    <n v="7"/>
    <n v="1625312"/>
    <n v="11438302"/>
    <n v="13063614"/>
    <n v="9996346"/>
    <n v="8.0375999999999994"/>
    <n v="0.87393600000000005"/>
    <n v="4.0000099999999996"/>
    <n v="313037776"/>
    <s v="49 117040 987922 24758501 62175"/>
    <s v="37 117031 987694 24758074 62175"/>
    <m/>
    <n v="21020"/>
    <m/>
    <m/>
    <m/>
    <m/>
    <m/>
    <m/>
    <n v="1664782402"/>
    <n v="0"/>
    <n v="185001021"/>
    <n v="1664782402"/>
    <n v="1849783423"/>
    <n v="27746373"/>
    <n v="0"/>
    <n v="3083350"/>
    <n v="27746373"/>
    <n v="30829723"/>
    <n v="18.5458"/>
    <n v="8.2350899999999996"/>
    <n v="14436.9"/>
    <n v="1647.3"/>
    <n v="4961"/>
    <n v="456"/>
    <x v="5"/>
  </r>
  <r>
    <s v="istree_exp4_disable_rebuild_helping/step10007.txt"/>
    <x v="0"/>
    <n v="72"/>
    <s v="reclaimer_debra"/>
    <s v="allocator_new"/>
    <s v="pool_none"/>
    <n v="60000"/>
    <n v="5"/>
    <n v="5"/>
    <n v="0"/>
    <n v="1"/>
    <n v="200000000"/>
    <n v="190"/>
    <n v="190"/>
    <n v="190"/>
    <n v="0"/>
    <s v="insertIfAbsent"/>
    <n v="1.00005983352156E+16"/>
    <n v="100004527"/>
    <n v="1.00005983352156E+16"/>
    <n v="100004527"/>
    <s v="success"/>
    <n v="7"/>
    <n v="12067291"/>
    <n v="112118647"/>
    <n v="124185938"/>
    <n v="100004527"/>
    <n v="10.2911"/>
    <n v="0.891953"/>
    <n v="4.0201399999999996"/>
    <n v="2760075280"/>
    <s v="6 37949 1372715 15508827 2641399"/>
    <s v="3 37948 1372686 15508798 2641398"/>
    <m/>
    <n v="28258"/>
    <m/>
    <m/>
    <m/>
    <m/>
    <m/>
    <m/>
    <n v="1768709378"/>
    <n v="0"/>
    <n v="196514954"/>
    <n v="1768709378"/>
    <n v="1965224332"/>
    <n v="29478489"/>
    <n v="0"/>
    <n v="3275249"/>
    <n v="29478489"/>
    <n v="32753738"/>
    <n v="22.136600000000001"/>
    <n v="11.054399999999999"/>
    <n v="10705.2"/>
    <n v="2331.15"/>
    <n v="17110"/>
    <n v="1236"/>
    <x v="6"/>
  </r>
  <r>
    <s v="istree_exp4_disable_rebuild_helping/step10008.txt"/>
    <x v="0"/>
    <n v="72"/>
    <s v="reclaimer_debra"/>
    <s v="allocator_new"/>
    <s v="pool_none"/>
    <n v="60000"/>
    <n v="5"/>
    <n v="5"/>
    <n v="0"/>
    <n v="1"/>
    <n v="2000000000"/>
    <n v="190"/>
    <n v="190"/>
    <n v="190"/>
    <n v="0"/>
    <s v="insertIfAbsent"/>
    <n v="9.9999734538253299E+17"/>
    <n v="999995804"/>
    <n v="9.9999734538253299E+17"/>
    <n v="999995804"/>
    <s v="success"/>
    <n v="7"/>
    <n v="84465084"/>
    <n v="1078800420"/>
    <n v="1163265504"/>
    <n v="999995804"/>
    <n v="13.7721"/>
    <n v="0.926952"/>
    <n v="4"/>
    <n v="24018013424"/>
    <s v="1 31602 2150502 33463237 9431239"/>
    <s v="1 31602 2150489 33463229 9431239"/>
    <m/>
    <n v="28512"/>
    <m/>
    <m/>
    <m/>
    <m/>
    <m/>
    <m/>
    <n v="4500149459"/>
    <n v="0"/>
    <n v="500003455"/>
    <n v="4500149459"/>
    <n v="5000152914"/>
    <n v="75002490"/>
    <n v="0"/>
    <n v="8333390"/>
    <n v="75002490"/>
    <n v="83335881"/>
    <n v="25.1798"/>
    <n v="16.023299999999999"/>
    <n v="11657.3"/>
    <n v="3625.65"/>
    <n v="105160"/>
    <n v="9047"/>
    <x v="7"/>
  </r>
  <r>
    <s v="istree_exp4_disable_rebuild_helping/step10009.txt"/>
    <x v="0"/>
    <n v="72"/>
    <s v="reclaimer_debra"/>
    <s v="allocator_new"/>
    <s v="pool_none"/>
    <n v="60000"/>
    <n v="20"/>
    <n v="20"/>
    <n v="0"/>
    <n v="1"/>
    <n v="2000000"/>
    <n v="190"/>
    <n v="190"/>
    <n v="190"/>
    <n v="0"/>
    <s v="insertIfAbsent"/>
    <n v="999535088430"/>
    <n v="999780"/>
    <n v="999535088430"/>
    <n v="999780"/>
    <s v="success"/>
    <n v="6"/>
    <n v="33053"/>
    <n v="1031874"/>
    <n v="1064927"/>
    <n v="999780"/>
    <n v="32.218800000000002"/>
    <n v="0.96889700000000001"/>
    <n v="3.0001000000000002"/>
    <n v="19154208"/>
    <s v="1460 1675669 815242 6683149"/>
    <s v="713 1664537 810727 6682132"/>
    <m/>
    <n v="10692"/>
    <m/>
    <m/>
    <m/>
    <m/>
    <m/>
    <m/>
    <n v="534201823"/>
    <n v="0"/>
    <n v="356130855"/>
    <n v="534201823"/>
    <n v="890332678"/>
    <n v="8903363"/>
    <n v="0"/>
    <n v="5935514"/>
    <n v="8903363"/>
    <n v="14838877"/>
    <n v="20.805800000000001"/>
    <n v="9.7455599999999993"/>
    <n v="34055.300000000003"/>
    <n v="3355.54"/>
    <n v="4104"/>
    <n v="298"/>
    <x v="8"/>
  </r>
  <r>
    <s v="istree_exp4_disable_rebuild_helping/step10010.txt"/>
    <x v="0"/>
    <n v="72"/>
    <s v="reclaimer_debra"/>
    <s v="allocator_new"/>
    <s v="pool_none"/>
    <n v="60000"/>
    <n v="20"/>
    <n v="20"/>
    <n v="0"/>
    <n v="1"/>
    <n v="20000000"/>
    <n v="190"/>
    <n v="190"/>
    <n v="190"/>
    <n v="0"/>
    <s v="insertIfAbsent"/>
    <n v="100031382029138"/>
    <n v="10002946"/>
    <n v="100031382029138"/>
    <n v="10002946"/>
    <s v="success"/>
    <n v="7"/>
    <n v="1625833"/>
    <n v="11445366"/>
    <n v="13071199"/>
    <n v="10002946"/>
    <n v="8.0396900000000002"/>
    <n v="0.873973"/>
    <n v="4.0000099999999996"/>
    <n v="313192480"/>
    <s v="78 123363 1039127 26096864 65806"/>
    <s v="39 123349 1038776 26096180 65805"/>
    <m/>
    <n v="11764"/>
    <m/>
    <m/>
    <m/>
    <m/>
    <m/>
    <m/>
    <n v="292475603"/>
    <n v="0"/>
    <n v="194988226"/>
    <n v="292475603"/>
    <n v="487463829"/>
    <n v="4874593"/>
    <n v="0"/>
    <n v="3249803"/>
    <n v="4874593"/>
    <n v="8124397"/>
    <n v="26.3142"/>
    <n v="13.8194"/>
    <n v="51507.9"/>
    <n v="2868.35"/>
    <n v="5581"/>
    <n v="436"/>
    <x v="9"/>
  </r>
  <r>
    <s v="istree_exp4_disable_rebuild_helping/step10011.txt"/>
    <x v="0"/>
    <n v="72"/>
    <s v="reclaimer_debra"/>
    <s v="allocator_new"/>
    <s v="pool_none"/>
    <n v="60000"/>
    <n v="20"/>
    <n v="20"/>
    <n v="0"/>
    <n v="1"/>
    <n v="200000000"/>
    <n v="190"/>
    <n v="190"/>
    <n v="190"/>
    <n v="0"/>
    <s v="insertIfAbsent"/>
    <n v="9999683452009170"/>
    <n v="100002242"/>
    <n v="9999683452009170"/>
    <n v="100002242"/>
    <s v="success"/>
    <n v="7"/>
    <n v="11776052"/>
    <n v="111490467"/>
    <n v="123266519"/>
    <n v="100002242"/>
    <n v="10.467599999999999"/>
    <n v="0.89695800000000003"/>
    <n v="4.0143000000000004"/>
    <n v="2726213776"/>
    <s v="10 39540 1376587 15528178 2647072"/>
    <s v="3 39536 1376527 15528114 2647065"/>
    <m/>
    <n v="14562"/>
    <m/>
    <m/>
    <m/>
    <m/>
    <m/>
    <m/>
    <n v="296483222"/>
    <n v="0"/>
    <n v="197663809"/>
    <n v="296483222"/>
    <n v="494147031"/>
    <n v="4941387"/>
    <n v="0"/>
    <n v="3294396"/>
    <n v="4941387"/>
    <n v="8235783"/>
    <n v="31.062799999999999"/>
    <n v="16.549299999999999"/>
    <n v="32973"/>
    <n v="3179.55"/>
    <n v="18048"/>
    <n v="1113"/>
    <x v="10"/>
  </r>
  <r>
    <s v="istree_exp4_disable_rebuild_helping/step10012.txt"/>
    <x v="0"/>
    <n v="72"/>
    <s v="reclaimer_debra"/>
    <s v="allocator_new"/>
    <s v="pool_none"/>
    <n v="60000"/>
    <n v="20"/>
    <n v="20"/>
    <n v="0"/>
    <n v="1"/>
    <n v="2000000000"/>
    <n v="190"/>
    <n v="190"/>
    <n v="190"/>
    <n v="0"/>
    <s v="insertIfAbsent"/>
    <n v="1.0000201691390799E+18"/>
    <n v="999997483"/>
    <n v="1.0000201691390799E+18"/>
    <n v="999997483"/>
    <s v="success"/>
    <n v="7"/>
    <n v="84465082"/>
    <n v="1078802095"/>
    <n v="1163267177"/>
    <n v="999997483"/>
    <n v="13.7722"/>
    <n v="0.926952"/>
    <n v="4"/>
    <n v="24018040064"/>
    <s v="1 31588 2149855 33459446 9434609"/>
    <s v="1 31584 2149825 33459423 9434609"/>
    <m/>
    <n v="7740"/>
    <m/>
    <m/>
    <m/>
    <m/>
    <m/>
    <m/>
    <n v="750113242"/>
    <n v="0"/>
    <n v="500035701"/>
    <n v="750113242"/>
    <n v="1250148943"/>
    <n v="12501887"/>
    <n v="0"/>
    <n v="8333928"/>
    <n v="12501887"/>
    <n v="20835815"/>
    <n v="32.751199999999997"/>
    <n v="20.9573"/>
    <n v="35562.400000000001"/>
    <n v="4662.05"/>
    <n v="121935"/>
    <n v="9059"/>
    <x v="11"/>
  </r>
  <r>
    <s v="istree_exp4_disable_rebuild_helping/step10013.txt"/>
    <x v="0"/>
    <n v="72"/>
    <s v="reclaimer_debra"/>
    <s v="allocator_new"/>
    <s v="pool_none"/>
    <n v="60000"/>
    <n v="0.5"/>
    <n v="0.5"/>
    <n v="0"/>
    <n v="1"/>
    <n v="2000000"/>
    <n v="190"/>
    <n v="190"/>
    <n v="190"/>
    <n v="0"/>
    <s v="insertIfAbsent"/>
    <n v="998724278202"/>
    <n v="999153"/>
    <n v="998724278202"/>
    <n v="999153"/>
    <s v="success"/>
    <n v="6"/>
    <n v="54097"/>
    <n v="1074323"/>
    <n v="1128420"/>
    <n v="999153"/>
    <n v="20.859200000000001"/>
    <n v="0.93003000000000002"/>
    <n v="3.0441199999999999"/>
    <n v="21537936"/>
    <s v="398 832472 403768 3327357"/>
    <s v="354 831752 403501 3327299"/>
    <m/>
    <n v="121170"/>
    <m/>
    <m/>
    <m/>
    <m/>
    <m/>
    <m/>
    <n v="17546310200"/>
    <n v="0"/>
    <n v="177233961"/>
    <n v="17546310200"/>
    <n v="17723544161"/>
    <n v="292438503"/>
    <n v="0"/>
    <n v="2953899"/>
    <n v="292438503"/>
    <n v="295392402"/>
    <n v="8.5347000000000008"/>
    <n v="0.39284400000000003"/>
    <n v="1757.87"/>
    <n v="413.92399999999998"/>
    <n v="2609"/>
    <n v="318"/>
    <x v="0"/>
  </r>
  <r>
    <s v="istree_exp4_disable_rebuild_helping/step10014.txt"/>
    <x v="0"/>
    <n v="72"/>
    <s v="reclaimer_debra"/>
    <s v="allocator_new"/>
    <s v="pool_none"/>
    <n v="60000"/>
    <n v="0.5"/>
    <n v="0.5"/>
    <n v="0"/>
    <n v="1"/>
    <n v="20000000"/>
    <n v="190"/>
    <n v="190"/>
    <n v="190"/>
    <n v="0"/>
    <s v="insertIfAbsent"/>
    <n v="100015895111156"/>
    <n v="10000048"/>
    <n v="100015895111156"/>
    <n v="10000048"/>
    <s v="success"/>
    <n v="7"/>
    <n v="1796485"/>
    <n v="11791042"/>
    <n v="13587527"/>
    <n v="10000048"/>
    <n v="7.5633999999999997"/>
    <n v="0.84810600000000003"/>
    <n v="4.03416"/>
    <n v="332378016"/>
    <s v="23 63256 533659 13453430 33865"/>
    <s v="20 63256 533628 13453388 33865"/>
    <m/>
    <n v="60796"/>
    <m/>
    <m/>
    <m/>
    <m/>
    <m/>
    <m/>
    <n v="9998103220"/>
    <n v="0"/>
    <n v="100986566"/>
    <n v="9998103220"/>
    <n v="10099089786"/>
    <n v="166635053"/>
    <n v="0"/>
    <n v="1683109"/>
    <n v="166635053"/>
    <n v="168318163"/>
    <n v="16.060500000000001"/>
    <n v="6.5972499999999998"/>
    <n v="3100.84"/>
    <n v="1246.79"/>
    <n v="3922"/>
    <n v="307"/>
    <x v="1"/>
  </r>
  <r>
    <s v="istree_exp4_disable_rebuild_helping/step10015.txt"/>
    <x v="0"/>
    <n v="72"/>
    <s v="reclaimer_debra"/>
    <s v="allocator_new"/>
    <s v="pool_none"/>
    <n v="60000"/>
    <n v="0.5"/>
    <n v="0.5"/>
    <n v="0"/>
    <n v="1"/>
    <n v="200000000"/>
    <n v="190"/>
    <n v="190"/>
    <n v="190"/>
    <n v="0"/>
    <s v="insertIfAbsent"/>
    <n v="9999076520853290"/>
    <n v="99993030"/>
    <n v="9999076520853290"/>
    <n v="99993030"/>
    <s v="success"/>
    <n v="7"/>
    <n v="11912612"/>
    <n v="111782286"/>
    <n v="123694898"/>
    <n v="99993030"/>
    <n v="10.3835"/>
    <n v="0.89453400000000005"/>
    <n v="4.0170500000000002"/>
    <n v="2742096112"/>
    <s v="1 18606 685896 7742785 1309776"/>
    <s v="1 18605 685892 7742784 1309776"/>
    <m/>
    <n v="59058"/>
    <m/>
    <m/>
    <m/>
    <m/>
    <m/>
    <m/>
    <n v="9584709213"/>
    <n v="0"/>
    <n v="96832094"/>
    <n v="9584709213"/>
    <n v="9681541307"/>
    <n v="159745153"/>
    <n v="0"/>
    <n v="1613868"/>
    <n v="159745153"/>
    <n v="161359021"/>
    <n v="19.380099999999999"/>
    <n v="9.6360499999999991"/>
    <n v="3120.51"/>
    <n v="1957.63"/>
    <n v="13527"/>
    <n v="1107"/>
    <x v="2"/>
  </r>
  <r>
    <s v="istree_exp4_disable_rebuild_helping/step10016.txt"/>
    <x v="0"/>
    <n v="72"/>
    <s v="reclaimer_debra"/>
    <s v="allocator_new"/>
    <s v="pool_none"/>
    <n v="60000"/>
    <n v="0.5"/>
    <n v="0.5"/>
    <n v="0"/>
    <n v="1"/>
    <n v="2000000000"/>
    <n v="190"/>
    <n v="190"/>
    <n v="190"/>
    <n v="0"/>
    <s v="insertIfAbsent"/>
    <n v="1.00000490640458E+18"/>
    <n v="999998345"/>
    <n v="1.00000490640458E+18"/>
    <n v="999998345"/>
    <s v="success"/>
    <n v="7"/>
    <n v="104115381"/>
    <n v="1118589655"/>
    <n v="1222705036"/>
    <n v="999998345"/>
    <n v="11.7438"/>
    <n v="0.89398100000000003"/>
    <n v="4.0403799999999999"/>
    <n v="26238363744"/>
    <s v="0 0 0 604111 792656"/>
    <s v="0 0 0 604111 792656"/>
    <m/>
    <n v="51454"/>
    <m/>
    <m/>
    <m/>
    <m/>
    <m/>
    <m/>
    <n v="8634366190"/>
    <n v="0"/>
    <n v="87208162"/>
    <n v="8634366190"/>
    <n v="8721574352"/>
    <n v="143906103"/>
    <n v="0"/>
    <n v="1453469"/>
    <n v="143906103"/>
    <n v="145359572"/>
    <n v="22.1526"/>
    <n v="14.1435"/>
    <n v="3637.16"/>
    <n v="2899.79"/>
    <n v="62227"/>
    <n v="8970"/>
    <x v="3"/>
  </r>
  <r>
    <s v="istree_exp4_disable_rebuild_helping/step10017.txt"/>
    <x v="0"/>
    <n v="72"/>
    <s v="reclaimer_debra"/>
    <s v="allocator_new"/>
    <s v="pool_none"/>
    <n v="60000"/>
    <n v="5"/>
    <n v="5"/>
    <n v="0"/>
    <n v="1"/>
    <n v="2000000"/>
    <n v="190"/>
    <n v="190"/>
    <n v="190"/>
    <n v="0"/>
    <s v="insertIfAbsent"/>
    <n v="1000653323563"/>
    <n v="1000386"/>
    <n v="1000653323563"/>
    <n v="1000386"/>
    <s v="success"/>
    <n v="6"/>
    <n v="33087"/>
    <n v="1032508"/>
    <n v="1065595"/>
    <n v="1000386"/>
    <n v="32.2059"/>
    <n v="0.968889"/>
    <n v="3.0001000000000002"/>
    <n v="19167072"/>
    <s v="1523 1975620 958735 7883612"/>
    <s v="841 1964656 955303 7882828"/>
    <m/>
    <n v="38044"/>
    <m/>
    <m/>
    <m/>
    <m/>
    <m/>
    <m/>
    <n v="3780183784"/>
    <n v="0"/>
    <n v="420055816"/>
    <n v="3780183784"/>
    <n v="4200239600"/>
    <n v="63003063"/>
    <n v="0"/>
    <n v="7000930"/>
    <n v="63003063"/>
    <n v="70003993"/>
    <n v="11.552099999999999"/>
    <n v="2.8009400000000002"/>
    <n v="7357.63"/>
    <n v="1119.4100000000001"/>
    <n v="3143"/>
    <n v="262"/>
    <x v="4"/>
  </r>
  <r>
    <s v="istree_exp4_disable_rebuild_helping/step10018.txt"/>
    <x v="0"/>
    <n v="72"/>
    <s v="reclaimer_debra"/>
    <s v="allocator_new"/>
    <s v="pool_none"/>
    <n v="60000"/>
    <n v="5"/>
    <n v="5"/>
    <n v="0"/>
    <n v="1"/>
    <n v="20000000"/>
    <n v="190"/>
    <n v="190"/>
    <n v="190"/>
    <n v="0"/>
    <s v="insertIfAbsent"/>
    <n v="99974433569551"/>
    <n v="9997085"/>
    <n v="99974433569551"/>
    <n v="9997085"/>
    <s v="success"/>
    <n v="7"/>
    <n v="1773731"/>
    <n v="11754487"/>
    <n v="13528218"/>
    <n v="9997085"/>
    <n v="7.6269799999999996"/>
    <n v="0.850491"/>
    <n v="4.0296900000000004"/>
    <n v="329990160"/>
    <s v="49 122037 1035685 25956553 65408"/>
    <s v="38 122028 1035469 25956122 65407"/>
    <m/>
    <n v="22256"/>
    <m/>
    <m/>
    <m/>
    <m/>
    <m/>
    <m/>
    <n v="1743107134"/>
    <n v="0"/>
    <n v="193663361"/>
    <n v="1743107134"/>
    <n v="1936770495"/>
    <n v="29051785"/>
    <n v="0"/>
    <n v="3227722"/>
    <n v="29051785"/>
    <n v="32279508"/>
    <n v="18.576899999999998"/>
    <n v="8.2346000000000004"/>
    <n v="13648.6"/>
    <n v="1689.2"/>
    <n v="4932"/>
    <n v="386"/>
    <x v="5"/>
  </r>
  <r>
    <s v="istree_exp4_disable_rebuild_helping/step10019.txt"/>
    <x v="0"/>
    <n v="72"/>
    <s v="reclaimer_debra"/>
    <s v="allocator_new"/>
    <s v="pool_none"/>
    <n v="60000"/>
    <n v="5"/>
    <n v="5"/>
    <n v="0"/>
    <n v="1"/>
    <n v="200000000"/>
    <n v="190"/>
    <n v="190"/>
    <n v="190"/>
    <n v="0"/>
    <s v="insertIfAbsent"/>
    <n v="1.00004514457505E+16"/>
    <n v="99998263"/>
    <n v="1.00004514457505E+16"/>
    <n v="99998263"/>
    <s v="success"/>
    <n v="7"/>
    <n v="11991560"/>
    <n v="111951369"/>
    <n v="123942929"/>
    <n v="99998263"/>
    <n v="10.335800000000001"/>
    <n v="0.89322900000000005"/>
    <n v="4.0186200000000003"/>
    <n v="2751231168"/>
    <s v="3 38257 1371231 15511806 2640125"/>
    <s v="3 38256 1371202 15511786 2640125"/>
    <m/>
    <n v="28694"/>
    <m/>
    <m/>
    <m/>
    <m/>
    <m/>
    <m/>
    <n v="1770054639"/>
    <n v="0"/>
    <n v="196675460"/>
    <n v="1770054639"/>
    <n v="1966730099"/>
    <n v="29500910"/>
    <n v="0"/>
    <n v="3277924"/>
    <n v="29500910"/>
    <n v="32778834"/>
    <n v="22.136900000000001"/>
    <n v="11.0741"/>
    <n v="10704.7"/>
    <n v="2327.46"/>
    <n v="18785"/>
    <n v="1132"/>
    <x v="6"/>
  </r>
  <r>
    <s v="istree_exp4_disable_rebuild_helping/step10020.txt"/>
    <x v="0"/>
    <n v="72"/>
    <s v="reclaimer_debra"/>
    <s v="allocator_new"/>
    <s v="pool_none"/>
    <n v="60000"/>
    <n v="5"/>
    <n v="5"/>
    <n v="0"/>
    <n v="1"/>
    <n v="2000000000"/>
    <n v="190"/>
    <n v="190"/>
    <n v="190"/>
    <n v="0"/>
    <s v="insertIfAbsent"/>
    <n v="9.9997442276715494E+17"/>
    <n v="999988094"/>
    <n v="9.9997442276715494E+17"/>
    <n v="999988094"/>
    <s v="success"/>
    <n v="7"/>
    <n v="84465071"/>
    <n v="1078792696"/>
    <n v="1163257767"/>
    <n v="999988094"/>
    <n v="13.7721"/>
    <n v="0.92695099999999997"/>
    <n v="4"/>
    <n v="24017888800"/>
    <s v="1 31590 2149284 33461176 9428926"/>
    <s v="1 31587 2149268 33461168 9428926"/>
    <m/>
    <n v="28570"/>
    <m/>
    <m/>
    <m/>
    <m/>
    <m/>
    <m/>
    <n v="4499878005"/>
    <n v="0"/>
    <n v="499975544"/>
    <n v="4499878005"/>
    <n v="4999853549"/>
    <n v="74997966"/>
    <n v="0"/>
    <n v="8332925"/>
    <n v="74997966"/>
    <n v="83330892"/>
    <n v="25.170500000000001"/>
    <n v="16.035499999999999"/>
    <n v="11709.5"/>
    <n v="3650.73"/>
    <n v="104129"/>
    <n v="9425"/>
    <x v="7"/>
  </r>
  <r>
    <s v="istree_exp4_disable_rebuild_helping/step10021.txt"/>
    <x v="0"/>
    <n v="72"/>
    <s v="reclaimer_debra"/>
    <s v="allocator_new"/>
    <s v="pool_none"/>
    <n v="60000"/>
    <n v="20"/>
    <n v="20"/>
    <n v="0"/>
    <n v="1"/>
    <n v="2000000"/>
    <n v="190"/>
    <n v="190"/>
    <n v="190"/>
    <n v="0"/>
    <s v="insertIfAbsent"/>
    <n v="999928380163"/>
    <n v="1000030"/>
    <n v="999928380163"/>
    <n v="1000030"/>
    <s v="success"/>
    <n v="6"/>
    <n v="33076"/>
    <n v="1032151"/>
    <n v="1065227"/>
    <n v="1000030"/>
    <n v="32.205399999999997"/>
    <n v="0.96887999999999996"/>
    <n v="3.0000800000000001"/>
    <n v="19160480"/>
    <s v="1462 1664287 809828 6632170"/>
    <s v="708 1653393 805339 6631164"/>
    <m/>
    <n v="10670"/>
    <m/>
    <m/>
    <m/>
    <m/>
    <m/>
    <m/>
    <n v="530417987"/>
    <n v="0"/>
    <n v="353631981"/>
    <n v="530417987"/>
    <n v="884049968"/>
    <n v="8840299"/>
    <n v="0"/>
    <n v="5893866"/>
    <n v="8840299"/>
    <n v="14734166"/>
    <n v="20.8523"/>
    <n v="9.7314799999999995"/>
    <n v="34336.6"/>
    <n v="3360.81"/>
    <n v="4087"/>
    <n v="376"/>
    <x v="8"/>
  </r>
  <r>
    <s v="istree_exp4_disable_rebuild_helping/step10022.txt"/>
    <x v="0"/>
    <n v="72"/>
    <s v="reclaimer_debra"/>
    <s v="allocator_new"/>
    <s v="pool_none"/>
    <n v="60000"/>
    <n v="20"/>
    <n v="20"/>
    <n v="0"/>
    <n v="1"/>
    <n v="20000000"/>
    <n v="190"/>
    <n v="190"/>
    <n v="190"/>
    <n v="0"/>
    <s v="insertIfAbsent"/>
    <n v="99997360825390"/>
    <n v="9997504"/>
    <n v="99997360825390"/>
    <n v="9997504"/>
    <s v="success"/>
    <n v="7"/>
    <n v="1625328"/>
    <n v="11439482"/>
    <n v="13064810"/>
    <n v="9997504"/>
    <n v="8.0382599999999993"/>
    <n v="0.87394700000000003"/>
    <n v="4.0000099999999996"/>
    <n v="313057936"/>
    <s v="99 120208 1014597 25435495 63797"/>
    <s v="38 120198 1014262 25434745 63797"/>
    <m/>
    <n v="12572"/>
    <m/>
    <m/>
    <m/>
    <m/>
    <m/>
    <m/>
    <n v="285000073"/>
    <n v="0"/>
    <n v="190008770"/>
    <n v="285000073"/>
    <n v="475008843"/>
    <n v="4750001"/>
    <n v="0"/>
    <n v="3166812"/>
    <n v="4750001"/>
    <n v="7916814"/>
    <n v="26.342400000000001"/>
    <n v="13.817500000000001"/>
    <n v="52721.2"/>
    <n v="2798.22"/>
    <n v="5467"/>
    <n v="427"/>
    <x v="9"/>
  </r>
  <r>
    <s v="istree_exp4_disable_rebuild_helping/step10023.txt"/>
    <x v="0"/>
    <n v="72"/>
    <s v="reclaimer_debra"/>
    <s v="allocator_new"/>
    <s v="pool_none"/>
    <n v="60000"/>
    <n v="20"/>
    <n v="20"/>
    <n v="0"/>
    <n v="1"/>
    <n v="200000000"/>
    <n v="190"/>
    <n v="190"/>
    <n v="190"/>
    <n v="0"/>
    <s v="insertIfAbsent"/>
    <n v="9999392644179750"/>
    <n v="99997490"/>
    <n v="9999392644179750"/>
    <n v="99997490"/>
    <s v="success"/>
    <n v="7"/>
    <n v="11947965"/>
    <n v="111858621"/>
    <n v="123806586"/>
    <n v="99997490"/>
    <n v="10.3621"/>
    <n v="0.89396299999999995"/>
    <n v="4.0177399999999999"/>
    <n v="2746197920"/>
    <s v="5 38448 1373602 15515449 2641673"/>
    <s v="3 38447 1373565 15515396 2641669"/>
    <m/>
    <n v="17166"/>
    <m/>
    <m/>
    <m/>
    <m/>
    <m/>
    <m/>
    <n v="295119239"/>
    <n v="0"/>
    <n v="196768488"/>
    <n v="295119239"/>
    <n v="491887727"/>
    <n v="4918653"/>
    <n v="0"/>
    <n v="3279474"/>
    <n v="4918653"/>
    <n v="8198128"/>
    <n v="30.984400000000001"/>
    <n v="16.489999999999998"/>
    <n v="35003.800000000003"/>
    <n v="3063.48"/>
    <n v="18324"/>
    <n v="1058"/>
    <x v="10"/>
  </r>
  <r>
    <s v="istree_exp4_disable_rebuild_helping/step10024.txt"/>
    <x v="0"/>
    <n v="72"/>
    <s v="reclaimer_debra"/>
    <s v="allocator_new"/>
    <s v="pool_none"/>
    <n v="60000"/>
    <n v="20"/>
    <n v="20"/>
    <n v="0"/>
    <n v="1"/>
    <n v="2000000000"/>
    <n v="190"/>
    <n v="190"/>
    <n v="190"/>
    <n v="0"/>
    <s v="insertIfAbsent"/>
    <n v="1.0000052081041999E+18"/>
    <n v="999995353"/>
    <n v="1.0000052081041999E+18"/>
    <n v="999995353"/>
    <s v="success"/>
    <n v="7"/>
    <n v="84465078"/>
    <n v="1078799969"/>
    <n v="1163265047"/>
    <n v="999995353"/>
    <n v="13.7721"/>
    <n v="0.926952"/>
    <n v="4"/>
    <n v="24018005728"/>
    <s v="5 31587 2148985 33468865 9432455"/>
    <s v="1 31586 2148968 33468839 9432453"/>
    <m/>
    <n v="7738"/>
    <m/>
    <m/>
    <m/>
    <m/>
    <m/>
    <m/>
    <n v="750015966"/>
    <n v="0"/>
    <n v="499971736"/>
    <n v="750015966"/>
    <n v="1249987702"/>
    <n v="12500266"/>
    <n v="0"/>
    <n v="8332862"/>
    <n v="12500266"/>
    <n v="20833128"/>
    <n v="32.767000000000003"/>
    <n v="20.956299999999999"/>
    <n v="30953.5"/>
    <n v="4681.01"/>
    <n v="121934"/>
    <n v="8999"/>
    <x v="11"/>
  </r>
  <r>
    <s v="istree_exp4_disable_rebuild_helping/step10025.txt"/>
    <x v="0"/>
    <n v="72"/>
    <s v="reclaimer_debra"/>
    <s v="allocator_new"/>
    <s v="pool_none"/>
    <n v="60000"/>
    <n v="0.5"/>
    <n v="0.5"/>
    <n v="0"/>
    <n v="1"/>
    <n v="2000000"/>
    <n v="190"/>
    <n v="190"/>
    <n v="190"/>
    <n v="0"/>
    <s v="insertIfAbsent"/>
    <n v="999739220826"/>
    <n v="1000134"/>
    <n v="999739220826"/>
    <n v="1000134"/>
    <s v="success"/>
    <n v="6"/>
    <n v="53676"/>
    <n v="1073843"/>
    <n v="1127519"/>
    <n v="1000134"/>
    <n v="21.006"/>
    <n v="0.93135999999999997"/>
    <n v="3.0431900000000001"/>
    <n v="21496816"/>
    <s v="392 832962 404802 3328957"/>
    <s v="354 832177 404516 3328891"/>
    <m/>
    <n v="123080"/>
    <m/>
    <m/>
    <m/>
    <m/>
    <m/>
    <m/>
    <n v="17549794511"/>
    <n v="0"/>
    <n v="177265853"/>
    <n v="17549794511"/>
    <n v="17727060364"/>
    <n v="292496575"/>
    <n v="0"/>
    <n v="2954430"/>
    <n v="292496575"/>
    <n v="295451006"/>
    <n v="8.5275300000000005"/>
    <n v="0.39303399999999999"/>
    <n v="1757.63"/>
    <n v="413.76600000000002"/>
    <n v="2776"/>
    <n v="366"/>
    <x v="0"/>
  </r>
  <r>
    <s v="istree_exp4_disable_rebuild_helping/step10026.txt"/>
    <x v="0"/>
    <n v="72"/>
    <s v="reclaimer_debra"/>
    <s v="allocator_new"/>
    <s v="pool_none"/>
    <n v="60000"/>
    <n v="0.5"/>
    <n v="0.5"/>
    <n v="0"/>
    <n v="1"/>
    <n v="20000000"/>
    <n v="190"/>
    <n v="190"/>
    <n v="190"/>
    <n v="0"/>
    <s v="insertIfAbsent"/>
    <n v="100025647565681"/>
    <n v="10002631"/>
    <n v="100025647565681"/>
    <n v="10002631"/>
    <s v="success"/>
    <n v="7"/>
    <n v="1810212"/>
    <n v="11828179"/>
    <n v="13638391"/>
    <n v="10002631"/>
    <n v="7.5341399999999998"/>
    <n v="0.845661"/>
    <n v="4.0376799999999999"/>
    <n v="334073328"/>
    <s v="21 66425 559018 14021378 34899"/>
    <s v="20 66424 558973 14021352 34899"/>
    <m/>
    <n v="64202"/>
    <m/>
    <m/>
    <m/>
    <m/>
    <m/>
    <m/>
    <n v="10373898845"/>
    <n v="0"/>
    <n v="104773571"/>
    <n v="10373898845"/>
    <n v="10478672416"/>
    <n v="172898314"/>
    <n v="0"/>
    <n v="1746226"/>
    <n v="172898314"/>
    <n v="174644540"/>
    <n v="16.091999999999999"/>
    <n v="6.5992499999999996"/>
    <n v="2988.6"/>
    <n v="1248.52"/>
    <n v="3836"/>
    <n v="486"/>
    <x v="1"/>
  </r>
  <r>
    <s v="istree_exp4_disable_rebuild_helping/step10027.txt"/>
    <x v="0"/>
    <n v="72"/>
    <s v="reclaimer_debra"/>
    <s v="allocator_new"/>
    <s v="pool_none"/>
    <n v="60000"/>
    <n v="0.5"/>
    <n v="0.5"/>
    <n v="0"/>
    <n v="1"/>
    <n v="200000000"/>
    <n v="190"/>
    <n v="190"/>
    <n v="190"/>
    <n v="0"/>
    <s v="insertIfAbsent"/>
    <n v="9999220677683380"/>
    <n v="99990870"/>
    <n v="9999220677683380"/>
    <n v="99990870"/>
    <s v="success"/>
    <n v="7"/>
    <n v="12270684"/>
    <n v="112534478"/>
    <n v="124805162"/>
    <n v="99990870"/>
    <n v="10.170999999999999"/>
    <n v="0.88853499999999996"/>
    <n v="4.0242800000000001"/>
    <n v="2783273728"/>
    <s v="2 17144 679807 7725963 1308193"/>
    <s v="1 17144 679803 7725961 1308193"/>
    <m/>
    <n v="57898"/>
    <m/>
    <m/>
    <m/>
    <m/>
    <m/>
    <m/>
    <n v="9520608845"/>
    <n v="0"/>
    <n v="96162527"/>
    <n v="9520608845"/>
    <n v="9616771372"/>
    <n v="158676814"/>
    <n v="0"/>
    <n v="1602708"/>
    <n v="158676814"/>
    <n v="160279522"/>
    <n v="19.372800000000002"/>
    <n v="9.6356800000000007"/>
    <n v="3193.93"/>
    <n v="1956.62"/>
    <n v="13561"/>
    <n v="1054"/>
    <x v="2"/>
  </r>
  <r>
    <s v="istree_exp4_disable_rebuild_helping/step10028.txt"/>
    <x v="0"/>
    <n v="72"/>
    <s v="reclaimer_debra"/>
    <s v="allocator_new"/>
    <s v="pool_none"/>
    <n v="60000"/>
    <n v="0.5"/>
    <n v="0.5"/>
    <n v="0"/>
    <n v="1"/>
    <n v="2000000000"/>
    <n v="190"/>
    <n v="190"/>
    <n v="190"/>
    <n v="0"/>
    <s v="insertIfAbsent"/>
    <n v="9.9999142499827994E+17"/>
    <n v="999992313"/>
    <n v="9.9999142499827994E+17"/>
    <n v="999992313"/>
    <s v="success"/>
    <n v="7"/>
    <n v="104160783"/>
    <n v="1118685397"/>
    <n v="1222846180"/>
    <n v="999992313"/>
    <n v="11.74"/>
    <n v="0.893899"/>
    <n v="4.04047"/>
    <n v="26243457856"/>
    <s v="0 0 0 609513 795448"/>
    <s v="0 0 0 609513 795448"/>
    <m/>
    <n v="51724"/>
    <m/>
    <m/>
    <m/>
    <m/>
    <m/>
    <m/>
    <n v="8657028759"/>
    <n v="0"/>
    <n v="87456906"/>
    <n v="8657028759"/>
    <n v="8744485665"/>
    <n v="144283812"/>
    <n v="0"/>
    <n v="1457615"/>
    <n v="144283812"/>
    <n v="145741427"/>
    <n v="22.1694"/>
    <n v="14.132199999999999"/>
    <n v="3628.97"/>
    <n v="2892.29"/>
    <n v="62230"/>
    <n v="9282"/>
    <x v="3"/>
  </r>
  <r>
    <s v="istree_exp4_disable_rebuild_helping/step10029.txt"/>
    <x v="0"/>
    <n v="72"/>
    <s v="reclaimer_debra"/>
    <s v="allocator_new"/>
    <s v="pool_none"/>
    <n v="60000"/>
    <n v="5"/>
    <n v="5"/>
    <n v="0"/>
    <n v="1"/>
    <n v="2000000"/>
    <n v="190"/>
    <n v="190"/>
    <n v="190"/>
    <n v="0"/>
    <s v="insertIfAbsent"/>
    <n v="1000209812011"/>
    <n v="1001064"/>
    <n v="1000209812011"/>
    <n v="1001064"/>
    <s v="success"/>
    <n v="6"/>
    <n v="33081"/>
    <n v="1033181"/>
    <n v="1066262"/>
    <n v="1001064"/>
    <n v="32.231900000000003"/>
    <n v="0.96891400000000005"/>
    <n v="3.0000900000000001"/>
    <n v="19177360"/>
    <s v="1495 1905357 923853 7602010"/>
    <s v="811 1895038 920594 7601318"/>
    <m/>
    <n v="36346"/>
    <m/>
    <m/>
    <m/>
    <m/>
    <m/>
    <m/>
    <n v="3645736786"/>
    <n v="0"/>
    <n v="405061679"/>
    <n v="3645736786"/>
    <n v="4050798465"/>
    <n v="60762279"/>
    <n v="0"/>
    <n v="6751027"/>
    <n v="60762279"/>
    <n v="67513307"/>
    <n v="11.5406"/>
    <n v="2.7932000000000001"/>
    <n v="7638.86"/>
    <n v="1119.79"/>
    <n v="3301"/>
    <n v="463"/>
    <x v="4"/>
  </r>
  <r>
    <s v="istree_exp4_disable_rebuild_helping/step10030.txt"/>
    <x v="0"/>
    <n v="72"/>
    <s v="reclaimer_debra"/>
    <s v="allocator_new"/>
    <s v="pool_none"/>
    <n v="60000"/>
    <n v="5"/>
    <n v="5"/>
    <n v="0"/>
    <n v="1"/>
    <n v="20000000"/>
    <n v="190"/>
    <n v="190"/>
    <n v="190"/>
    <n v="0"/>
    <s v="insertIfAbsent"/>
    <n v="100007996029858"/>
    <n v="9999652"/>
    <n v="100007996029858"/>
    <n v="9999652"/>
    <s v="success"/>
    <n v="7"/>
    <n v="1625832"/>
    <n v="11442074"/>
    <n v="13067906"/>
    <n v="9999652"/>
    <n v="8.0376700000000003"/>
    <n v="0.87393699999999996"/>
    <n v="4.0000099999999996"/>
    <n v="313139728"/>
    <s v="60 123356 1037472 26092684 65314"/>
    <s v="39 123345 1037300 26092274 65313"/>
    <m/>
    <n v="23558"/>
    <m/>
    <m/>
    <m/>
    <m/>
    <m/>
    <m/>
    <n v="1754777913"/>
    <n v="0"/>
    <n v="194953781"/>
    <n v="1754777913"/>
    <n v="1949731694"/>
    <n v="29246298"/>
    <n v="0"/>
    <n v="3249229"/>
    <n v="29246298"/>
    <n v="32495528"/>
    <n v="18.603000000000002"/>
    <n v="8.2439599999999995"/>
    <n v="13782.3"/>
    <n v="1647.23"/>
    <n v="4912"/>
    <n v="489"/>
    <x v="5"/>
  </r>
  <r>
    <s v="istree_exp4_disable_rebuild_helping/step10031.txt"/>
    <x v="0"/>
    <n v="72"/>
    <s v="reclaimer_debra"/>
    <s v="allocator_new"/>
    <s v="pool_none"/>
    <n v="60000"/>
    <n v="5"/>
    <n v="5"/>
    <n v="0"/>
    <n v="1"/>
    <n v="200000000"/>
    <n v="190"/>
    <n v="190"/>
    <n v="190"/>
    <n v="0"/>
    <s v="insertIfAbsent"/>
    <n v="1.00000568468795E+16"/>
    <n v="100000560"/>
    <n v="1.00000568468795E+16"/>
    <n v="100000560"/>
    <s v="success"/>
    <n v="7"/>
    <n v="12131765"/>
    <n v="112256535"/>
    <n v="124388300"/>
    <n v="100000560"/>
    <n v="10.2531"/>
    <n v="0.890822"/>
    <n v="4.0214600000000003"/>
    <n v="2767544064"/>
    <s v="5 37637 1368894 15505356 2639523"/>
    <s v="3 37637 1368868 15505320 2639520"/>
    <m/>
    <n v="28042"/>
    <m/>
    <m/>
    <m/>
    <m/>
    <m/>
    <m/>
    <n v="1766912979"/>
    <n v="0"/>
    <n v="196326552"/>
    <n v="1766912979"/>
    <n v="1963239531"/>
    <n v="29448549"/>
    <n v="0"/>
    <n v="3272109"/>
    <n v="29448549"/>
    <n v="32720658"/>
    <n v="22.0854"/>
    <n v="11.0494"/>
    <n v="10765.9"/>
    <n v="2315.9899999999998"/>
    <n v="15937"/>
    <n v="1118"/>
    <x v="6"/>
  </r>
  <r>
    <s v="istree_exp4_disable_rebuild_helping/step10032.txt"/>
    <x v="0"/>
    <n v="72"/>
    <s v="reclaimer_debra"/>
    <s v="allocator_new"/>
    <s v="pool_none"/>
    <n v="60000"/>
    <n v="5"/>
    <n v="5"/>
    <n v="0"/>
    <n v="1"/>
    <n v="2000000000"/>
    <n v="190"/>
    <n v="190"/>
    <n v="190"/>
    <n v="0"/>
    <s v="insertIfAbsent"/>
    <n v="9.9999939582264704E+17"/>
    <n v="999996812"/>
    <n v="9.9999939582264704E+17"/>
    <n v="999996812"/>
    <s v="success"/>
    <n v="7"/>
    <n v="84465082"/>
    <n v="1078801417"/>
    <n v="1163266499"/>
    <n v="999996812"/>
    <n v="13.7722"/>
    <n v="0.926952"/>
    <n v="4"/>
    <n v="24018029216"/>
    <s v="2 31597 2148537 33462785 9432185"/>
    <s v="1 31597 2148520 33462775 9432185"/>
    <m/>
    <n v="28580"/>
    <m/>
    <m/>
    <m/>
    <m/>
    <m/>
    <m/>
    <n v="4500141603"/>
    <n v="0"/>
    <n v="500008299"/>
    <n v="4500141603"/>
    <n v="5000149902"/>
    <n v="75002360"/>
    <n v="0"/>
    <n v="8333471"/>
    <n v="75002360"/>
    <n v="83335831"/>
    <n v="25.168399999999998"/>
    <n v="16.004300000000001"/>
    <n v="11578.6"/>
    <n v="3661.04"/>
    <n v="121595"/>
    <n v="8897"/>
    <x v="7"/>
  </r>
  <r>
    <s v="istree_exp4_disable_rebuild_helping/step10033.txt"/>
    <x v="0"/>
    <n v="72"/>
    <s v="reclaimer_debra"/>
    <s v="allocator_new"/>
    <s v="pool_none"/>
    <n v="60000"/>
    <n v="20"/>
    <n v="20"/>
    <n v="0"/>
    <n v="1"/>
    <n v="2000000"/>
    <n v="190"/>
    <n v="190"/>
    <n v="190"/>
    <n v="0"/>
    <s v="insertIfAbsent"/>
    <n v="1000080032856"/>
    <n v="1000419"/>
    <n v="1000080032856"/>
    <n v="1000419"/>
    <s v="success"/>
    <n v="6"/>
    <n v="33074"/>
    <n v="1032543"/>
    <n v="1065617"/>
    <n v="1000419"/>
    <n v="32.219200000000001"/>
    <n v="0.96888799999999997"/>
    <n v="3.0000800000000001"/>
    <n v="19166592"/>
    <s v="1506 1688789 821603 6737013"/>
    <s v="719 1677614 817103 6735976"/>
    <m/>
    <n v="10722"/>
    <m/>
    <m/>
    <m/>
    <m/>
    <m/>
    <m/>
    <n v="538686246"/>
    <n v="0"/>
    <n v="359096258"/>
    <n v="538686246"/>
    <n v="897782504"/>
    <n v="8978104"/>
    <n v="0"/>
    <n v="5984937"/>
    <n v="8978104"/>
    <n v="14963041"/>
    <n v="20.8231"/>
    <n v="9.7617999999999991"/>
    <n v="33772.1"/>
    <n v="3348.72"/>
    <n v="4057"/>
    <n v="299"/>
    <x v="8"/>
  </r>
  <r>
    <s v="istree_exp4_disable_rebuild_helping/step10034.txt"/>
    <x v="0"/>
    <n v="72"/>
    <s v="reclaimer_debra"/>
    <s v="allocator_new"/>
    <s v="pool_none"/>
    <n v="60000"/>
    <n v="20"/>
    <n v="20"/>
    <n v="0"/>
    <n v="1"/>
    <n v="20000000"/>
    <n v="190"/>
    <n v="190"/>
    <n v="190"/>
    <n v="0"/>
    <s v="insertIfAbsent"/>
    <n v="100008403894536"/>
    <n v="10001647"/>
    <n v="100008403894536"/>
    <n v="10001647"/>
    <s v="success"/>
    <n v="7"/>
    <n v="1647778"/>
    <n v="11488296"/>
    <n v="13136074"/>
    <n v="10001647"/>
    <n v="7.9719899999999999"/>
    <n v="0.87059399999999998"/>
    <n v="4.0044000000000004"/>
    <n v="315634960"/>
    <s v="85 120217 1012103 25432910 63650"/>
    <s v="38 120198 1011730 25432197 63648"/>
    <m/>
    <n v="11332"/>
    <m/>
    <m/>
    <m/>
    <m/>
    <m/>
    <m/>
    <n v="285112410"/>
    <n v="0"/>
    <n v="190081934"/>
    <n v="285112410"/>
    <n v="475194344"/>
    <n v="4751873"/>
    <n v="0"/>
    <n v="3168032"/>
    <n v="4751873"/>
    <n v="7919905"/>
    <n v="26.251100000000001"/>
    <n v="13.8101"/>
    <n v="52987.4"/>
    <n v="2846.16"/>
    <n v="5451"/>
    <n v="366"/>
    <x v="9"/>
  </r>
  <r>
    <s v="istree_exp4_disable_rebuild_helping/step10035.txt"/>
    <x v="0"/>
    <n v="72"/>
    <s v="reclaimer_debra"/>
    <s v="allocator_new"/>
    <s v="pool_none"/>
    <n v="60000"/>
    <n v="20"/>
    <n v="20"/>
    <n v="0"/>
    <n v="1"/>
    <n v="200000000"/>
    <n v="190"/>
    <n v="190"/>
    <n v="190"/>
    <n v="0"/>
    <s v="insertIfAbsent"/>
    <n v="1.00001186735114E+16"/>
    <n v="100003613"/>
    <n v="1.00001186735114E+16"/>
    <n v="100003613"/>
    <s v="success"/>
    <n v="7"/>
    <n v="12320346"/>
    <n v="112652684"/>
    <n v="124973030"/>
    <n v="100003613"/>
    <n v="10.143599999999999"/>
    <n v="0.88771599999999995"/>
    <n v="4.0252600000000003"/>
    <n v="2789206000"/>
    <s v="10 36963 1367921 15498045 2640177"/>
    <s v="3 36960 1367876 15497995 2640167"/>
    <m/>
    <n v="15606"/>
    <m/>
    <m/>
    <m/>
    <m/>
    <m/>
    <m/>
    <n v="294139058"/>
    <n v="0"/>
    <n v="196091708"/>
    <n v="294139058"/>
    <n v="490230766"/>
    <n v="4902317"/>
    <n v="0"/>
    <n v="3268195"/>
    <n v="4902317"/>
    <n v="8170512"/>
    <n v="30.738"/>
    <n v="16.3842"/>
    <n v="34887.199999999997"/>
    <n v="3131.25"/>
    <n v="16116"/>
    <n v="1058"/>
    <x v="10"/>
  </r>
  <r>
    <s v="istree_exp4_disable_rebuild_helping/step10036.txt"/>
    <x v="0"/>
    <n v="72"/>
    <s v="reclaimer_debra"/>
    <s v="allocator_new"/>
    <s v="pool_none"/>
    <n v="60000"/>
    <n v="20"/>
    <n v="20"/>
    <n v="0"/>
    <n v="1"/>
    <n v="2000000000"/>
    <n v="190"/>
    <n v="190"/>
    <n v="190"/>
    <n v="0"/>
    <s v="insertIfAbsent"/>
    <n v="9.9997047678258202E+17"/>
    <n v="999998584"/>
    <n v="9.9997047678258202E+17"/>
    <n v="999998584"/>
    <s v="success"/>
    <n v="7"/>
    <n v="84465072"/>
    <n v="1078803183"/>
    <n v="1163268255"/>
    <n v="999998584"/>
    <n v="13.7722"/>
    <n v="0.926952"/>
    <n v="4"/>
    <n v="24018056672"/>
    <s v="1 31594 2149624 33458139 9432466"/>
    <s v="1 31591 2149592 33458113 9432466"/>
    <m/>
    <n v="7760"/>
    <m/>
    <m/>
    <m/>
    <m/>
    <m/>
    <m/>
    <n v="749979685"/>
    <n v="0"/>
    <n v="499990122"/>
    <n v="749979685"/>
    <n v="1249969807"/>
    <n v="12499661"/>
    <n v="0"/>
    <n v="8333168"/>
    <n v="12499661"/>
    <n v="20832830"/>
    <n v="32.787500000000001"/>
    <n v="20.950500000000002"/>
    <n v="31035.7"/>
    <n v="4664.42"/>
    <n v="121937"/>
    <n v="9154"/>
    <x v="11"/>
  </r>
  <r>
    <s v="istree_exp4_disable_rebuild_helping/step10037.txt"/>
    <x v="1"/>
    <n v="72"/>
    <s v="reclaimer_debra"/>
    <s v="allocator_new"/>
    <s v="pool_none"/>
    <n v="60000"/>
    <n v="0.5"/>
    <n v="0.5"/>
    <n v="0"/>
    <n v="1"/>
    <n v="2000000"/>
    <n v="190"/>
    <n v="190"/>
    <n v="190"/>
    <n v="0"/>
    <s v="insertIfAbsent"/>
    <n v="998355151366"/>
    <n v="998916"/>
    <n v="998355151366"/>
    <n v="998916"/>
    <s v="success"/>
    <n v="6"/>
    <n v="53954"/>
    <n v="1073402"/>
    <n v="1127356"/>
    <n v="998916"/>
    <n v="20.8948"/>
    <n v="0.93060799999999999"/>
    <n v="3.0438499999999999"/>
    <n v="21512096"/>
    <s v="543 1181596 575267 4723108"/>
    <s v="503 1180576 574902 4723042"/>
    <n v="593865"/>
    <n v="174056"/>
    <m/>
    <m/>
    <m/>
    <m/>
    <m/>
    <m/>
    <n v="24915255063"/>
    <n v="0"/>
    <n v="251643967"/>
    <n v="24915255063"/>
    <n v="25166899030"/>
    <n v="415254251"/>
    <n v="0"/>
    <n v="4194066"/>
    <n v="415254251"/>
    <n v="419448317"/>
    <n v="8.6580600000000008"/>
    <n v="0.41606599999999999"/>
    <n v="1246.1400000000001"/>
    <n v="501.38499999999999"/>
    <n v="1433"/>
    <n v="342"/>
    <x v="0"/>
  </r>
  <r>
    <s v="istree_exp4_disable_rebuild_helping/step10038.txt"/>
    <x v="1"/>
    <n v="72"/>
    <s v="reclaimer_debra"/>
    <s v="allocator_new"/>
    <s v="pool_none"/>
    <n v="60000"/>
    <n v="0.5"/>
    <n v="0.5"/>
    <n v="0"/>
    <n v="1"/>
    <n v="20000000"/>
    <n v="190"/>
    <n v="190"/>
    <n v="190"/>
    <n v="0"/>
    <s v="insertIfAbsent"/>
    <n v="99974130555143"/>
    <n v="9998810"/>
    <n v="99974130555143"/>
    <n v="9998810"/>
    <s v="success"/>
    <n v="7"/>
    <n v="1827479"/>
    <n v="11861781"/>
    <n v="13689260"/>
    <n v="9998810"/>
    <n v="7.4907899999999996"/>
    <n v="0.842943"/>
    <n v="4.0411900000000003"/>
    <n v="335993888"/>
    <s v="30 94890 799661 20066166 50599"/>
    <s v="29 94887 799609 20066111 50599"/>
    <n v="70912"/>
    <n v="92076"/>
    <m/>
    <m/>
    <m/>
    <m/>
    <m/>
    <m/>
    <n v="14842818427"/>
    <n v="0"/>
    <n v="149939757"/>
    <n v="14842818427"/>
    <n v="14992758184"/>
    <n v="247380307"/>
    <n v="0"/>
    <n v="2498995"/>
    <n v="247380307"/>
    <n v="249879303"/>
    <n v="16.380199999999999"/>
    <n v="6.6645300000000001"/>
    <n v="2089.71"/>
    <n v="1310.6099999999999"/>
    <n v="2727"/>
    <n v="449"/>
    <x v="1"/>
  </r>
  <r>
    <s v="istree_exp4_disable_rebuild_helping/step10039.txt"/>
    <x v="1"/>
    <n v="72"/>
    <s v="reclaimer_debra"/>
    <s v="allocator_new"/>
    <s v="pool_none"/>
    <n v="60000"/>
    <n v="0.5"/>
    <n v="0.5"/>
    <n v="0"/>
    <n v="1"/>
    <n v="200000000"/>
    <n v="190"/>
    <n v="190"/>
    <n v="190"/>
    <n v="0"/>
    <s v="insertIfAbsent"/>
    <n v="1.00000677070207E+16"/>
    <n v="100000133"/>
    <n v="1.00000677070207E+16"/>
    <n v="100000133"/>
    <s v="success"/>
    <n v="7"/>
    <n v="13726448"/>
    <n v="115560145"/>
    <n v="129286593"/>
    <n v="100000133"/>
    <n v="9.4187899999999996"/>
    <n v="0.86535099999999998"/>
    <n v="4.0560099999999997"/>
    <n v="2948950448"/>
    <s v="2 19997 688153 8132286 1477287"/>
    <s v="2 19997 688145 8132281 1477287"/>
    <n v="9200"/>
    <n v="59214"/>
    <m/>
    <m/>
    <m/>
    <m/>
    <m/>
    <m/>
    <n v="11273708776"/>
    <n v="0"/>
    <n v="113864372"/>
    <n v="11273708776"/>
    <n v="11387573148"/>
    <n v="187895146"/>
    <n v="0"/>
    <n v="1897739"/>
    <n v="187895146"/>
    <n v="189792885"/>
    <n v="19.426600000000001"/>
    <n v="9.6271799999999992"/>
    <n v="2734.8"/>
    <n v="1985.3"/>
    <n v="13851"/>
    <n v="1099"/>
    <x v="2"/>
  </r>
  <r>
    <s v="istree_exp4_disable_rebuild_helping/step10040.txt"/>
    <x v="1"/>
    <n v="72"/>
    <s v="reclaimer_debra"/>
    <s v="allocator_new"/>
    <s v="pool_none"/>
    <n v="60000"/>
    <n v="0.5"/>
    <n v="0.5"/>
    <n v="0"/>
    <n v="1"/>
    <n v="2000000000"/>
    <n v="190"/>
    <n v="190"/>
    <n v="190"/>
    <n v="0"/>
    <s v="insertIfAbsent"/>
    <n v="9.99994269108816E+17"/>
    <n v="999998404"/>
    <n v="9.99994269108816E+17"/>
    <n v="999998404"/>
    <s v="success"/>
    <n v="7"/>
    <n v="104122607"/>
    <n v="1118606583"/>
    <n v="1222729190"/>
    <n v="999998404"/>
    <n v="11.7432"/>
    <n v="0.89396799999999998"/>
    <n v="4.0403900000000004"/>
    <n v="26239117280"/>
    <s v="0 0 0 604380 792146"/>
    <s v="0 0 0 604380 792146"/>
    <m/>
    <n v="51310"/>
    <m/>
    <m/>
    <m/>
    <m/>
    <m/>
    <m/>
    <n v="8637329314"/>
    <n v="0"/>
    <n v="87245338"/>
    <n v="8637329314"/>
    <n v="8724574652"/>
    <n v="143955488"/>
    <n v="0"/>
    <n v="1454088"/>
    <n v="143955488"/>
    <n v="145409577"/>
    <n v="22.190799999999999"/>
    <n v="14.1441"/>
    <n v="3636.85"/>
    <n v="2905.39"/>
    <n v="62228"/>
    <n v="9026"/>
    <x v="3"/>
  </r>
  <r>
    <s v="istree_exp4_disable_rebuild_helping/step10041.txt"/>
    <x v="1"/>
    <n v="72"/>
    <s v="reclaimer_debra"/>
    <s v="allocator_new"/>
    <s v="pool_none"/>
    <n v="60000"/>
    <n v="5"/>
    <n v="5"/>
    <n v="0"/>
    <n v="1"/>
    <n v="2000000"/>
    <n v="190"/>
    <n v="190"/>
    <n v="190"/>
    <n v="0"/>
    <s v="insertIfAbsent"/>
    <n v="997825331023"/>
    <n v="998135"/>
    <n v="997825331023"/>
    <n v="998135"/>
    <s v="success"/>
    <n v="6"/>
    <n v="54312"/>
    <n v="1073623"/>
    <n v="1127935"/>
    <n v="998135"/>
    <n v="20.767700000000001"/>
    <n v="0.92968899999999999"/>
    <n v="3.0446499999999999"/>
    <n v="21543856"/>
    <s v="5526 6899862 3354053 27547154"/>
    <s v="2937 6857790 3340622 27544413"/>
    <n v="15746585"/>
    <n v="100570"/>
    <m/>
    <m/>
    <m/>
    <m/>
    <m/>
    <m/>
    <n v="13205293759"/>
    <n v="0"/>
    <n v="1467215125"/>
    <n v="13205293759"/>
    <n v="14672508884"/>
    <n v="220088229"/>
    <n v="0"/>
    <n v="24453585"/>
    <n v="220088229"/>
    <n v="244541814"/>
    <n v="12.3475"/>
    <n v="3.1516999999999999"/>
    <n v="2151.81"/>
    <n v="1321.17"/>
    <n v="1668"/>
    <n v="336"/>
    <x v="4"/>
  </r>
  <r>
    <s v="istree_exp4_disable_rebuild_helping/step10042.txt"/>
    <x v="1"/>
    <n v="72"/>
    <s v="reclaimer_debra"/>
    <s v="allocator_new"/>
    <s v="pool_none"/>
    <n v="60000"/>
    <n v="5"/>
    <n v="5"/>
    <n v="0"/>
    <n v="1"/>
    <n v="20000000"/>
    <n v="190"/>
    <n v="190"/>
    <n v="190"/>
    <n v="0"/>
    <s v="insertIfAbsent"/>
    <n v="99969091847888"/>
    <n v="9998328"/>
    <n v="99969091847888"/>
    <n v="9998328"/>
    <s v="success"/>
    <n v="7"/>
    <n v="1625827"/>
    <n v="11440744"/>
    <n v="13066571"/>
    <n v="9998328"/>
    <n v="8.03688"/>
    <n v="0.87392300000000001"/>
    <n v="4.0000099999999996"/>
    <n v="313118048"/>
    <s v="376 695902 5867046 147207612 369423"/>
    <s v="220 695778 5864553 147204917 369420"/>
    <n v="1678420"/>
    <n v="72672"/>
    <m/>
    <m/>
    <m/>
    <m/>
    <m/>
    <m/>
    <n v="9898317195"/>
    <n v="0"/>
    <n v="1099796987"/>
    <n v="9898317195"/>
    <n v="10998114182"/>
    <n v="164971953"/>
    <n v="0"/>
    <n v="18329949"/>
    <n v="164971953"/>
    <n v="183301903"/>
    <n v="19.260999999999999"/>
    <n v="8.5653500000000005"/>
    <n v="2828.94"/>
    <n v="1904.78"/>
    <n v="2884"/>
    <n v="338"/>
    <x v="5"/>
  </r>
  <r>
    <s v="istree_exp4_disable_rebuild_helping/step10043.txt"/>
    <x v="1"/>
    <n v="72"/>
    <s v="reclaimer_debra"/>
    <s v="allocator_new"/>
    <s v="pool_none"/>
    <n v="60000"/>
    <n v="5"/>
    <n v="5"/>
    <n v="0"/>
    <n v="1"/>
    <n v="200000000"/>
    <n v="190"/>
    <n v="190"/>
    <n v="190"/>
    <n v="0"/>
    <s v="insertIfAbsent"/>
    <n v="9999375405374490"/>
    <n v="99994450"/>
    <n v="9999375405374490"/>
    <n v="99994450"/>
    <s v="success"/>
    <n v="7"/>
    <n v="14669361"/>
    <n v="117649097"/>
    <n v="132318458"/>
    <n v="99994450"/>
    <n v="9.0200600000000009"/>
    <n v="0.84993799999999997"/>
    <n v="4.0745899999999997"/>
    <n v="3060027360"/>
    <s v="28 159988 5701220 65580231 11239150"/>
    <s v="16 159979 5700995 65580071 11239129"/>
    <n v="258247"/>
    <n v="34668"/>
    <m/>
    <m/>
    <m/>
    <m/>
    <m/>
    <m/>
    <n v="7568032648"/>
    <n v="0"/>
    <n v="840906094"/>
    <n v="7568032648"/>
    <n v="8408938742"/>
    <n v="126133877"/>
    <n v="0"/>
    <n v="14015101"/>
    <n v="126133877"/>
    <n v="140148979"/>
    <n v="22.3127"/>
    <n v="11.386699999999999"/>
    <n v="3461.7"/>
    <n v="2588.48"/>
    <n v="14289"/>
    <n v="1119"/>
    <x v="6"/>
  </r>
  <r>
    <s v="istree_exp4_disable_rebuild_helping/step10044.txt"/>
    <x v="1"/>
    <n v="72"/>
    <s v="reclaimer_debra"/>
    <s v="allocator_new"/>
    <s v="pool_none"/>
    <n v="60000"/>
    <n v="5"/>
    <n v="5"/>
    <n v="0"/>
    <n v="1"/>
    <n v="2000000000"/>
    <n v="190"/>
    <n v="190"/>
    <n v="190"/>
    <n v="0"/>
    <s v="insertIfAbsent"/>
    <n v="1.00002013411763E+18"/>
    <n v="1000004440"/>
    <n v="1.00002013411763E+18"/>
    <n v="1000004440"/>
    <s v="success"/>
    <n v="7"/>
    <n v="116367402"/>
    <n v="1144196377"/>
    <n v="1260563779"/>
    <n v="1000004440"/>
    <n v="10.832599999999999"/>
    <n v="0.87397999999999998"/>
    <n v="4.0665899999999997"/>
    <n v="27646948752"/>
    <s v="1 31598 2148546 36838686 11750262"/>
    <s v="1 31597 2148531 36838683 11750262"/>
    <n v="31686"/>
    <n v="34636"/>
    <m/>
    <m/>
    <m/>
    <m/>
    <m/>
    <m/>
    <n v="5971050971"/>
    <n v="0"/>
    <n v="663438360"/>
    <n v="5971050971"/>
    <n v="6634489331"/>
    <n v="99517516"/>
    <n v="0"/>
    <n v="11057306"/>
    <n v="99517516"/>
    <n v="110574822"/>
    <n v="24.758099999999999"/>
    <n v="15.738300000000001"/>
    <n v="4516.54"/>
    <n v="3639.37"/>
    <n v="119779"/>
    <n v="9835"/>
    <x v="7"/>
  </r>
  <r>
    <s v="istree_exp4_disable_rebuild_helping/step10045.txt"/>
    <x v="1"/>
    <n v="72"/>
    <s v="reclaimer_debra"/>
    <s v="allocator_new"/>
    <s v="pool_none"/>
    <n v="60000"/>
    <n v="20"/>
    <n v="20"/>
    <n v="0"/>
    <n v="1"/>
    <n v="2000000"/>
    <n v="190"/>
    <n v="190"/>
    <n v="190"/>
    <n v="0"/>
    <s v="insertIfAbsent"/>
    <n v="1000952851477"/>
    <n v="1000979"/>
    <n v="1000952851477"/>
    <n v="1000979"/>
    <s v="success"/>
    <n v="6"/>
    <n v="54945"/>
    <n v="1077778"/>
    <n v="1132723"/>
    <n v="1000979"/>
    <n v="20.615600000000001"/>
    <n v="0.92874299999999999"/>
    <n v="3.0457700000000001"/>
    <n v="21662080"/>
    <s v="14071 10896387 5299111 43452889"/>
    <s v="4634 10780070 5260897 43444837"/>
    <n v="48265234"/>
    <n v="41980"/>
    <m/>
    <m/>
    <m/>
    <m/>
    <m/>
    <m/>
    <n v="3472408525"/>
    <n v="0"/>
    <n v="2314893840"/>
    <n v="3472408525"/>
    <n v="5787302365"/>
    <n v="57873475"/>
    <n v="0"/>
    <n v="38581564"/>
    <n v="57873475"/>
    <n v="96455039"/>
    <n v="24.928000000000001"/>
    <n v="11.8765"/>
    <n v="5479.18"/>
    <n v="4192.96"/>
    <n v="1864"/>
    <n v="297"/>
    <x v="8"/>
  </r>
  <r>
    <s v="istree_exp4_disable_rebuild_helping/step10046.txt"/>
    <x v="1"/>
    <n v="72"/>
    <s v="reclaimer_debra"/>
    <s v="allocator_new"/>
    <s v="pool_none"/>
    <n v="60000"/>
    <n v="20"/>
    <n v="20"/>
    <n v="0"/>
    <n v="1"/>
    <n v="20000000"/>
    <n v="190"/>
    <n v="190"/>
    <n v="190"/>
    <n v="0"/>
    <s v="insertIfAbsent"/>
    <n v="100047471435481"/>
    <n v="10000878"/>
    <n v="100047471435481"/>
    <n v="10000878"/>
    <s v="success"/>
    <n v="7"/>
    <n v="1722460"/>
    <n v="11638579"/>
    <n v="13361039"/>
    <n v="10000878"/>
    <n v="7.7569499999999998"/>
    <n v="0.85928700000000002"/>
    <n v="4.0193399999999997"/>
    <n v="324014288"/>
    <s v="1772 1474371 12427535 311862447 782758"/>
    <s v="466 1473885 12416732 311847582 782746"/>
    <n v="5934807"/>
    <n v="44578"/>
    <m/>
    <m/>
    <m/>
    <m/>
    <m/>
    <m/>
    <n v="3495329360"/>
    <n v="0"/>
    <n v="2330215456"/>
    <n v="3495329360"/>
    <n v="5825544816"/>
    <n v="58255489"/>
    <n v="0"/>
    <n v="38836924"/>
    <n v="58255489"/>
    <n v="97092413"/>
    <n v="28.639600000000002"/>
    <n v="15.318199999999999"/>
    <n v="5283.97"/>
    <n v="3638.18"/>
    <n v="2955"/>
    <n v="341"/>
    <x v="9"/>
  </r>
  <r>
    <s v="istree_exp4_disable_rebuild_helping/step10047.txt"/>
    <x v="1"/>
    <n v="72"/>
    <s v="reclaimer_debra"/>
    <s v="allocator_new"/>
    <s v="pool_none"/>
    <n v="60000"/>
    <n v="20"/>
    <n v="20"/>
    <n v="0"/>
    <n v="1"/>
    <n v="200000000"/>
    <n v="190"/>
    <n v="190"/>
    <n v="190"/>
    <n v="0"/>
    <s v="insertIfAbsent"/>
    <n v="1.00004880582586E+16"/>
    <n v="100002300"/>
    <n v="1.00004880582586E+16"/>
    <n v="100002300"/>
    <s v="success"/>
    <n v="7"/>
    <n v="12002806"/>
    <n v="111938337"/>
    <n v="123941143"/>
    <n v="100002300"/>
    <n v="10.326000000000001"/>
    <n v="0.89337"/>
    <n v="4.0189599999999999"/>
    <n v="2751515664"/>
    <s v="144 399933 13759979 155453696 26629178"/>
    <s v="39 399891 13758745 155452701 26629118"/>
    <n v="1017892"/>
    <n v="24888"/>
    <m/>
    <m/>
    <m/>
    <m/>
    <m/>
    <m/>
    <n v="2998650503"/>
    <n v="0"/>
    <n v="1999190320"/>
    <n v="2998650503"/>
    <n v="4997840823"/>
    <n v="49977508"/>
    <n v="0"/>
    <n v="33319838"/>
    <n v="49977508"/>
    <n v="83297347"/>
    <n v="31.490400000000001"/>
    <n v="17.664899999999999"/>
    <n v="5697.93"/>
    <n v="4217.74"/>
    <n v="14526"/>
    <n v="1133"/>
    <x v="10"/>
  </r>
  <r>
    <s v="istree_exp4_disable_rebuild_helping/step10048.txt"/>
    <x v="1"/>
    <n v="72"/>
    <s v="reclaimer_debra"/>
    <s v="allocator_new"/>
    <s v="pool_none"/>
    <n v="60000"/>
    <n v="20"/>
    <n v="20"/>
    <n v="0"/>
    <n v="1"/>
    <n v="2000000000"/>
    <n v="190"/>
    <n v="190"/>
    <n v="190"/>
    <n v="0"/>
    <s v="insertIfAbsent"/>
    <n v="1.00003322537277E+18"/>
    <n v="1000045103"/>
    <n v="1.00003322537277E+18"/>
    <n v="1000045103"/>
    <s v="success"/>
    <n v="7"/>
    <n v="124412423"/>
    <n v="1161804939"/>
    <n v="1286217362"/>
    <n v="1000045103"/>
    <n v="10.3383"/>
    <n v="0.86076900000000001"/>
    <n v="4.0843499999999997"/>
    <n v="28591403568"/>
    <s v="19 94756 6449082 109831789 32611255"/>
    <s v="3 94750 6449001 109831724 32611251"/>
    <n v="144724"/>
    <n v="23208"/>
    <m/>
    <m/>
    <m/>
    <m/>
    <m/>
    <m/>
    <n v="2621279323"/>
    <n v="0"/>
    <n v="1747532494"/>
    <n v="2621279323"/>
    <n v="4368811817"/>
    <n v="43687988"/>
    <n v="0"/>
    <n v="29125541"/>
    <n v="43687988"/>
    <n v="72813530"/>
    <n v="33.074599999999997"/>
    <n v="21.525700000000001"/>
    <n v="6189.48"/>
    <n v="4947.6099999999997"/>
    <n v="120868"/>
    <n v="9155"/>
    <x v="11"/>
  </r>
  <r>
    <s v="istree_exp4_disable_rebuild_helping/step10049.txt"/>
    <x v="1"/>
    <n v="72"/>
    <s v="reclaimer_debra"/>
    <s v="allocator_new"/>
    <s v="pool_none"/>
    <n v="60000"/>
    <n v="0.5"/>
    <n v="0.5"/>
    <n v="0"/>
    <n v="1"/>
    <n v="2000000"/>
    <n v="190"/>
    <n v="190"/>
    <n v="190"/>
    <n v="0"/>
    <s v="insertIfAbsent"/>
    <n v="999697353345"/>
    <n v="1000376"/>
    <n v="999697353345"/>
    <n v="1000376"/>
    <s v="success"/>
    <n v="6"/>
    <n v="57933"/>
    <n v="1083233"/>
    <n v="1141166"/>
    <n v="1000376"/>
    <n v="19.698"/>
    <n v="0.92351000000000005"/>
    <n v="3.05213"/>
    <n v="21991360"/>
    <s v="563 1195226 579268 4773028"/>
    <s v="509 1194151 578905 4772947"/>
    <n v="609580"/>
    <n v="174232"/>
    <m/>
    <m/>
    <m/>
    <m/>
    <m/>
    <m/>
    <n v="25178024466"/>
    <n v="0"/>
    <n v="254323448"/>
    <n v="25178024466"/>
    <n v="25432347914"/>
    <n v="419633741"/>
    <n v="0"/>
    <n v="4238724"/>
    <n v="419633741"/>
    <n v="423872465"/>
    <n v="8.64907"/>
    <n v="0.41374499999999997"/>
    <n v="1233.6600000000001"/>
    <n v="497.79199999999997"/>
    <n v="1439"/>
    <n v="444"/>
    <x v="0"/>
  </r>
  <r>
    <s v="istree_exp4_disable_rebuild_helping/step10050.txt"/>
    <x v="1"/>
    <n v="72"/>
    <s v="reclaimer_debra"/>
    <s v="allocator_new"/>
    <s v="pool_none"/>
    <n v="60000"/>
    <n v="0.5"/>
    <n v="0.5"/>
    <n v="0"/>
    <n v="1"/>
    <n v="20000000"/>
    <n v="190"/>
    <n v="190"/>
    <n v="190"/>
    <n v="0"/>
    <s v="insertIfAbsent"/>
    <n v="100015725213263"/>
    <n v="10001434"/>
    <n v="100015725213263"/>
    <n v="10001434"/>
    <s v="success"/>
    <n v="7"/>
    <n v="1726304"/>
    <n v="11646619"/>
    <n v="13372923"/>
    <n v="10001434"/>
    <n v="7.7465599999999997"/>
    <n v="0.85874099999999998"/>
    <n v="4.0201000000000002"/>
    <n v="324450640"/>
    <s v="33 94894 801092 20098914 50841"/>
    <s v="30 94894 801040 20098861 50841"/>
    <n v="71510"/>
    <n v="92984"/>
    <m/>
    <m/>
    <m/>
    <m/>
    <m/>
    <m/>
    <n v="14897824920"/>
    <n v="0"/>
    <n v="150495344"/>
    <n v="14897824920"/>
    <n v="15048320264"/>
    <n v="248297082"/>
    <n v="0"/>
    <n v="2508255"/>
    <n v="248297082"/>
    <n v="250805337"/>
    <n v="16.449100000000001"/>
    <n v="6.6605299999999996"/>
    <n v="2081.86"/>
    <n v="1309.98"/>
    <n v="2773"/>
    <n v="342"/>
    <x v="1"/>
  </r>
  <r>
    <s v="istree_exp4_disable_rebuild_helping/step10051.txt"/>
    <x v="1"/>
    <n v="72"/>
    <s v="reclaimer_debra"/>
    <s v="allocator_new"/>
    <s v="pool_none"/>
    <n v="60000"/>
    <n v="0.5"/>
    <n v="0.5"/>
    <n v="0"/>
    <n v="1"/>
    <n v="200000000"/>
    <n v="190"/>
    <n v="190"/>
    <n v="190"/>
    <n v="0"/>
    <s v="insertIfAbsent"/>
    <n v="1.00002681389597E+16"/>
    <n v="100003857"/>
    <n v="1.00002681389597E+16"/>
    <n v="100003857"/>
    <s v="success"/>
    <n v="7"/>
    <n v="13730220"/>
    <n v="115569462"/>
    <n v="129299682"/>
    <n v="100003857"/>
    <n v="9.4171600000000009"/>
    <n v="0.86531400000000003"/>
    <n v="4.0560900000000002"/>
    <n v="2949401840"/>
    <s v="2 19997 688895 8136851 1477502"/>
    <s v="2 19997 688894 8136845 1477502"/>
    <n v="8969"/>
    <n v="59712"/>
    <m/>
    <m/>
    <m/>
    <m/>
    <m/>
    <m/>
    <n v="11270289154"/>
    <n v="0"/>
    <n v="113859728"/>
    <n v="11270289154"/>
    <n v="11384148882"/>
    <n v="187838152"/>
    <n v="0"/>
    <n v="1897662"/>
    <n v="187838152"/>
    <n v="189735814"/>
    <n v="19.4238"/>
    <n v="9.6275700000000004"/>
    <n v="2734.92"/>
    <n v="1982.49"/>
    <n v="13862"/>
    <n v="1098"/>
    <x v="2"/>
  </r>
  <r>
    <s v="istree_exp4_disable_rebuild_helping/step10052.txt"/>
    <x v="1"/>
    <n v="72"/>
    <s v="reclaimer_debra"/>
    <s v="allocator_new"/>
    <s v="pool_none"/>
    <n v="60000"/>
    <n v="0.5"/>
    <n v="0.5"/>
    <n v="0"/>
    <n v="1"/>
    <n v="2000000000"/>
    <n v="190"/>
    <n v="190"/>
    <n v="190"/>
    <n v="0"/>
    <s v="insertIfAbsent"/>
    <n v="1.00004017048037E+18"/>
    <n v="1000010707"/>
    <n v="1.00004017048037E+18"/>
    <n v="1000010707"/>
    <s v="success"/>
    <n v="7"/>
    <n v="104102519"/>
    <n v="1118564360"/>
    <n v="1222666879"/>
    <n v="1000010707"/>
    <n v="11.7448"/>
    <n v="0.89401299999999995"/>
    <n v="4.0403500000000001"/>
    <n v="26236789440"/>
    <s v="0 0 0 601108 790805"/>
    <s v="0 0 0 601108 790805"/>
    <m/>
    <n v="51170"/>
    <m/>
    <m/>
    <m/>
    <m/>
    <m/>
    <m/>
    <n v="8624668192"/>
    <n v="0"/>
    <n v="87114964"/>
    <n v="8624668192"/>
    <n v="8711783156"/>
    <n v="143744469"/>
    <n v="0"/>
    <n v="1451916"/>
    <n v="143744469"/>
    <n v="145196385"/>
    <n v="22.173999999999999"/>
    <n v="14.1691"/>
    <n v="3642.69"/>
    <n v="2907.34"/>
    <n v="62229"/>
    <n v="9035"/>
    <x v="3"/>
  </r>
  <r>
    <s v="istree_exp4_disable_rebuild_helping/step10053.txt"/>
    <x v="1"/>
    <n v="72"/>
    <s v="reclaimer_debra"/>
    <s v="allocator_new"/>
    <s v="pool_none"/>
    <n v="60000"/>
    <n v="5"/>
    <n v="5"/>
    <n v="0"/>
    <n v="1"/>
    <n v="2000000"/>
    <n v="190"/>
    <n v="190"/>
    <n v="190"/>
    <n v="0"/>
    <s v="insertIfAbsent"/>
    <n v="1000636237026"/>
    <n v="1000554"/>
    <n v="1000636237026"/>
    <n v="1000554"/>
    <s v="success"/>
    <n v="6"/>
    <n v="39203"/>
    <n v="1045030"/>
    <n v="1084233"/>
    <n v="1000554"/>
    <n v="27.6569"/>
    <n v="0.95743999999999996"/>
    <n v="3.0124200000000001"/>
    <n v="19857696"/>
    <s v="5510 6897128 3352915 27542655"/>
    <s v="2937 6855368 3339609 27540003"/>
    <n v="15723592"/>
    <n v="100664"/>
    <m/>
    <m/>
    <m/>
    <m/>
    <m/>
    <m/>
    <n v="13201918722"/>
    <n v="0"/>
    <n v="1466884027"/>
    <n v="13201918722"/>
    <n v="14668802749"/>
    <n v="220031978"/>
    <n v="0"/>
    <n v="24448067"/>
    <n v="220031978"/>
    <n v="244480045"/>
    <n v="12.345599999999999"/>
    <n v="3.1477400000000002"/>
    <n v="2152.1999999999998"/>
    <n v="1322.01"/>
    <n v="1668"/>
    <n v="324"/>
    <x v="4"/>
  </r>
  <r>
    <s v="istree_exp4_disable_rebuild_helping/step10054.txt"/>
    <x v="1"/>
    <n v="72"/>
    <s v="reclaimer_debra"/>
    <s v="allocator_new"/>
    <s v="pool_none"/>
    <n v="60000"/>
    <n v="5"/>
    <n v="5"/>
    <n v="0"/>
    <n v="1"/>
    <n v="20000000"/>
    <n v="190"/>
    <n v="190"/>
    <n v="190"/>
    <n v="0"/>
    <s v="insertIfAbsent"/>
    <n v="100013403482205"/>
    <n v="10000816"/>
    <n v="100013403482205"/>
    <n v="10000816"/>
    <s v="success"/>
    <n v="7"/>
    <n v="1878092"/>
    <n v="11968522"/>
    <n v="13846614"/>
    <n v="10000816"/>
    <n v="7.3727"/>
    <n v="0.83559300000000003"/>
    <n v="4.0505599999999999"/>
    <n v="341760208"/>
    <s v="381 695955 5865494 147445564 370434"/>
    <s v="220 695848 5863108 147442931 370433"/>
    <n v="1679132"/>
    <n v="72518"/>
    <m/>
    <m/>
    <m/>
    <m/>
    <m/>
    <m/>
    <n v="9917335606"/>
    <n v="0"/>
    <n v="1101941674"/>
    <n v="9917335606"/>
    <n v="11019277280"/>
    <n v="165288926"/>
    <n v="0"/>
    <n v="18365694"/>
    <n v="165288926"/>
    <n v="183654621"/>
    <n v="19.2835"/>
    <n v="8.5639000000000003"/>
    <n v="2822.38"/>
    <n v="1900.83"/>
    <n v="2878"/>
    <n v="402"/>
    <x v="5"/>
  </r>
  <r>
    <s v="istree_exp4_disable_rebuild_helping/step10055.txt"/>
    <x v="1"/>
    <n v="72"/>
    <s v="reclaimer_debra"/>
    <s v="allocator_new"/>
    <s v="pool_none"/>
    <n v="60000"/>
    <n v="5"/>
    <n v="5"/>
    <n v="0"/>
    <n v="1"/>
    <n v="200000000"/>
    <n v="190"/>
    <n v="190"/>
    <n v="190"/>
    <n v="0"/>
    <s v="insertIfAbsent"/>
    <n v="9998459031872920"/>
    <n v="99981551"/>
    <n v="9998459031872920"/>
    <n v="99981551"/>
    <s v="success"/>
    <n v="7"/>
    <n v="14765162"/>
    <n v="117862143"/>
    <n v="132627305"/>
    <n v="99981551"/>
    <n v="8.98245"/>
    <n v="0.84829200000000005"/>
    <n v="4.0771600000000001"/>
    <n v="3071250544"/>
    <s v="26 159968 5653750 65385531 11213039"/>
    <s v="16 159965 5653484 65385372 11213019"/>
    <n v="253611"/>
    <n v="34736"/>
    <m/>
    <m/>
    <m/>
    <m/>
    <m/>
    <m/>
    <n v="7551964256"/>
    <n v="0"/>
    <n v="839133741"/>
    <n v="7551964256"/>
    <n v="8391097997"/>
    <n v="125866070"/>
    <n v="0"/>
    <n v="13985562"/>
    <n v="125866070"/>
    <n v="139851633"/>
    <n v="22.311199999999999"/>
    <n v="11.3817"/>
    <n v="3469.42"/>
    <n v="2588.64"/>
    <n v="14270"/>
    <n v="1119"/>
    <x v="6"/>
  </r>
  <r>
    <s v="istree_exp4_disable_rebuild_helping/step10056.txt"/>
    <x v="1"/>
    <n v="72"/>
    <s v="reclaimer_debra"/>
    <s v="allocator_new"/>
    <s v="pool_none"/>
    <n v="60000"/>
    <n v="5"/>
    <n v="5"/>
    <n v="0"/>
    <n v="1"/>
    <n v="2000000000"/>
    <n v="190"/>
    <n v="190"/>
    <n v="190"/>
    <n v="0"/>
    <s v="insertIfAbsent"/>
    <n v="1.0000222009473E+18"/>
    <n v="1000005903"/>
    <n v="1.0000222009473E+18"/>
    <n v="1000005903"/>
    <s v="success"/>
    <n v="7"/>
    <n v="116329643"/>
    <n v="1144118041"/>
    <n v="1260447684"/>
    <n v="1000005903"/>
    <n v="10.835100000000001"/>
    <n v="0.87404099999999996"/>
    <n v="4.0664999999999996"/>
    <n v="27642561280"/>
    <s v="2 31584 2150453 36814994 11747075"/>
    <s v="1 31584 2150437 36814989 11747075"/>
    <n v="31441"/>
    <n v="34626"/>
    <m/>
    <m/>
    <m/>
    <m/>
    <m/>
    <m/>
    <n v="5968502101"/>
    <n v="0"/>
    <n v="663127230"/>
    <n v="5968502101"/>
    <n v="6631629331"/>
    <n v="99475035"/>
    <n v="0"/>
    <n v="11052120"/>
    <n v="99475035"/>
    <n v="110527155"/>
    <n v="24.7925"/>
    <n v="15.7234"/>
    <n v="4519.67"/>
    <n v="3638.35"/>
    <n v="119816"/>
    <n v="9371"/>
    <x v="7"/>
  </r>
  <r>
    <s v="istree_exp4_disable_rebuild_helping/step10057.txt"/>
    <x v="1"/>
    <n v="72"/>
    <s v="reclaimer_debra"/>
    <s v="allocator_new"/>
    <s v="pool_none"/>
    <n v="60000"/>
    <n v="20"/>
    <n v="20"/>
    <n v="0"/>
    <n v="1"/>
    <n v="2000000"/>
    <n v="190"/>
    <n v="190"/>
    <n v="190"/>
    <n v="0"/>
    <s v="insertIfAbsent"/>
    <n v="999000805332"/>
    <n v="1000090"/>
    <n v="999000805332"/>
    <n v="1000090"/>
    <s v="success"/>
    <n v="6"/>
    <n v="33090"/>
    <n v="1032224"/>
    <n v="1065314"/>
    <n v="1000090"/>
    <n v="32.194400000000002"/>
    <n v="0.96886899999999998"/>
    <n v="3.0001099999999998"/>
    <n v="19162768"/>
    <s v="14103 10933460 5316152 43619427"/>
    <s v="4650 10815865 5277852 43611487"/>
    <n v="48468303"/>
    <n v="42062"/>
    <m/>
    <m/>
    <m/>
    <m/>
    <m/>
    <m/>
    <n v="3484017919"/>
    <n v="0"/>
    <n v="2322587668"/>
    <n v="3484017919"/>
    <n v="5806605587"/>
    <n v="58066965"/>
    <n v="0"/>
    <n v="38709794"/>
    <n v="58066965"/>
    <n v="96776759"/>
    <n v="24.874300000000002"/>
    <n v="11.845800000000001"/>
    <n v="5460.51"/>
    <n v="4167.75"/>
    <n v="1908"/>
    <n v="218"/>
    <x v="8"/>
  </r>
  <r>
    <s v="istree_exp4_disable_rebuild_helping/step10058.txt"/>
    <x v="1"/>
    <n v="72"/>
    <s v="reclaimer_debra"/>
    <s v="allocator_new"/>
    <s v="pool_none"/>
    <n v="60000"/>
    <n v="20"/>
    <n v="20"/>
    <n v="0"/>
    <n v="1"/>
    <n v="20000000"/>
    <n v="190"/>
    <n v="190"/>
    <n v="190"/>
    <n v="0"/>
    <s v="insertIfAbsent"/>
    <n v="100007442610733"/>
    <n v="10000443"/>
    <n v="100007442610733"/>
    <n v="10000443"/>
    <s v="success"/>
    <n v="7"/>
    <n v="1870597"/>
    <n v="11950523"/>
    <n v="13821120"/>
    <n v="10000443"/>
    <n v="7.3886099999999999"/>
    <n v="0.83682100000000004"/>
    <n v="4.0490500000000003"/>
    <n v="340869312"/>
    <s v="1762 1471184 12408654 311378302 781784"/>
    <s v="465 1470687 12398058 311363397 781768"/>
    <n v="5894479"/>
    <n v="44502"/>
    <m/>
    <m/>
    <m/>
    <m/>
    <m/>
    <m/>
    <n v="3489794710"/>
    <n v="0"/>
    <n v="2326509173"/>
    <n v="3489794710"/>
    <n v="5816303883"/>
    <n v="58163245"/>
    <n v="0"/>
    <n v="38775152"/>
    <n v="58163245"/>
    <n v="96938398"/>
    <n v="28.617100000000001"/>
    <n v="15.3103"/>
    <n v="5296.92"/>
    <n v="3646.92"/>
    <n v="2959"/>
    <n v="405"/>
    <x v="9"/>
  </r>
  <r>
    <s v="istree_exp4_disable_rebuild_helping/step10059.txt"/>
    <x v="1"/>
    <n v="72"/>
    <s v="reclaimer_debra"/>
    <s v="allocator_new"/>
    <s v="pool_none"/>
    <n v="60000"/>
    <n v="20"/>
    <n v="20"/>
    <n v="0"/>
    <n v="1"/>
    <n v="200000000"/>
    <n v="190"/>
    <n v="190"/>
    <n v="190"/>
    <n v="0"/>
    <s v="insertIfAbsent"/>
    <n v="9998929532326470"/>
    <n v="99993694"/>
    <n v="9998929532326470"/>
    <n v="99993694"/>
    <s v="success"/>
    <n v="7"/>
    <n v="11010047"/>
    <n v="109993797"/>
    <n v="121003844"/>
    <n v="99993694"/>
    <n v="10.9903"/>
    <n v="0.90908500000000003"/>
    <n v="4"/>
    <n v="2640704496"/>
    <s v="156 399951 13767542 155455394 26638462"/>
    <s v="40 399909 13766207 155454471 26638398"/>
    <n v="1017830"/>
    <n v="24712"/>
    <m/>
    <m/>
    <m/>
    <m/>
    <m/>
    <m/>
    <n v="2999933686"/>
    <n v="0"/>
    <n v="1999952000"/>
    <n v="2999933686"/>
    <n v="4999885686"/>
    <n v="49998894"/>
    <n v="0"/>
    <n v="33332533"/>
    <n v="49998894"/>
    <n v="83331428"/>
    <n v="31.573599999999999"/>
    <n v="17.712"/>
    <n v="5691.72"/>
    <n v="4221.8"/>
    <n v="14428"/>
    <n v="1094"/>
    <x v="10"/>
  </r>
  <r>
    <s v="istree_exp4_disable_rebuild_helping/step10060.txt"/>
    <x v="1"/>
    <n v="72"/>
    <s v="reclaimer_debra"/>
    <s v="allocator_new"/>
    <s v="pool_none"/>
    <n v="60000"/>
    <n v="20"/>
    <n v="20"/>
    <n v="0"/>
    <n v="1"/>
    <n v="2000000000"/>
    <n v="190"/>
    <n v="190"/>
    <n v="190"/>
    <n v="0"/>
    <s v="insertIfAbsent"/>
    <n v="9.9999651668966106E+17"/>
    <n v="1000000608"/>
    <n v="9.9999651668966106E+17"/>
    <n v="1000000608"/>
    <s v="success"/>
    <n v="7"/>
    <n v="124863089"/>
    <n v="1162775940"/>
    <n v="1287639029"/>
    <n v="1000000608"/>
    <n v="10.3124"/>
    <n v="0.86001099999999997"/>
    <n v="4.0853799999999998"/>
    <n v="28644452560"/>
    <s v="16 94772 6447952 110466692 32786585"/>
    <s v="3 94762 6447867 110466608 32786578"/>
    <n v="146469"/>
    <n v="23242"/>
    <m/>
    <m/>
    <m/>
    <m/>
    <m/>
    <m/>
    <n v="2631873746"/>
    <n v="0"/>
    <n v="1754603619"/>
    <n v="2631873746"/>
    <n v="4386477365"/>
    <n v="43864562"/>
    <n v="0"/>
    <n v="29243393"/>
    <n v="43864562"/>
    <n v="73107956"/>
    <n v="33.032200000000003"/>
    <n v="21.4864"/>
    <n v="6182.44"/>
    <n v="4939.8900000000003"/>
    <n v="120715"/>
    <n v="9080"/>
    <x v="11"/>
  </r>
  <r>
    <s v="istree_exp4_disable_rebuild_helping/step10061.txt"/>
    <x v="1"/>
    <n v="72"/>
    <s v="reclaimer_debra"/>
    <s v="allocator_new"/>
    <s v="pool_none"/>
    <n v="60000"/>
    <n v="0.5"/>
    <n v="0.5"/>
    <n v="0"/>
    <n v="1"/>
    <n v="2000000"/>
    <n v="190"/>
    <n v="190"/>
    <n v="190"/>
    <n v="0"/>
    <s v="insertIfAbsent"/>
    <n v="998842046273"/>
    <n v="999012"/>
    <n v="998842046273"/>
    <n v="999012"/>
    <s v="success"/>
    <n v="6"/>
    <n v="54297"/>
    <n v="1074613"/>
    <n v="1128910"/>
    <n v="999012"/>
    <n v="20.791399999999999"/>
    <n v="0.92964800000000003"/>
    <n v="3.0447000000000002"/>
    <n v="21560208"/>
    <s v="564 1190950 578518 4760077"/>
    <s v="507 1189873 578139 4760006"/>
    <n v="593101"/>
    <n v="175496"/>
    <m/>
    <m/>
    <m/>
    <m/>
    <m/>
    <m/>
    <n v="25104458798"/>
    <n v="0"/>
    <n v="253584604"/>
    <n v="25104458798"/>
    <n v="25358043402"/>
    <n v="418407646"/>
    <n v="0"/>
    <n v="4226410"/>
    <n v="418407646"/>
    <n v="422634056"/>
    <n v="8.6585300000000007"/>
    <n v="0.41629899999999997"/>
    <n v="1237.02"/>
    <n v="499.142"/>
    <n v="1436"/>
    <n v="469"/>
    <x v="0"/>
  </r>
  <r>
    <s v="istree_exp4_disable_rebuild_helping/step10062.txt"/>
    <x v="1"/>
    <n v="72"/>
    <s v="reclaimer_debra"/>
    <s v="allocator_new"/>
    <s v="pool_none"/>
    <n v="60000"/>
    <n v="0.5"/>
    <n v="0.5"/>
    <n v="0"/>
    <n v="1"/>
    <n v="20000000"/>
    <n v="190"/>
    <n v="190"/>
    <n v="190"/>
    <n v="0"/>
    <s v="insertIfAbsent"/>
    <n v="99988949438649"/>
    <n v="9999081"/>
    <n v="99988949438649"/>
    <n v="9999081"/>
    <s v="success"/>
    <n v="7"/>
    <n v="1779122"/>
    <n v="11754008"/>
    <n v="13533130"/>
    <n v="9999081"/>
    <n v="7.60663"/>
    <n v="0.85069499999999998"/>
    <n v="4.0306800000000003"/>
    <n v="330395536"/>
    <s v="33 94883 799445 20121809 50063"/>
    <s v="30 94882 799385 20121763 50063"/>
    <n v="72462"/>
    <n v="93180"/>
    <m/>
    <m/>
    <m/>
    <m/>
    <m/>
    <m/>
    <n v="14930237134"/>
    <n v="0"/>
    <n v="150811754"/>
    <n v="14930237134"/>
    <n v="15081048888"/>
    <n v="248837285"/>
    <n v="0"/>
    <n v="2513529"/>
    <n v="248837285"/>
    <n v="251350814"/>
    <n v="16.342400000000001"/>
    <n v="6.6612099999999996"/>
    <n v="2077.85"/>
    <n v="1306.3800000000001"/>
    <n v="2776"/>
    <n v="460"/>
    <x v="1"/>
  </r>
  <r>
    <s v="istree_exp4_disable_rebuild_helping/step10063.txt"/>
    <x v="1"/>
    <n v="72"/>
    <s v="reclaimer_debra"/>
    <s v="allocator_new"/>
    <s v="pool_none"/>
    <n v="60000"/>
    <n v="0.5"/>
    <n v="0.5"/>
    <n v="0"/>
    <n v="1"/>
    <n v="200000000"/>
    <n v="190"/>
    <n v="190"/>
    <n v="190"/>
    <n v="0"/>
    <s v="insertIfAbsent"/>
    <n v="1.00006671309071E+16"/>
    <n v="100000157"/>
    <n v="1.00006671309071E+16"/>
    <n v="100000157"/>
    <s v="success"/>
    <n v="7"/>
    <n v="13744286"/>
    <n v="115594947"/>
    <n v="129339233"/>
    <n v="100000157"/>
    <n v="9.4103999999999992"/>
    <n v="0.86509100000000005"/>
    <n v="4.0564200000000001"/>
    <n v="2950970656"/>
    <s v="2 19992 687472 8139789 1478742"/>
    <s v="2 19992 687469 8139788 1478742"/>
    <n v="9785"/>
    <n v="59074"/>
    <m/>
    <m/>
    <m/>
    <m/>
    <m/>
    <m/>
    <n v="11283531223"/>
    <n v="0"/>
    <n v="113990700"/>
    <n v="11283531223"/>
    <n v="11397521923"/>
    <n v="188058853"/>
    <n v="0"/>
    <n v="1899845"/>
    <n v="188058853"/>
    <n v="189958698"/>
    <n v="19.410299999999999"/>
    <n v="9.61904"/>
    <n v="2731.4"/>
    <n v="1987.7"/>
    <n v="13803"/>
    <n v="1055"/>
    <x v="2"/>
  </r>
  <r>
    <s v="istree_exp4_disable_rebuild_helping/step10064.txt"/>
    <x v="1"/>
    <n v="72"/>
    <s v="reclaimer_debra"/>
    <s v="allocator_new"/>
    <s v="pool_none"/>
    <n v="60000"/>
    <n v="0.5"/>
    <n v="0.5"/>
    <n v="0"/>
    <n v="1"/>
    <n v="2000000000"/>
    <n v="190"/>
    <n v="190"/>
    <n v="190"/>
    <n v="0"/>
    <s v="insertIfAbsent"/>
    <n v="1.00000355857554E+18"/>
    <n v="999997622"/>
    <n v="1.00000355857554E+18"/>
    <n v="999997622"/>
    <s v="success"/>
    <n v="7"/>
    <n v="104073401"/>
    <n v="1118505549"/>
    <n v="1222578950"/>
    <n v="999997622"/>
    <n v="11.747299999999999"/>
    <n v="0.89404799999999995"/>
    <n v="4.0402899999999997"/>
    <n v="26233501312"/>
    <s v="0 0 0 599091 790322"/>
    <s v="0 0 0 599091 790322"/>
    <m/>
    <n v="51230"/>
    <m/>
    <m/>
    <m/>
    <m/>
    <m/>
    <m/>
    <n v="8611021847"/>
    <n v="0"/>
    <n v="86981573"/>
    <n v="8611021847"/>
    <n v="8698003420"/>
    <n v="143517030"/>
    <n v="0"/>
    <n v="1449692"/>
    <n v="143517030"/>
    <n v="144966723"/>
    <n v="22.1996"/>
    <n v="14.1454"/>
    <n v="3648.71"/>
    <n v="2906.69"/>
    <n v="62224"/>
    <n v="9134"/>
    <x v="3"/>
  </r>
  <r>
    <s v="istree_exp4_disable_rebuild_helping/step10065.txt"/>
    <x v="1"/>
    <n v="72"/>
    <s v="reclaimer_debra"/>
    <s v="allocator_new"/>
    <s v="pool_none"/>
    <n v="60000"/>
    <n v="5"/>
    <n v="5"/>
    <n v="0"/>
    <n v="1"/>
    <n v="2000000"/>
    <n v="190"/>
    <n v="190"/>
    <n v="190"/>
    <n v="0"/>
    <s v="insertIfAbsent"/>
    <n v="1000353511462"/>
    <n v="1000561"/>
    <n v="1000353511462"/>
    <n v="1000561"/>
    <s v="success"/>
    <n v="6"/>
    <n v="52716"/>
    <n v="1072821"/>
    <n v="1125537"/>
    <n v="1000561"/>
    <n v="21.350999999999999"/>
    <n v="0.93264499999999995"/>
    <n v="3.04108"/>
    <n v="21401232"/>
    <s v="5593 6882295 3344548 27478016"/>
    <s v="2930 6840825 3331169 27475337"/>
    <n v="15642512"/>
    <n v="100182"/>
    <m/>
    <m/>
    <m/>
    <m/>
    <m/>
    <m/>
    <n v="13172455597"/>
    <n v="0"/>
    <n v="1463693239"/>
    <n v="13172455597"/>
    <n v="14636148836"/>
    <n v="219540926"/>
    <n v="0"/>
    <n v="24394887"/>
    <n v="219540926"/>
    <n v="243935813"/>
    <n v="12.334300000000001"/>
    <n v="3.1441599999999998"/>
    <n v="2156.46"/>
    <n v="1324"/>
    <n v="1672"/>
    <n v="390"/>
    <x v="4"/>
  </r>
  <r>
    <s v="istree_exp4_disable_rebuild_helping/step10066.txt"/>
    <x v="1"/>
    <n v="72"/>
    <s v="reclaimer_debra"/>
    <s v="allocator_new"/>
    <s v="pool_none"/>
    <n v="60000"/>
    <n v="5"/>
    <n v="5"/>
    <n v="0"/>
    <n v="1"/>
    <n v="20000000"/>
    <n v="190"/>
    <n v="190"/>
    <n v="190"/>
    <n v="0"/>
    <s v="insertIfAbsent"/>
    <n v="100012205117312"/>
    <n v="10002217"/>
    <n v="100012205117312"/>
    <n v="10002217"/>
    <s v="success"/>
    <n v="7"/>
    <n v="1799849"/>
    <n v="11806100"/>
    <n v="13605949"/>
    <n v="10002217"/>
    <n v="7.5594900000000003"/>
    <n v="0.84720799999999996"/>
    <n v="4.0355800000000004"/>
    <n v="332889296"/>
    <s v="373 695956 5868188 147164532 370564"/>
    <s v="219 695845 5865715 147161826 370559"/>
    <n v="1684197"/>
    <n v="72484"/>
    <m/>
    <m/>
    <m/>
    <m/>
    <m/>
    <m/>
    <n v="9896413852"/>
    <n v="0"/>
    <n v="1099566394"/>
    <n v="9896413852"/>
    <n v="10995980246"/>
    <n v="164940230"/>
    <n v="0"/>
    <n v="18326106"/>
    <n v="164940230"/>
    <n v="183266337"/>
    <n v="19.265999999999998"/>
    <n v="8.5622900000000008"/>
    <n v="2828.66"/>
    <n v="1900.5"/>
    <n v="2881"/>
    <n v="424"/>
    <x v="5"/>
  </r>
  <r>
    <s v="istree_exp4_disable_rebuild_helping/step10067.txt"/>
    <x v="1"/>
    <n v="72"/>
    <s v="reclaimer_debra"/>
    <s v="allocator_new"/>
    <s v="pool_none"/>
    <n v="60000"/>
    <n v="5"/>
    <n v="5"/>
    <n v="0"/>
    <n v="1"/>
    <n v="200000000"/>
    <n v="190"/>
    <n v="190"/>
    <n v="190"/>
    <n v="0"/>
    <s v="insertIfAbsent"/>
    <n v="9998860108340620"/>
    <n v="99986418"/>
    <n v="9998860108340620"/>
    <n v="99986418"/>
    <s v="success"/>
    <n v="7"/>
    <n v="14469085"/>
    <n v="117195681"/>
    <n v="131664766"/>
    <n v="99986418"/>
    <n v="9.0997299999999992"/>
    <n v="0.85315799999999997"/>
    <n v="4.0698100000000004"/>
    <n v="3036453280"/>
    <s v="34 160263 5751491 65762994 11261769"/>
    <s v="16 160254 5751205 65762841 11261754"/>
    <n v="261935"/>
    <n v="35190"/>
    <m/>
    <m/>
    <m/>
    <m/>
    <m/>
    <m/>
    <n v="7582729922"/>
    <n v="0"/>
    <n v="842531111"/>
    <n v="7582729922"/>
    <n v="8425261033"/>
    <n v="126378832"/>
    <n v="0"/>
    <n v="14042185"/>
    <n v="126378832"/>
    <n v="140421017"/>
    <n v="22.281600000000001"/>
    <n v="11.3833"/>
    <n v="3455.22"/>
    <n v="2581.85"/>
    <n v="14293"/>
    <n v="1150"/>
    <x v="6"/>
  </r>
  <r>
    <s v="istree_exp4_disable_rebuild_helping/step10068.txt"/>
    <x v="1"/>
    <n v="72"/>
    <s v="reclaimer_debra"/>
    <s v="allocator_new"/>
    <s v="pool_none"/>
    <n v="60000"/>
    <n v="5"/>
    <n v="5"/>
    <n v="0"/>
    <n v="1"/>
    <n v="2000000000"/>
    <n v="190"/>
    <n v="190"/>
    <n v="190"/>
    <n v="0"/>
    <s v="insertIfAbsent"/>
    <n v="9.9998447764319206E+17"/>
    <n v="999974309"/>
    <n v="9.9998447764319206E+17"/>
    <n v="999974309"/>
    <s v="success"/>
    <n v="7"/>
    <n v="116832484"/>
    <n v="1145160518"/>
    <n v="1261993002"/>
    <n v="999974309"/>
    <n v="10.8017"/>
    <n v="0.87321800000000005"/>
    <n v="4.0676100000000002"/>
    <n v="27700614336"/>
    <s v="1 31590 2149317 37046502 11837768"/>
    <s v="1 31590 2149298 37046490 11837768"/>
    <n v="31479"/>
    <n v="34776"/>
    <m/>
    <m/>
    <m/>
    <m/>
    <m/>
    <m/>
    <n v="6004561212"/>
    <n v="0"/>
    <n v="667202120"/>
    <n v="6004561212"/>
    <n v="6671763332"/>
    <n v="100076020"/>
    <n v="0"/>
    <n v="11120035"/>
    <n v="100076020"/>
    <n v="111196055"/>
    <n v="24.744499999999999"/>
    <n v="15.712300000000001"/>
    <n v="4492.4799999999996"/>
    <n v="3626.52"/>
    <n v="119818"/>
    <n v="9173"/>
    <x v="7"/>
  </r>
  <r>
    <s v="istree_exp4_disable_rebuild_helping/step10069.txt"/>
    <x v="1"/>
    <n v="72"/>
    <s v="reclaimer_debra"/>
    <s v="allocator_new"/>
    <s v="pool_none"/>
    <n v="60000"/>
    <n v="20"/>
    <n v="20"/>
    <n v="0"/>
    <n v="1"/>
    <n v="2000000"/>
    <n v="190"/>
    <n v="190"/>
    <n v="190"/>
    <n v="0"/>
    <s v="insertIfAbsent"/>
    <n v="1000373116178"/>
    <n v="1000025"/>
    <n v="1000373116178"/>
    <n v="1000025"/>
    <s v="success"/>
    <n v="6"/>
    <n v="54109"/>
    <n v="1074978"/>
    <n v="1129087"/>
    <n v="1000025"/>
    <n v="20.866900000000001"/>
    <n v="0.93027499999999996"/>
    <n v="3.04406"/>
    <n v="21548336"/>
    <s v="14227 10908813 5297850 43513177"/>
    <s v="4640 10791734 5259640 43505078"/>
    <n v="48335815"/>
    <n v="42078"/>
    <m/>
    <m/>
    <m/>
    <m/>
    <m/>
    <m/>
    <n v="3476629744"/>
    <n v="0"/>
    <n v="2317713284"/>
    <n v="3476629744"/>
    <n v="5794343028"/>
    <n v="57943829"/>
    <n v="0"/>
    <n v="38628554"/>
    <n v="57943829"/>
    <n v="96572383"/>
    <n v="24.9026"/>
    <n v="11.872"/>
    <n v="5473.69"/>
    <n v="4186.91"/>
    <n v="1869"/>
    <n v="422"/>
    <x v="8"/>
  </r>
  <r>
    <s v="istree_exp4_disable_rebuild_helping/step10070.txt"/>
    <x v="1"/>
    <n v="72"/>
    <s v="reclaimer_debra"/>
    <s v="allocator_new"/>
    <s v="pool_none"/>
    <n v="60000"/>
    <n v="20"/>
    <n v="20"/>
    <n v="0"/>
    <n v="1"/>
    <n v="20000000"/>
    <n v="190"/>
    <n v="190"/>
    <n v="190"/>
    <n v="0"/>
    <s v="insertIfAbsent"/>
    <n v="100008559253363"/>
    <n v="10000843"/>
    <n v="100008559253363"/>
    <n v="10000843"/>
    <s v="success"/>
    <n v="7"/>
    <n v="1897773"/>
    <n v="12017479"/>
    <n v="13915252"/>
    <n v="10000843"/>
    <n v="7.3324100000000003"/>
    <n v="0.83219100000000001"/>
    <n v="4.0543199999999997"/>
    <n v="344137408"/>
    <s v="1733 1471360 12418273 311599484 782026"/>
    <s v="465 1470862 12407699 311584792 782012"/>
    <n v="5902396"/>
    <n v="44550"/>
    <m/>
    <m/>
    <m/>
    <m/>
    <m/>
    <m/>
    <n v="3491696147"/>
    <n v="0"/>
    <n v="2327823926"/>
    <n v="3491696147"/>
    <n v="5819520073"/>
    <n v="58194935"/>
    <n v="0"/>
    <n v="38797065"/>
    <n v="58194935"/>
    <n v="96992001"/>
    <n v="28.6158"/>
    <n v="15.3049"/>
    <n v="5289.33"/>
    <n v="3638.22"/>
    <n v="2959"/>
    <n v="375"/>
    <x v="9"/>
  </r>
  <r>
    <s v="istree_exp4_disable_rebuild_helping/step10071.txt"/>
    <x v="1"/>
    <n v="72"/>
    <s v="reclaimer_debra"/>
    <s v="allocator_new"/>
    <s v="pool_none"/>
    <n v="60000"/>
    <n v="20"/>
    <n v="20"/>
    <n v="0"/>
    <n v="1"/>
    <n v="200000000"/>
    <n v="190"/>
    <n v="190"/>
    <n v="190"/>
    <n v="0"/>
    <s v="insertIfAbsent"/>
    <n v="9999908193816980"/>
    <n v="99992765"/>
    <n v="9999908193816980"/>
    <n v="99992765"/>
    <s v="success"/>
    <n v="7"/>
    <n v="11775063"/>
    <n v="111531759"/>
    <n v="123306822"/>
    <n v="99992765"/>
    <n v="10.4719"/>
    <n v="0.89654100000000003"/>
    <n v="4.01546"/>
    <n v="2726684624"/>
    <s v="154 389935 13429337 151599038 25982688"/>
    <s v="39 389892 13428135 151598139 25982633"/>
    <n v="984522"/>
    <n v="24316"/>
    <m/>
    <m/>
    <m/>
    <m/>
    <m/>
    <m/>
    <n v="2929625778"/>
    <n v="0"/>
    <n v="1953088962"/>
    <n v="2929625778"/>
    <n v="4882714740"/>
    <n v="48827096"/>
    <n v="0"/>
    <n v="32551482"/>
    <n v="48827096"/>
    <n v="81378579"/>
    <n v="31.7241"/>
    <n v="17.714700000000001"/>
    <n v="5828.88"/>
    <n v="4362.43"/>
    <n v="14454"/>
    <n v="1096"/>
    <x v="10"/>
  </r>
  <r>
    <s v="istree_exp4_disable_rebuild_helping/step10072.txt"/>
    <x v="1"/>
    <n v="72"/>
    <s v="reclaimer_debra"/>
    <s v="allocator_new"/>
    <s v="pool_none"/>
    <n v="60000"/>
    <n v="20"/>
    <n v="20"/>
    <n v="0"/>
    <n v="1"/>
    <n v="2000000000"/>
    <n v="190"/>
    <n v="190"/>
    <n v="190"/>
    <n v="0"/>
    <s v="insertIfAbsent"/>
    <n v="9.9999182849498496E+17"/>
    <n v="999996469"/>
    <n v="9.9999182849498496E+17"/>
    <n v="999996469"/>
    <s v="success"/>
    <n v="7"/>
    <n v="124967086"/>
    <n v="1163019476"/>
    <n v="1287986562"/>
    <n v="999996469"/>
    <n v="10.3066"/>
    <n v="0.85982800000000004"/>
    <n v="4.08561"/>
    <n v="28656788208"/>
    <s v="16 94772 6447367 110616686 32821521"/>
    <s v="3 94764 6447291 110616610 32821517"/>
    <n v="145821"/>
    <n v="23428"/>
    <m/>
    <m/>
    <m/>
    <m/>
    <m/>
    <m/>
    <n v="2634108670"/>
    <n v="0"/>
    <n v="1756138126"/>
    <n v="2634108670"/>
    <n v="4390246796"/>
    <n v="43901811"/>
    <n v="0"/>
    <n v="29268968"/>
    <n v="43901811"/>
    <n v="73170779"/>
    <n v="33.0289"/>
    <n v="21.4877"/>
    <n v="6168.91"/>
    <n v="4932.42"/>
    <n v="120721"/>
    <n v="8979"/>
    <x v="11"/>
  </r>
  <r>
    <m/>
    <x v="2"/>
    <m/>
    <m/>
    <m/>
    <m/>
    <m/>
    <m/>
    <m/>
    <m/>
    <m/>
    <m/>
    <m/>
    <m/>
    <m/>
    <m/>
    <m/>
    <m/>
    <m/>
    <m/>
    <m/>
    <m/>
    <m/>
    <m/>
    <m/>
    <m/>
    <m/>
    <m/>
    <m/>
    <m/>
    <m/>
    <m/>
    <m/>
    <m/>
    <m/>
    <m/>
    <m/>
    <m/>
    <m/>
    <m/>
    <m/>
    <m/>
    <m/>
    <m/>
    <m/>
    <m/>
    <m/>
    <m/>
    <m/>
    <m/>
    <m/>
    <m/>
    <m/>
    <m/>
    <m/>
    <m/>
    <m/>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8" applyNumberFormats="0" applyBorderFormats="0" applyFontFormats="0" applyPatternFormats="0" applyAlignmentFormats="0" applyWidthHeightFormats="1" dataCaption="Values" updatedVersion="6" minRefreshableVersion="3" rowGrandTotals="0" colGrandTotals="0" itemPrintTitles="1" createdVersion="5" indent="0" outline="1" outlineData="1" multipleFieldFilters="0" chartFormat="7">
  <location ref="A4:C17" firstHeaderRow="1" firstDataRow="2" firstDataCol="1"/>
  <pivotFields count="58">
    <pivotField showAll="0" defaultSubtotal="0"/>
    <pivotField axis="axisCol" showAll="0" defaultSubtotal="0">
      <items count="3">
        <item h="1" x="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sortType="descending" defaultSubtotal="0">
      <items count="13">
        <item x="12"/>
        <item x="11"/>
        <item x="10"/>
        <item x="9"/>
        <item x="8"/>
        <item x="7"/>
        <item x="6"/>
        <item x="5"/>
        <item x="4"/>
        <item x="3"/>
        <item x="2"/>
        <item x="1"/>
        <item x="0"/>
      </items>
    </pivotField>
  </pivotFields>
  <rowFields count="1">
    <field x="57"/>
  </rowFields>
  <rowItems count="12">
    <i>
      <x v="1"/>
    </i>
    <i>
      <x v="2"/>
    </i>
    <i>
      <x v="3"/>
    </i>
    <i>
      <x v="4"/>
    </i>
    <i>
      <x v="5"/>
    </i>
    <i>
      <x v="6"/>
    </i>
    <i>
      <x v="7"/>
    </i>
    <i>
      <x v="8"/>
    </i>
    <i>
      <x v="9"/>
    </i>
    <i>
      <x v="10"/>
    </i>
    <i>
      <x v="11"/>
    </i>
    <i>
      <x v="12"/>
    </i>
  </rowItems>
  <colFields count="1">
    <field x="1"/>
  </colFields>
  <colItems count="2">
    <i>
      <x v="1"/>
    </i>
    <i>
      <x v="2"/>
    </i>
  </colItems>
  <dataFields count="1">
    <dataField name="Average of total_throughput" fld="50" subtotal="average" baseField="13" baseItem="0" numFmtId="1"/>
  </dataFields>
  <formats count="2">
    <format dxfId="8">
      <pivotArea outline="0" collapsedLevelsAreSubtotals="1" fieldPosition="0"/>
    </format>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7" growShrinkType="overwriteClear" connectionId="6"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6" growShrinkType="overwriteClear" connectionId="5"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5" growShrinkType="overwriteClear" connectionId="4"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queryTables/queryTable5.xml><?xml version="1.0" encoding="utf-8"?>
<queryTable xmlns="http://schemas.openxmlformats.org/spreadsheetml/2006/main" name="ExternalData_11" growShrinkType="overwriteClear" connectionId="7" autoFormatId="0" applyNumberFormats="0" applyBorderFormats="0" applyFontFormats="1" applyPatternFormats="1" applyAlignmentFormats="0" applyWidthHeightFormats="0"/>
</file>

<file path=xl/queryTables/queryTable6.xml><?xml version="1.0" encoding="utf-8"?>
<queryTable xmlns="http://schemas.openxmlformats.org/spreadsheetml/2006/main" name="ExternalData_14" growShrinkType="overwriteClear" connectionId="3" autoFormatId="0" applyNumberFormats="0" applyBorderFormats="0" applyFontFormats="1" applyPatternFormats="1" applyAlignmentFormats="0" applyWidthHeightFormats="0"/>
</file>

<file path=xl/queryTables/queryTable7.xml><?xml version="1.0" encoding="utf-8"?>
<queryTable xmlns="http://schemas.openxmlformats.org/spreadsheetml/2006/main" name="ExternalData_13" growShrinkType="overwriteClear" connectionId="2"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F73"/>
  <sheetViews>
    <sheetView workbookViewId="0">
      <selection activeCell="BC16" sqref="BC16"/>
    </sheetView>
  </sheetViews>
  <sheetFormatPr defaultRowHeight="14.6"/>
  <cols>
    <col min="1" max="1" width="43.765625" bestFit="1" customWidth="1"/>
    <col min="2" max="2" width="22.84375" bestFit="1"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10.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10.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21.15234375" bestFit="1" customWidth="1"/>
    <col min="31" max="31" width="19.3046875" bestFit="1" customWidth="1"/>
    <col min="32" max="32" width="37.15234375" bestFit="1" customWidth="1"/>
    <col min="33" max="33" width="42.3046875" bestFit="1" customWidth="1"/>
    <col min="34" max="34" width="26.15234375" bestFit="1" customWidth="1"/>
    <col min="35" max="35" width="35.765625" bestFit="1" customWidth="1"/>
    <col min="36" max="36" width="24.23046875" bestFit="1" customWidth="1"/>
    <col min="37" max="37" width="31.07421875" bestFit="1" customWidth="1"/>
    <col min="38" max="38" width="35.69140625" bestFit="1" customWidth="1"/>
    <col min="39" max="39" width="32.4609375" bestFit="1" customWidth="1"/>
    <col min="40" max="40" width="30.61328125" bestFit="1" customWidth="1"/>
    <col min="41" max="41" width="33.61328125" bestFit="1" customWidth="1"/>
    <col min="42" max="42" width="11.84375" customWidth="1"/>
    <col min="43" max="43" width="7.4609375" bestFit="1" customWidth="1"/>
    <col min="44" max="44" width="12.3046875" bestFit="1" customWidth="1"/>
    <col min="45" max="46" width="11.84375" bestFit="1" customWidth="1"/>
    <col min="47" max="47" width="14.61328125" bestFit="1" customWidth="1"/>
    <col min="48" max="48" width="13.15234375" bestFit="1" customWidth="1"/>
    <col min="49" max="49" width="17.3046875" bestFit="1" customWidth="1"/>
    <col min="50" max="50" width="16.15234375" bestFit="1" customWidth="1"/>
    <col min="51" max="51" width="15.23046875" bestFit="1" customWidth="1"/>
    <col min="52" max="53" width="12.15234375" bestFit="1" customWidth="1"/>
    <col min="54" max="54" width="13.07421875" bestFit="1" customWidth="1"/>
    <col min="55" max="55" width="12.3046875" bestFit="1" customWidth="1"/>
    <col min="56" max="56" width="14.765625" bestFit="1" customWidth="1"/>
    <col min="57" max="57" width="16.3828125" bestFit="1" customWidth="1"/>
  </cols>
  <sheetData>
    <row r="1" spans="1:58">
      <c r="A1" t="s">
        <v>20</v>
      </c>
      <c r="B1" t="s">
        <v>21</v>
      </c>
      <c r="C1" t="s">
        <v>22</v>
      </c>
      <c r="D1" t="s">
        <v>23</v>
      </c>
      <c r="E1" t="s">
        <v>24</v>
      </c>
      <c r="F1" t="s">
        <v>25</v>
      </c>
      <c r="G1" t="s">
        <v>26</v>
      </c>
      <c r="H1" t="s">
        <v>27</v>
      </c>
      <c r="I1" t="s">
        <v>28</v>
      </c>
      <c r="J1" t="s">
        <v>29</v>
      </c>
      <c r="K1" t="s">
        <v>30</v>
      </c>
      <c r="L1" t="s">
        <v>31</v>
      </c>
      <c r="M1" t="s">
        <v>32</v>
      </c>
      <c r="N1" t="s">
        <v>33</v>
      </c>
      <c r="O1" t="s">
        <v>34</v>
      </c>
      <c r="P1" t="s">
        <v>35</v>
      </c>
      <c r="Q1" t="s">
        <v>36</v>
      </c>
      <c r="R1" t="s">
        <v>66</v>
      </c>
      <c r="S1" t="s">
        <v>67</v>
      </c>
      <c r="T1" t="s">
        <v>45</v>
      </c>
      <c r="U1" t="s">
        <v>68</v>
      </c>
      <c r="V1" t="s">
        <v>69</v>
      </c>
      <c r="W1" t="s">
        <v>37</v>
      </c>
      <c r="X1" t="s">
        <v>38</v>
      </c>
      <c r="Y1" t="s">
        <v>39</v>
      </c>
      <c r="Z1" t="s">
        <v>40</v>
      </c>
      <c r="AA1" t="s">
        <v>41</v>
      </c>
      <c r="AB1" t="s">
        <v>42</v>
      </c>
      <c r="AC1" t="s">
        <v>43</v>
      </c>
      <c r="AD1" t="s">
        <v>44</v>
      </c>
      <c r="AE1" t="s">
        <v>73</v>
      </c>
      <c r="AF1" t="s">
        <v>74</v>
      </c>
      <c r="AG1" t="s">
        <v>75</v>
      </c>
      <c r="AH1" t="s">
        <v>76</v>
      </c>
      <c r="AI1" t="s">
        <v>77</v>
      </c>
      <c r="AJ1" t="s">
        <v>146</v>
      </c>
      <c r="AK1" t="s">
        <v>147</v>
      </c>
      <c r="AL1" t="s">
        <v>148</v>
      </c>
      <c r="AM1" t="s">
        <v>149</v>
      </c>
      <c r="AN1" t="s">
        <v>150</v>
      </c>
      <c r="AO1" t="s">
        <v>151</v>
      </c>
      <c r="AP1" t="s">
        <v>46</v>
      </c>
      <c r="AQ1" t="s">
        <v>47</v>
      </c>
      <c r="AR1" t="s">
        <v>48</v>
      </c>
      <c r="AS1" t="s">
        <v>49</v>
      </c>
      <c r="AT1" t="s">
        <v>50</v>
      </c>
      <c r="AU1" t="s">
        <v>51</v>
      </c>
      <c r="AV1" t="s">
        <v>52</v>
      </c>
      <c r="AW1" t="s">
        <v>53</v>
      </c>
      <c r="AX1" t="s">
        <v>54</v>
      </c>
      <c r="AY1" t="s">
        <v>55</v>
      </c>
      <c r="AZ1" t="s">
        <v>56</v>
      </c>
      <c r="BA1" t="s">
        <v>57</v>
      </c>
      <c r="BB1" t="s">
        <v>58</v>
      </c>
      <c r="BC1" t="s">
        <v>78</v>
      </c>
      <c r="BD1" t="s">
        <v>71</v>
      </c>
      <c r="BE1" t="s">
        <v>72</v>
      </c>
      <c r="BF1" t="s">
        <v>64</v>
      </c>
    </row>
    <row r="2" spans="1:58">
      <c r="A2" t="s">
        <v>92</v>
      </c>
      <c r="B2" t="s">
        <v>79</v>
      </c>
      <c r="C2">
        <v>72</v>
      </c>
      <c r="D2" t="s">
        <v>63</v>
      </c>
      <c r="E2" t="s">
        <v>59</v>
      </c>
      <c r="F2" t="s">
        <v>60</v>
      </c>
      <c r="G2">
        <v>60000</v>
      </c>
      <c r="H2">
        <v>0.5</v>
      </c>
      <c r="I2">
        <v>0.5</v>
      </c>
      <c r="J2">
        <v>0</v>
      </c>
      <c r="K2">
        <v>1</v>
      </c>
      <c r="L2">
        <v>2000000</v>
      </c>
      <c r="M2">
        <v>190</v>
      </c>
      <c r="N2">
        <v>190</v>
      </c>
      <c r="O2">
        <v>190</v>
      </c>
      <c r="P2">
        <v>0</v>
      </c>
      <c r="Q2" t="s">
        <v>61</v>
      </c>
      <c r="R2">
        <v>1000374343650</v>
      </c>
      <c r="S2">
        <v>1000332</v>
      </c>
      <c r="T2">
        <v>1000374343650</v>
      </c>
      <c r="U2">
        <v>1000332</v>
      </c>
      <c r="V2" t="s">
        <v>70</v>
      </c>
      <c r="W2">
        <v>6</v>
      </c>
      <c r="X2">
        <v>33076</v>
      </c>
      <c r="Y2">
        <v>1032449</v>
      </c>
      <c r="Z2">
        <v>1065525</v>
      </c>
      <c r="AA2">
        <v>1000332</v>
      </c>
      <c r="AB2">
        <v>32.214399999999998</v>
      </c>
      <c r="AC2">
        <v>0.96889199999999998</v>
      </c>
      <c r="AD2">
        <v>3.0000800000000001</v>
      </c>
      <c r="AE2">
        <v>19165248</v>
      </c>
      <c r="AF2" t="s">
        <v>152</v>
      </c>
      <c r="AG2" t="s">
        <v>153</v>
      </c>
      <c r="AI2">
        <v>122320</v>
      </c>
      <c r="AP2">
        <v>17694314315</v>
      </c>
      <c r="AQ2">
        <v>0</v>
      </c>
      <c r="AR2">
        <v>178746064</v>
      </c>
      <c r="AS2">
        <v>17694314315</v>
      </c>
      <c r="AT2">
        <v>17873060379</v>
      </c>
      <c r="AU2">
        <v>294905238</v>
      </c>
      <c r="AV2">
        <v>0</v>
      </c>
      <c r="AW2">
        <v>2979101</v>
      </c>
      <c r="AX2">
        <v>294905238</v>
      </c>
      <c r="AY2">
        <v>297884339</v>
      </c>
      <c r="AZ2">
        <v>8.5275200000000009</v>
      </c>
      <c r="BA2">
        <v>0.39318900000000001</v>
      </c>
      <c r="BB2">
        <v>1745.68</v>
      </c>
      <c r="BC2">
        <v>409.858</v>
      </c>
      <c r="BD2">
        <v>2833</v>
      </c>
      <c r="BE2">
        <v>291</v>
      </c>
      <c r="BF2" t="str">
        <f>"u="&amp;(H2+I2)&amp;"% k=2x10^"&amp;LOG10(L2/2)</f>
        <v>u=1% k=2x10^6</v>
      </c>
    </row>
    <row r="3" spans="1:58">
      <c r="A3" t="s">
        <v>93</v>
      </c>
      <c r="B3" t="s">
        <v>79</v>
      </c>
      <c r="C3">
        <v>72</v>
      </c>
      <c r="D3" t="s">
        <v>63</v>
      </c>
      <c r="E3" t="s">
        <v>59</v>
      </c>
      <c r="F3" t="s">
        <v>60</v>
      </c>
      <c r="G3">
        <v>60000</v>
      </c>
      <c r="H3">
        <v>0.5</v>
      </c>
      <c r="I3">
        <v>0.5</v>
      </c>
      <c r="J3">
        <v>0</v>
      </c>
      <c r="K3">
        <v>1</v>
      </c>
      <c r="L3">
        <v>20000000</v>
      </c>
      <c r="M3">
        <v>190</v>
      </c>
      <c r="N3">
        <v>190</v>
      </c>
      <c r="O3">
        <v>190</v>
      </c>
      <c r="P3">
        <v>0</v>
      </c>
      <c r="Q3" t="s">
        <v>61</v>
      </c>
      <c r="R3">
        <v>99993474445718</v>
      </c>
      <c r="S3">
        <v>9997061</v>
      </c>
      <c r="T3">
        <v>99993474445718</v>
      </c>
      <c r="U3">
        <v>9997061</v>
      </c>
      <c r="V3" t="s">
        <v>70</v>
      </c>
      <c r="W3">
        <v>7</v>
      </c>
      <c r="X3">
        <v>1804536</v>
      </c>
      <c r="Y3">
        <v>11810561</v>
      </c>
      <c r="Z3">
        <v>13615097</v>
      </c>
      <c r="AA3">
        <v>9997061</v>
      </c>
      <c r="AB3">
        <v>7.5449299999999999</v>
      </c>
      <c r="AC3">
        <v>0.84645099999999995</v>
      </c>
      <c r="AD3">
        <v>4.03667</v>
      </c>
      <c r="AE3">
        <v>333336464</v>
      </c>
      <c r="AF3" t="s">
        <v>154</v>
      </c>
      <c r="AG3" t="s">
        <v>155</v>
      </c>
      <c r="AI3">
        <v>63844</v>
      </c>
      <c r="AP3">
        <v>10369126682</v>
      </c>
      <c r="AQ3">
        <v>0</v>
      </c>
      <c r="AR3">
        <v>104726313</v>
      </c>
      <c r="AS3">
        <v>10369126682</v>
      </c>
      <c r="AT3">
        <v>10473852995</v>
      </c>
      <c r="AU3">
        <v>172818778</v>
      </c>
      <c r="AV3">
        <v>0</v>
      </c>
      <c r="AW3">
        <v>1745438</v>
      </c>
      <c r="AX3">
        <v>172818778</v>
      </c>
      <c r="AY3">
        <v>174564216</v>
      </c>
      <c r="AZ3">
        <v>16.074400000000001</v>
      </c>
      <c r="BA3">
        <v>6.5980800000000004</v>
      </c>
      <c r="BB3">
        <v>2991.13</v>
      </c>
      <c r="BC3">
        <v>1248.52</v>
      </c>
      <c r="BD3">
        <v>3761</v>
      </c>
      <c r="BE3">
        <v>353</v>
      </c>
      <c r="BF3" t="str">
        <f t="shared" ref="BF3:BF66" si="0">"u="&amp;(H3+I3)&amp;"% k=2x10^"&amp;LOG10(L3/2)</f>
        <v>u=1% k=2x10^7</v>
      </c>
    </row>
    <row r="4" spans="1:58">
      <c r="A4" t="s">
        <v>94</v>
      </c>
      <c r="B4" t="s">
        <v>79</v>
      </c>
      <c r="C4">
        <v>72</v>
      </c>
      <c r="D4" t="s">
        <v>63</v>
      </c>
      <c r="E4" t="s">
        <v>59</v>
      </c>
      <c r="F4" t="s">
        <v>60</v>
      </c>
      <c r="G4">
        <v>60000</v>
      </c>
      <c r="H4">
        <v>0.5</v>
      </c>
      <c r="I4">
        <v>0.5</v>
      </c>
      <c r="J4">
        <v>0</v>
      </c>
      <c r="K4">
        <v>1</v>
      </c>
      <c r="L4">
        <v>200000000</v>
      </c>
      <c r="M4">
        <v>190</v>
      </c>
      <c r="N4">
        <v>190</v>
      </c>
      <c r="O4">
        <v>190</v>
      </c>
      <c r="P4">
        <v>0</v>
      </c>
      <c r="Q4" t="s">
        <v>61</v>
      </c>
      <c r="R4">
        <v>9999747247632900</v>
      </c>
      <c r="S4">
        <v>99994890</v>
      </c>
      <c r="T4">
        <v>9999747247632900</v>
      </c>
      <c r="U4">
        <v>99994890</v>
      </c>
      <c r="V4" t="s">
        <v>70</v>
      </c>
      <c r="W4">
        <v>7</v>
      </c>
      <c r="X4">
        <v>12333924</v>
      </c>
      <c r="Y4">
        <v>112676703</v>
      </c>
      <c r="Z4">
        <v>125010627</v>
      </c>
      <c r="AA4">
        <v>99994890</v>
      </c>
      <c r="AB4">
        <v>10.1355</v>
      </c>
      <c r="AC4">
        <v>0.88744999999999996</v>
      </c>
      <c r="AD4">
        <v>4.02555</v>
      </c>
      <c r="AE4">
        <v>2790691152</v>
      </c>
      <c r="AF4" t="s">
        <v>156</v>
      </c>
      <c r="AG4" t="s">
        <v>157</v>
      </c>
      <c r="AI4">
        <v>57524</v>
      </c>
      <c r="AP4">
        <v>9514724228</v>
      </c>
      <c r="AQ4">
        <v>0</v>
      </c>
      <c r="AR4">
        <v>96095474</v>
      </c>
      <c r="AS4">
        <v>9514724228</v>
      </c>
      <c r="AT4">
        <v>9610819702</v>
      </c>
      <c r="AU4">
        <v>158578737</v>
      </c>
      <c r="AV4">
        <v>0</v>
      </c>
      <c r="AW4">
        <v>1601591</v>
      </c>
      <c r="AX4">
        <v>158578737</v>
      </c>
      <c r="AY4">
        <v>160180328</v>
      </c>
      <c r="AZ4">
        <v>19.365100000000002</v>
      </c>
      <c r="BA4">
        <v>9.6334300000000006</v>
      </c>
      <c r="BB4">
        <v>3200.82</v>
      </c>
      <c r="BC4">
        <v>1969.94</v>
      </c>
      <c r="BD4">
        <v>13578</v>
      </c>
      <c r="BE4">
        <v>1075</v>
      </c>
      <c r="BF4" t="str">
        <f t="shared" si="0"/>
        <v>u=1% k=2x10^8</v>
      </c>
    </row>
    <row r="5" spans="1:58">
      <c r="A5" t="s">
        <v>95</v>
      </c>
      <c r="B5" t="s">
        <v>79</v>
      </c>
      <c r="C5">
        <v>72</v>
      </c>
      <c r="D5" t="s">
        <v>63</v>
      </c>
      <c r="E5" t="s">
        <v>59</v>
      </c>
      <c r="F5" t="s">
        <v>60</v>
      </c>
      <c r="G5">
        <v>60000</v>
      </c>
      <c r="H5">
        <v>0.5</v>
      </c>
      <c r="I5">
        <v>0.5</v>
      </c>
      <c r="J5">
        <v>0</v>
      </c>
      <c r="K5">
        <v>1</v>
      </c>
      <c r="L5">
        <v>2000000000</v>
      </c>
      <c r="M5">
        <v>190</v>
      </c>
      <c r="N5">
        <v>190</v>
      </c>
      <c r="O5">
        <v>190</v>
      </c>
      <c r="P5">
        <v>0</v>
      </c>
      <c r="Q5" t="s">
        <v>61</v>
      </c>
      <c r="R5">
        <v>9.9998628553984499E+17</v>
      </c>
      <c r="S5">
        <v>1000001833</v>
      </c>
      <c r="T5">
        <v>9.9998628553984499E+17</v>
      </c>
      <c r="U5">
        <v>1000001833</v>
      </c>
      <c r="V5" t="s">
        <v>70</v>
      </c>
      <c r="W5">
        <v>7</v>
      </c>
      <c r="X5">
        <v>104127951</v>
      </c>
      <c r="Y5">
        <v>1118619474</v>
      </c>
      <c r="Z5">
        <v>1222747425</v>
      </c>
      <c r="AA5">
        <v>1000001833</v>
      </c>
      <c r="AB5">
        <v>11.742699999999999</v>
      </c>
      <c r="AC5">
        <v>0.89396100000000001</v>
      </c>
      <c r="AD5">
        <v>4.0404</v>
      </c>
      <c r="AE5">
        <v>26239752736</v>
      </c>
      <c r="AF5" t="s">
        <v>158</v>
      </c>
      <c r="AG5" t="s">
        <v>158</v>
      </c>
      <c r="AI5">
        <v>51266</v>
      </c>
      <c r="AP5">
        <v>8639154346</v>
      </c>
      <c r="AQ5">
        <v>0</v>
      </c>
      <c r="AR5">
        <v>87264300</v>
      </c>
      <c r="AS5">
        <v>8639154346</v>
      </c>
      <c r="AT5">
        <v>8726418646</v>
      </c>
      <c r="AU5">
        <v>143985905</v>
      </c>
      <c r="AV5">
        <v>0</v>
      </c>
      <c r="AW5">
        <v>1454405</v>
      </c>
      <c r="AX5">
        <v>143985905</v>
      </c>
      <c r="AY5">
        <v>145440310</v>
      </c>
      <c r="AZ5">
        <v>22.166499999999999</v>
      </c>
      <c r="BA5">
        <v>14.135</v>
      </c>
      <c r="BB5">
        <v>3635.65</v>
      </c>
      <c r="BC5">
        <v>2892.62</v>
      </c>
      <c r="BD5">
        <v>62229</v>
      </c>
      <c r="BE5">
        <v>9090</v>
      </c>
      <c r="BF5" t="str">
        <f t="shared" si="0"/>
        <v>u=1% k=2x10^9</v>
      </c>
    </row>
    <row r="6" spans="1:58">
      <c r="A6" t="s">
        <v>96</v>
      </c>
      <c r="B6" t="s">
        <v>79</v>
      </c>
      <c r="C6">
        <v>72</v>
      </c>
      <c r="D6" t="s">
        <v>63</v>
      </c>
      <c r="E6" t="s">
        <v>59</v>
      </c>
      <c r="F6" t="s">
        <v>60</v>
      </c>
      <c r="G6">
        <v>60000</v>
      </c>
      <c r="H6">
        <v>5</v>
      </c>
      <c r="I6">
        <v>5</v>
      </c>
      <c r="J6">
        <v>0</v>
      </c>
      <c r="K6">
        <v>1</v>
      </c>
      <c r="L6">
        <v>2000000</v>
      </c>
      <c r="M6">
        <v>190</v>
      </c>
      <c r="N6">
        <v>190</v>
      </c>
      <c r="O6">
        <v>190</v>
      </c>
      <c r="P6">
        <v>0</v>
      </c>
      <c r="Q6" t="s">
        <v>61</v>
      </c>
      <c r="R6">
        <v>1000315287261</v>
      </c>
      <c r="S6">
        <v>1000355</v>
      </c>
      <c r="T6">
        <v>1000315287261</v>
      </c>
      <c r="U6">
        <v>1000355</v>
      </c>
      <c r="V6" t="s">
        <v>70</v>
      </c>
      <c r="W6">
        <v>6</v>
      </c>
      <c r="X6">
        <v>55144</v>
      </c>
      <c r="Y6">
        <v>1077038</v>
      </c>
      <c r="Z6">
        <v>1132182</v>
      </c>
      <c r="AA6">
        <v>1000355</v>
      </c>
      <c r="AB6">
        <v>20.531400000000001</v>
      </c>
      <c r="AC6">
        <v>0.92880200000000002</v>
      </c>
      <c r="AD6">
        <v>3.0463100000000001</v>
      </c>
      <c r="AE6">
        <v>21666416</v>
      </c>
      <c r="AF6" t="s">
        <v>159</v>
      </c>
      <c r="AG6" t="s">
        <v>160</v>
      </c>
      <c r="AI6">
        <v>36714</v>
      </c>
      <c r="AP6">
        <v>3742858941</v>
      </c>
      <c r="AQ6">
        <v>0</v>
      </c>
      <c r="AR6">
        <v>415847410</v>
      </c>
      <c r="AS6">
        <v>3742858941</v>
      </c>
      <c r="AT6">
        <v>4158706351</v>
      </c>
      <c r="AU6">
        <v>62380982</v>
      </c>
      <c r="AV6">
        <v>0</v>
      </c>
      <c r="AW6">
        <v>6930790</v>
      </c>
      <c r="AX6">
        <v>62380982</v>
      </c>
      <c r="AY6">
        <v>69311772</v>
      </c>
      <c r="AZ6">
        <v>11.536099999999999</v>
      </c>
      <c r="BA6">
        <v>2.7991799999999998</v>
      </c>
      <c r="BB6">
        <v>7439.94</v>
      </c>
      <c r="BC6">
        <v>1119.56</v>
      </c>
      <c r="BD6">
        <v>3177</v>
      </c>
      <c r="BE6">
        <v>318</v>
      </c>
      <c r="BF6" t="str">
        <f t="shared" si="0"/>
        <v>u=10% k=2x10^6</v>
      </c>
    </row>
    <row r="7" spans="1:58">
      <c r="A7" t="s">
        <v>97</v>
      </c>
      <c r="B7" t="s">
        <v>79</v>
      </c>
      <c r="C7">
        <v>72</v>
      </c>
      <c r="D7" t="s">
        <v>63</v>
      </c>
      <c r="E7" t="s">
        <v>59</v>
      </c>
      <c r="F7" t="s">
        <v>60</v>
      </c>
      <c r="G7">
        <v>60000</v>
      </c>
      <c r="H7">
        <v>5</v>
      </c>
      <c r="I7">
        <v>5</v>
      </c>
      <c r="J7">
        <v>0</v>
      </c>
      <c r="K7">
        <v>1</v>
      </c>
      <c r="L7">
        <v>20000000</v>
      </c>
      <c r="M7">
        <v>190</v>
      </c>
      <c r="N7">
        <v>190</v>
      </c>
      <c r="O7">
        <v>190</v>
      </c>
      <c r="P7">
        <v>0</v>
      </c>
      <c r="Q7" t="s">
        <v>61</v>
      </c>
      <c r="R7">
        <v>99963530440149</v>
      </c>
      <c r="S7">
        <v>9996346</v>
      </c>
      <c r="T7">
        <v>99963530440149</v>
      </c>
      <c r="U7">
        <v>9996346</v>
      </c>
      <c r="V7" t="s">
        <v>70</v>
      </c>
      <c r="W7">
        <v>7</v>
      </c>
      <c r="X7">
        <v>1625312</v>
      </c>
      <c r="Y7">
        <v>11438302</v>
      </c>
      <c r="Z7">
        <v>13063614</v>
      </c>
      <c r="AA7">
        <v>9996346</v>
      </c>
      <c r="AB7">
        <v>8.0375999999999994</v>
      </c>
      <c r="AC7">
        <v>0.87393600000000005</v>
      </c>
      <c r="AD7">
        <v>4.0000099999999996</v>
      </c>
      <c r="AE7">
        <v>313037776</v>
      </c>
      <c r="AF7" t="s">
        <v>161</v>
      </c>
      <c r="AG7" t="s">
        <v>162</v>
      </c>
      <c r="AI7">
        <v>21020</v>
      </c>
      <c r="AP7">
        <v>1664782402</v>
      </c>
      <c r="AQ7">
        <v>0</v>
      </c>
      <c r="AR7">
        <v>185001021</v>
      </c>
      <c r="AS7">
        <v>1664782402</v>
      </c>
      <c r="AT7">
        <v>1849783423</v>
      </c>
      <c r="AU7">
        <v>27746373</v>
      </c>
      <c r="AV7">
        <v>0</v>
      </c>
      <c r="AW7">
        <v>3083350</v>
      </c>
      <c r="AX7">
        <v>27746373</v>
      </c>
      <c r="AY7">
        <v>30829723</v>
      </c>
      <c r="AZ7">
        <v>18.5458</v>
      </c>
      <c r="BA7">
        <v>8.2350899999999996</v>
      </c>
      <c r="BB7">
        <v>14436.9</v>
      </c>
      <c r="BC7">
        <v>1647.3</v>
      </c>
      <c r="BD7">
        <v>4961</v>
      </c>
      <c r="BE7">
        <v>456</v>
      </c>
      <c r="BF7" t="str">
        <f t="shared" si="0"/>
        <v>u=10% k=2x10^7</v>
      </c>
    </row>
    <row r="8" spans="1:58">
      <c r="A8" t="s">
        <v>98</v>
      </c>
      <c r="B8" t="s">
        <v>79</v>
      </c>
      <c r="C8">
        <v>72</v>
      </c>
      <c r="D8" t="s">
        <v>63</v>
      </c>
      <c r="E8" t="s">
        <v>59</v>
      </c>
      <c r="F8" t="s">
        <v>60</v>
      </c>
      <c r="G8">
        <v>60000</v>
      </c>
      <c r="H8">
        <v>5</v>
      </c>
      <c r="I8">
        <v>5</v>
      </c>
      <c r="J8">
        <v>0</v>
      </c>
      <c r="K8">
        <v>1</v>
      </c>
      <c r="L8">
        <v>200000000</v>
      </c>
      <c r="M8">
        <v>190</v>
      </c>
      <c r="N8">
        <v>190</v>
      </c>
      <c r="O8">
        <v>190</v>
      </c>
      <c r="P8">
        <v>0</v>
      </c>
      <c r="Q8" t="s">
        <v>61</v>
      </c>
      <c r="R8">
        <v>1.00005983352156E+16</v>
      </c>
      <c r="S8">
        <v>100004527</v>
      </c>
      <c r="T8">
        <v>1.00005983352156E+16</v>
      </c>
      <c r="U8">
        <v>100004527</v>
      </c>
      <c r="V8" t="s">
        <v>70</v>
      </c>
      <c r="W8">
        <v>7</v>
      </c>
      <c r="X8">
        <v>12067291</v>
      </c>
      <c r="Y8">
        <v>112118647</v>
      </c>
      <c r="Z8">
        <v>124185938</v>
      </c>
      <c r="AA8">
        <v>100004527</v>
      </c>
      <c r="AB8">
        <v>10.2911</v>
      </c>
      <c r="AC8">
        <v>0.891953</v>
      </c>
      <c r="AD8">
        <v>4.0201399999999996</v>
      </c>
      <c r="AE8">
        <v>2760075280</v>
      </c>
      <c r="AF8" t="s">
        <v>163</v>
      </c>
      <c r="AG8" t="s">
        <v>164</v>
      </c>
      <c r="AI8">
        <v>28258</v>
      </c>
      <c r="AP8">
        <v>1768709378</v>
      </c>
      <c r="AQ8">
        <v>0</v>
      </c>
      <c r="AR8">
        <v>196514954</v>
      </c>
      <c r="AS8">
        <v>1768709378</v>
      </c>
      <c r="AT8">
        <v>1965224332</v>
      </c>
      <c r="AU8">
        <v>29478489</v>
      </c>
      <c r="AV8">
        <v>0</v>
      </c>
      <c r="AW8">
        <v>3275249</v>
      </c>
      <c r="AX8">
        <v>29478489</v>
      </c>
      <c r="AY8">
        <v>32753738</v>
      </c>
      <c r="AZ8">
        <v>22.136600000000001</v>
      </c>
      <c r="BA8">
        <v>11.054399999999999</v>
      </c>
      <c r="BB8">
        <v>10705.2</v>
      </c>
      <c r="BC8">
        <v>2331.15</v>
      </c>
      <c r="BD8">
        <v>17110</v>
      </c>
      <c r="BE8">
        <v>1236</v>
      </c>
      <c r="BF8" t="str">
        <f t="shared" si="0"/>
        <v>u=10% k=2x10^8</v>
      </c>
    </row>
    <row r="9" spans="1:58">
      <c r="A9" t="s">
        <v>99</v>
      </c>
      <c r="B9" t="s">
        <v>79</v>
      </c>
      <c r="C9">
        <v>72</v>
      </c>
      <c r="D9" t="s">
        <v>63</v>
      </c>
      <c r="E9" t="s">
        <v>59</v>
      </c>
      <c r="F9" t="s">
        <v>60</v>
      </c>
      <c r="G9">
        <v>60000</v>
      </c>
      <c r="H9">
        <v>5</v>
      </c>
      <c r="I9">
        <v>5</v>
      </c>
      <c r="J9">
        <v>0</v>
      </c>
      <c r="K9">
        <v>1</v>
      </c>
      <c r="L9">
        <v>2000000000</v>
      </c>
      <c r="M9">
        <v>190</v>
      </c>
      <c r="N9">
        <v>190</v>
      </c>
      <c r="O9">
        <v>190</v>
      </c>
      <c r="P9">
        <v>0</v>
      </c>
      <c r="Q9" t="s">
        <v>61</v>
      </c>
      <c r="R9">
        <v>9.9999734538253299E+17</v>
      </c>
      <c r="S9">
        <v>999995804</v>
      </c>
      <c r="T9">
        <v>9.9999734538253299E+17</v>
      </c>
      <c r="U9">
        <v>999995804</v>
      </c>
      <c r="V9" t="s">
        <v>70</v>
      </c>
      <c r="W9">
        <v>7</v>
      </c>
      <c r="X9">
        <v>84465084</v>
      </c>
      <c r="Y9">
        <v>1078800420</v>
      </c>
      <c r="Z9">
        <v>1163265504</v>
      </c>
      <c r="AA9">
        <v>999995804</v>
      </c>
      <c r="AB9">
        <v>13.7721</v>
      </c>
      <c r="AC9">
        <v>0.926952</v>
      </c>
      <c r="AD9">
        <v>4</v>
      </c>
      <c r="AE9">
        <v>24018013424</v>
      </c>
      <c r="AF9" t="s">
        <v>165</v>
      </c>
      <c r="AG9" t="s">
        <v>166</v>
      </c>
      <c r="AI9">
        <v>28512</v>
      </c>
      <c r="AP9">
        <v>4500149459</v>
      </c>
      <c r="AQ9">
        <v>0</v>
      </c>
      <c r="AR9">
        <v>500003455</v>
      </c>
      <c r="AS9">
        <v>4500149459</v>
      </c>
      <c r="AT9">
        <v>5000152914</v>
      </c>
      <c r="AU9">
        <v>75002490</v>
      </c>
      <c r="AV9">
        <v>0</v>
      </c>
      <c r="AW9">
        <v>8333390</v>
      </c>
      <c r="AX9">
        <v>75002490</v>
      </c>
      <c r="AY9">
        <v>83335881</v>
      </c>
      <c r="AZ9">
        <v>25.1798</v>
      </c>
      <c r="BA9">
        <v>16.023299999999999</v>
      </c>
      <c r="BB9">
        <v>11657.3</v>
      </c>
      <c r="BC9">
        <v>3625.65</v>
      </c>
      <c r="BD9">
        <v>105160</v>
      </c>
      <c r="BE9">
        <v>9047</v>
      </c>
      <c r="BF9" t="str">
        <f t="shared" si="0"/>
        <v>u=10% k=2x10^9</v>
      </c>
    </row>
    <row r="10" spans="1:58">
      <c r="A10" t="s">
        <v>100</v>
      </c>
      <c r="B10" t="s">
        <v>79</v>
      </c>
      <c r="C10">
        <v>72</v>
      </c>
      <c r="D10" t="s">
        <v>63</v>
      </c>
      <c r="E10" t="s">
        <v>59</v>
      </c>
      <c r="F10" t="s">
        <v>60</v>
      </c>
      <c r="G10">
        <v>60000</v>
      </c>
      <c r="H10">
        <v>20</v>
      </c>
      <c r="I10">
        <v>20</v>
      </c>
      <c r="J10">
        <v>0</v>
      </c>
      <c r="K10">
        <v>1</v>
      </c>
      <c r="L10">
        <v>2000000</v>
      </c>
      <c r="M10">
        <v>190</v>
      </c>
      <c r="N10">
        <v>190</v>
      </c>
      <c r="O10">
        <v>190</v>
      </c>
      <c r="P10">
        <v>0</v>
      </c>
      <c r="Q10" t="s">
        <v>61</v>
      </c>
      <c r="R10">
        <v>999535088430</v>
      </c>
      <c r="S10">
        <v>999780</v>
      </c>
      <c r="T10">
        <v>999535088430</v>
      </c>
      <c r="U10">
        <v>999780</v>
      </c>
      <c r="V10" t="s">
        <v>70</v>
      </c>
      <c r="W10">
        <v>6</v>
      </c>
      <c r="X10">
        <v>33053</v>
      </c>
      <c r="Y10">
        <v>1031874</v>
      </c>
      <c r="Z10">
        <v>1064927</v>
      </c>
      <c r="AA10">
        <v>999780</v>
      </c>
      <c r="AB10">
        <v>32.218800000000002</v>
      </c>
      <c r="AC10">
        <v>0.96889700000000001</v>
      </c>
      <c r="AD10">
        <v>3.0001000000000002</v>
      </c>
      <c r="AE10">
        <v>19154208</v>
      </c>
      <c r="AF10" t="s">
        <v>167</v>
      </c>
      <c r="AG10" t="s">
        <v>168</v>
      </c>
      <c r="AI10">
        <v>10692</v>
      </c>
      <c r="AP10">
        <v>534201823</v>
      </c>
      <c r="AQ10">
        <v>0</v>
      </c>
      <c r="AR10">
        <v>356130855</v>
      </c>
      <c r="AS10">
        <v>534201823</v>
      </c>
      <c r="AT10">
        <v>890332678</v>
      </c>
      <c r="AU10">
        <v>8903363</v>
      </c>
      <c r="AV10">
        <v>0</v>
      </c>
      <c r="AW10">
        <v>5935514</v>
      </c>
      <c r="AX10">
        <v>8903363</v>
      </c>
      <c r="AY10">
        <v>14838877</v>
      </c>
      <c r="AZ10">
        <v>20.805800000000001</v>
      </c>
      <c r="BA10">
        <v>9.7455599999999993</v>
      </c>
      <c r="BB10">
        <v>34055.300000000003</v>
      </c>
      <c r="BC10">
        <v>3355.54</v>
      </c>
      <c r="BD10">
        <v>4104</v>
      </c>
      <c r="BE10">
        <v>298</v>
      </c>
      <c r="BF10" t="str">
        <f t="shared" si="0"/>
        <v>u=40% k=2x10^6</v>
      </c>
    </row>
    <row r="11" spans="1:58">
      <c r="A11" t="s">
        <v>101</v>
      </c>
      <c r="B11" t="s">
        <v>79</v>
      </c>
      <c r="C11">
        <v>72</v>
      </c>
      <c r="D11" t="s">
        <v>63</v>
      </c>
      <c r="E11" t="s">
        <v>59</v>
      </c>
      <c r="F11" t="s">
        <v>60</v>
      </c>
      <c r="G11">
        <v>60000</v>
      </c>
      <c r="H11">
        <v>20</v>
      </c>
      <c r="I11">
        <v>20</v>
      </c>
      <c r="J11">
        <v>0</v>
      </c>
      <c r="K11">
        <v>1</v>
      </c>
      <c r="L11">
        <v>20000000</v>
      </c>
      <c r="M11">
        <v>190</v>
      </c>
      <c r="N11">
        <v>190</v>
      </c>
      <c r="O11">
        <v>190</v>
      </c>
      <c r="P11">
        <v>0</v>
      </c>
      <c r="Q11" t="s">
        <v>61</v>
      </c>
      <c r="R11">
        <v>100031382029138</v>
      </c>
      <c r="S11">
        <v>10002946</v>
      </c>
      <c r="T11">
        <v>100031382029138</v>
      </c>
      <c r="U11">
        <v>10002946</v>
      </c>
      <c r="V11" t="s">
        <v>70</v>
      </c>
      <c r="W11">
        <v>7</v>
      </c>
      <c r="X11">
        <v>1625833</v>
      </c>
      <c r="Y11">
        <v>11445366</v>
      </c>
      <c r="Z11">
        <v>13071199</v>
      </c>
      <c r="AA11">
        <v>10002946</v>
      </c>
      <c r="AB11">
        <v>8.0396900000000002</v>
      </c>
      <c r="AC11">
        <v>0.873973</v>
      </c>
      <c r="AD11">
        <v>4.0000099999999996</v>
      </c>
      <c r="AE11">
        <v>313192480</v>
      </c>
      <c r="AF11" t="s">
        <v>169</v>
      </c>
      <c r="AG11" t="s">
        <v>170</v>
      </c>
      <c r="AI11">
        <v>11764</v>
      </c>
      <c r="AP11">
        <v>292475603</v>
      </c>
      <c r="AQ11">
        <v>0</v>
      </c>
      <c r="AR11">
        <v>194988226</v>
      </c>
      <c r="AS11">
        <v>292475603</v>
      </c>
      <c r="AT11">
        <v>487463829</v>
      </c>
      <c r="AU11">
        <v>4874593</v>
      </c>
      <c r="AV11">
        <v>0</v>
      </c>
      <c r="AW11">
        <v>3249803</v>
      </c>
      <c r="AX11">
        <v>4874593</v>
      </c>
      <c r="AY11">
        <v>8124397</v>
      </c>
      <c r="AZ11">
        <v>26.3142</v>
      </c>
      <c r="BA11">
        <v>13.8194</v>
      </c>
      <c r="BB11">
        <v>51507.9</v>
      </c>
      <c r="BC11">
        <v>2868.35</v>
      </c>
      <c r="BD11">
        <v>5581</v>
      </c>
      <c r="BE11">
        <v>436</v>
      </c>
      <c r="BF11" t="str">
        <f t="shared" si="0"/>
        <v>u=40% k=2x10^7</v>
      </c>
    </row>
    <row r="12" spans="1:58">
      <c r="A12" t="s">
        <v>102</v>
      </c>
      <c r="B12" t="s">
        <v>79</v>
      </c>
      <c r="C12">
        <v>72</v>
      </c>
      <c r="D12" t="s">
        <v>63</v>
      </c>
      <c r="E12" t="s">
        <v>59</v>
      </c>
      <c r="F12" t="s">
        <v>60</v>
      </c>
      <c r="G12">
        <v>60000</v>
      </c>
      <c r="H12">
        <v>20</v>
      </c>
      <c r="I12">
        <v>20</v>
      </c>
      <c r="J12">
        <v>0</v>
      </c>
      <c r="K12">
        <v>1</v>
      </c>
      <c r="L12">
        <v>200000000</v>
      </c>
      <c r="M12">
        <v>190</v>
      </c>
      <c r="N12">
        <v>190</v>
      </c>
      <c r="O12">
        <v>190</v>
      </c>
      <c r="P12">
        <v>0</v>
      </c>
      <c r="Q12" t="s">
        <v>61</v>
      </c>
      <c r="R12">
        <v>9999683452009170</v>
      </c>
      <c r="S12">
        <v>100002242</v>
      </c>
      <c r="T12">
        <v>9999683452009170</v>
      </c>
      <c r="U12">
        <v>100002242</v>
      </c>
      <c r="V12" t="s">
        <v>70</v>
      </c>
      <c r="W12">
        <v>7</v>
      </c>
      <c r="X12">
        <v>11776052</v>
      </c>
      <c r="Y12">
        <v>111490467</v>
      </c>
      <c r="Z12">
        <v>123266519</v>
      </c>
      <c r="AA12">
        <v>100002242</v>
      </c>
      <c r="AB12">
        <v>10.467599999999999</v>
      </c>
      <c r="AC12">
        <v>0.89695800000000003</v>
      </c>
      <c r="AD12">
        <v>4.0143000000000004</v>
      </c>
      <c r="AE12">
        <v>2726213776</v>
      </c>
      <c r="AF12" t="s">
        <v>171</v>
      </c>
      <c r="AG12" t="s">
        <v>172</v>
      </c>
      <c r="AI12">
        <v>14562</v>
      </c>
      <c r="AP12">
        <v>296483222</v>
      </c>
      <c r="AQ12">
        <v>0</v>
      </c>
      <c r="AR12">
        <v>197663809</v>
      </c>
      <c r="AS12">
        <v>296483222</v>
      </c>
      <c r="AT12">
        <v>494147031</v>
      </c>
      <c r="AU12">
        <v>4941387</v>
      </c>
      <c r="AV12">
        <v>0</v>
      </c>
      <c r="AW12">
        <v>3294396</v>
      </c>
      <c r="AX12">
        <v>4941387</v>
      </c>
      <c r="AY12">
        <v>8235783</v>
      </c>
      <c r="AZ12">
        <v>31.062799999999999</v>
      </c>
      <c r="BA12">
        <v>16.549299999999999</v>
      </c>
      <c r="BB12">
        <v>32973</v>
      </c>
      <c r="BC12">
        <v>3179.55</v>
      </c>
      <c r="BD12">
        <v>18048</v>
      </c>
      <c r="BE12">
        <v>1113</v>
      </c>
      <c r="BF12" t="str">
        <f t="shared" si="0"/>
        <v>u=40% k=2x10^8</v>
      </c>
    </row>
    <row r="13" spans="1:58">
      <c r="A13" t="s">
        <v>103</v>
      </c>
      <c r="B13" t="s">
        <v>79</v>
      </c>
      <c r="C13">
        <v>72</v>
      </c>
      <c r="D13" t="s">
        <v>63</v>
      </c>
      <c r="E13" t="s">
        <v>59</v>
      </c>
      <c r="F13" t="s">
        <v>60</v>
      </c>
      <c r="G13">
        <v>60000</v>
      </c>
      <c r="H13">
        <v>20</v>
      </c>
      <c r="I13">
        <v>20</v>
      </c>
      <c r="J13">
        <v>0</v>
      </c>
      <c r="K13">
        <v>1</v>
      </c>
      <c r="L13">
        <v>2000000000</v>
      </c>
      <c r="M13">
        <v>190</v>
      </c>
      <c r="N13">
        <v>190</v>
      </c>
      <c r="O13">
        <v>190</v>
      </c>
      <c r="P13">
        <v>0</v>
      </c>
      <c r="Q13" t="s">
        <v>61</v>
      </c>
      <c r="R13">
        <v>1.0000201691390799E+18</v>
      </c>
      <c r="S13">
        <v>999997483</v>
      </c>
      <c r="T13">
        <v>1.0000201691390799E+18</v>
      </c>
      <c r="U13">
        <v>999997483</v>
      </c>
      <c r="V13" t="s">
        <v>70</v>
      </c>
      <c r="W13">
        <v>7</v>
      </c>
      <c r="X13">
        <v>84465082</v>
      </c>
      <c r="Y13">
        <v>1078802095</v>
      </c>
      <c r="Z13">
        <v>1163267177</v>
      </c>
      <c r="AA13">
        <v>999997483</v>
      </c>
      <c r="AB13">
        <v>13.7722</v>
      </c>
      <c r="AC13">
        <v>0.926952</v>
      </c>
      <c r="AD13">
        <v>4</v>
      </c>
      <c r="AE13">
        <v>24018040064</v>
      </c>
      <c r="AF13" t="s">
        <v>173</v>
      </c>
      <c r="AG13" t="s">
        <v>174</v>
      </c>
      <c r="AI13">
        <v>7740</v>
      </c>
      <c r="AP13">
        <v>750113242</v>
      </c>
      <c r="AQ13">
        <v>0</v>
      </c>
      <c r="AR13">
        <v>500035701</v>
      </c>
      <c r="AS13">
        <v>750113242</v>
      </c>
      <c r="AT13">
        <v>1250148943</v>
      </c>
      <c r="AU13">
        <v>12501887</v>
      </c>
      <c r="AV13">
        <v>0</v>
      </c>
      <c r="AW13">
        <v>8333928</v>
      </c>
      <c r="AX13">
        <v>12501887</v>
      </c>
      <c r="AY13">
        <v>20835815</v>
      </c>
      <c r="AZ13">
        <v>32.751199999999997</v>
      </c>
      <c r="BA13">
        <v>20.9573</v>
      </c>
      <c r="BB13">
        <v>35562.400000000001</v>
      </c>
      <c r="BC13">
        <v>4662.05</v>
      </c>
      <c r="BD13">
        <v>121935</v>
      </c>
      <c r="BE13">
        <v>9059</v>
      </c>
      <c r="BF13" t="str">
        <f t="shared" si="0"/>
        <v>u=40% k=2x10^9</v>
      </c>
    </row>
    <row r="14" spans="1:58">
      <c r="A14" t="s">
        <v>104</v>
      </c>
      <c r="B14" t="s">
        <v>79</v>
      </c>
      <c r="C14">
        <v>72</v>
      </c>
      <c r="D14" t="s">
        <v>63</v>
      </c>
      <c r="E14" t="s">
        <v>59</v>
      </c>
      <c r="F14" t="s">
        <v>60</v>
      </c>
      <c r="G14">
        <v>60000</v>
      </c>
      <c r="H14">
        <v>0.5</v>
      </c>
      <c r="I14">
        <v>0.5</v>
      </c>
      <c r="J14">
        <v>0</v>
      </c>
      <c r="K14">
        <v>1</v>
      </c>
      <c r="L14">
        <v>2000000</v>
      </c>
      <c r="M14">
        <v>190</v>
      </c>
      <c r="N14">
        <v>190</v>
      </c>
      <c r="O14">
        <v>190</v>
      </c>
      <c r="P14">
        <v>0</v>
      </c>
      <c r="Q14" t="s">
        <v>61</v>
      </c>
      <c r="R14">
        <v>998724278202</v>
      </c>
      <c r="S14">
        <v>999153</v>
      </c>
      <c r="T14">
        <v>998724278202</v>
      </c>
      <c r="U14">
        <v>999153</v>
      </c>
      <c r="V14" t="s">
        <v>70</v>
      </c>
      <c r="W14">
        <v>6</v>
      </c>
      <c r="X14">
        <v>54097</v>
      </c>
      <c r="Y14">
        <v>1074323</v>
      </c>
      <c r="Z14">
        <v>1128420</v>
      </c>
      <c r="AA14">
        <v>999153</v>
      </c>
      <c r="AB14">
        <v>20.859200000000001</v>
      </c>
      <c r="AC14">
        <v>0.93003000000000002</v>
      </c>
      <c r="AD14">
        <v>3.0441199999999999</v>
      </c>
      <c r="AE14">
        <v>21537936</v>
      </c>
      <c r="AF14" t="s">
        <v>175</v>
      </c>
      <c r="AG14" t="s">
        <v>176</v>
      </c>
      <c r="AI14">
        <v>121170</v>
      </c>
      <c r="AP14">
        <v>17546310200</v>
      </c>
      <c r="AQ14">
        <v>0</v>
      </c>
      <c r="AR14">
        <v>177233961</v>
      </c>
      <c r="AS14">
        <v>17546310200</v>
      </c>
      <c r="AT14">
        <v>17723544161</v>
      </c>
      <c r="AU14">
        <v>292438503</v>
      </c>
      <c r="AV14">
        <v>0</v>
      </c>
      <c r="AW14">
        <v>2953899</v>
      </c>
      <c r="AX14">
        <v>292438503</v>
      </c>
      <c r="AY14">
        <v>295392402</v>
      </c>
      <c r="AZ14">
        <v>8.5347000000000008</v>
      </c>
      <c r="BA14">
        <v>0.39284400000000003</v>
      </c>
      <c r="BB14">
        <v>1757.87</v>
      </c>
      <c r="BC14">
        <v>413.92399999999998</v>
      </c>
      <c r="BD14">
        <v>2609</v>
      </c>
      <c r="BE14">
        <v>318</v>
      </c>
      <c r="BF14" t="str">
        <f t="shared" si="0"/>
        <v>u=1% k=2x10^6</v>
      </c>
    </row>
    <row r="15" spans="1:58">
      <c r="A15" t="s">
        <v>105</v>
      </c>
      <c r="B15" t="s">
        <v>79</v>
      </c>
      <c r="C15">
        <v>72</v>
      </c>
      <c r="D15" t="s">
        <v>63</v>
      </c>
      <c r="E15" t="s">
        <v>59</v>
      </c>
      <c r="F15" t="s">
        <v>60</v>
      </c>
      <c r="G15">
        <v>60000</v>
      </c>
      <c r="H15">
        <v>0.5</v>
      </c>
      <c r="I15">
        <v>0.5</v>
      </c>
      <c r="J15">
        <v>0</v>
      </c>
      <c r="K15">
        <v>1</v>
      </c>
      <c r="L15">
        <v>20000000</v>
      </c>
      <c r="M15">
        <v>190</v>
      </c>
      <c r="N15">
        <v>190</v>
      </c>
      <c r="O15">
        <v>190</v>
      </c>
      <c r="P15">
        <v>0</v>
      </c>
      <c r="Q15" t="s">
        <v>61</v>
      </c>
      <c r="R15">
        <v>100015895111156</v>
      </c>
      <c r="S15">
        <v>10000048</v>
      </c>
      <c r="T15">
        <v>100015895111156</v>
      </c>
      <c r="U15">
        <v>10000048</v>
      </c>
      <c r="V15" t="s">
        <v>70</v>
      </c>
      <c r="W15">
        <v>7</v>
      </c>
      <c r="X15">
        <v>1796485</v>
      </c>
      <c r="Y15">
        <v>11791042</v>
      </c>
      <c r="Z15">
        <v>13587527</v>
      </c>
      <c r="AA15">
        <v>10000048</v>
      </c>
      <c r="AB15">
        <v>7.5633999999999997</v>
      </c>
      <c r="AC15">
        <v>0.84810600000000003</v>
      </c>
      <c r="AD15">
        <v>4.03416</v>
      </c>
      <c r="AE15">
        <v>332378016</v>
      </c>
      <c r="AF15" t="s">
        <v>177</v>
      </c>
      <c r="AG15" t="s">
        <v>178</v>
      </c>
      <c r="AI15">
        <v>60796</v>
      </c>
      <c r="AP15">
        <v>9998103220</v>
      </c>
      <c r="AQ15">
        <v>0</v>
      </c>
      <c r="AR15">
        <v>100986566</v>
      </c>
      <c r="AS15">
        <v>9998103220</v>
      </c>
      <c r="AT15">
        <v>10099089786</v>
      </c>
      <c r="AU15">
        <v>166635053</v>
      </c>
      <c r="AV15">
        <v>0</v>
      </c>
      <c r="AW15">
        <v>1683109</v>
      </c>
      <c r="AX15">
        <v>166635053</v>
      </c>
      <c r="AY15">
        <v>168318163</v>
      </c>
      <c r="AZ15">
        <v>16.060500000000001</v>
      </c>
      <c r="BA15">
        <v>6.5972499999999998</v>
      </c>
      <c r="BB15">
        <v>3100.84</v>
      </c>
      <c r="BC15">
        <v>1246.79</v>
      </c>
      <c r="BD15">
        <v>3922</v>
      </c>
      <c r="BE15">
        <v>307</v>
      </c>
      <c r="BF15" t="str">
        <f t="shared" si="0"/>
        <v>u=1% k=2x10^7</v>
      </c>
    </row>
    <row r="16" spans="1:58">
      <c r="A16" t="s">
        <v>106</v>
      </c>
      <c r="B16" t="s">
        <v>79</v>
      </c>
      <c r="C16">
        <v>72</v>
      </c>
      <c r="D16" t="s">
        <v>63</v>
      </c>
      <c r="E16" t="s">
        <v>59</v>
      </c>
      <c r="F16" t="s">
        <v>60</v>
      </c>
      <c r="G16">
        <v>60000</v>
      </c>
      <c r="H16">
        <v>0.5</v>
      </c>
      <c r="I16">
        <v>0.5</v>
      </c>
      <c r="J16">
        <v>0</v>
      </c>
      <c r="K16">
        <v>1</v>
      </c>
      <c r="L16">
        <v>200000000</v>
      </c>
      <c r="M16">
        <v>190</v>
      </c>
      <c r="N16">
        <v>190</v>
      </c>
      <c r="O16">
        <v>190</v>
      </c>
      <c r="P16">
        <v>0</v>
      </c>
      <c r="Q16" t="s">
        <v>61</v>
      </c>
      <c r="R16">
        <v>9999076520853290</v>
      </c>
      <c r="S16">
        <v>99993030</v>
      </c>
      <c r="T16">
        <v>9999076520853290</v>
      </c>
      <c r="U16">
        <v>99993030</v>
      </c>
      <c r="V16" t="s">
        <v>70</v>
      </c>
      <c r="W16">
        <v>7</v>
      </c>
      <c r="X16">
        <v>11912612</v>
      </c>
      <c r="Y16">
        <v>111782286</v>
      </c>
      <c r="Z16">
        <v>123694898</v>
      </c>
      <c r="AA16">
        <v>99993030</v>
      </c>
      <c r="AB16">
        <v>10.3835</v>
      </c>
      <c r="AC16">
        <v>0.89453400000000005</v>
      </c>
      <c r="AD16">
        <v>4.0170500000000002</v>
      </c>
      <c r="AE16">
        <v>2742096112</v>
      </c>
      <c r="AF16" t="s">
        <v>179</v>
      </c>
      <c r="AG16" t="s">
        <v>180</v>
      </c>
      <c r="AI16">
        <v>59058</v>
      </c>
      <c r="AP16">
        <v>9584709213</v>
      </c>
      <c r="AQ16">
        <v>0</v>
      </c>
      <c r="AR16">
        <v>96832094</v>
      </c>
      <c r="AS16">
        <v>9584709213</v>
      </c>
      <c r="AT16">
        <v>9681541307</v>
      </c>
      <c r="AU16">
        <v>159745153</v>
      </c>
      <c r="AV16">
        <v>0</v>
      </c>
      <c r="AW16">
        <v>1613868</v>
      </c>
      <c r="AX16">
        <v>159745153</v>
      </c>
      <c r="AY16">
        <v>161359021</v>
      </c>
      <c r="AZ16">
        <v>19.380099999999999</v>
      </c>
      <c r="BA16">
        <v>9.6360499999999991</v>
      </c>
      <c r="BB16">
        <v>3120.51</v>
      </c>
      <c r="BC16">
        <v>1957.63</v>
      </c>
      <c r="BD16">
        <v>13527</v>
      </c>
      <c r="BE16">
        <v>1107</v>
      </c>
      <c r="BF16" t="str">
        <f t="shared" si="0"/>
        <v>u=1% k=2x10^8</v>
      </c>
    </row>
    <row r="17" spans="1:58">
      <c r="A17" t="s">
        <v>107</v>
      </c>
      <c r="B17" t="s">
        <v>79</v>
      </c>
      <c r="C17">
        <v>72</v>
      </c>
      <c r="D17" t="s">
        <v>63</v>
      </c>
      <c r="E17" t="s">
        <v>59</v>
      </c>
      <c r="F17" t="s">
        <v>60</v>
      </c>
      <c r="G17">
        <v>60000</v>
      </c>
      <c r="H17">
        <v>0.5</v>
      </c>
      <c r="I17">
        <v>0.5</v>
      </c>
      <c r="J17">
        <v>0</v>
      </c>
      <c r="K17">
        <v>1</v>
      </c>
      <c r="L17">
        <v>2000000000</v>
      </c>
      <c r="M17">
        <v>190</v>
      </c>
      <c r="N17">
        <v>190</v>
      </c>
      <c r="O17">
        <v>190</v>
      </c>
      <c r="P17">
        <v>0</v>
      </c>
      <c r="Q17" t="s">
        <v>61</v>
      </c>
      <c r="R17">
        <v>1.00000490640458E+18</v>
      </c>
      <c r="S17">
        <v>999998345</v>
      </c>
      <c r="T17">
        <v>1.00000490640458E+18</v>
      </c>
      <c r="U17">
        <v>999998345</v>
      </c>
      <c r="V17" t="s">
        <v>70</v>
      </c>
      <c r="W17">
        <v>7</v>
      </c>
      <c r="X17">
        <v>104115381</v>
      </c>
      <c r="Y17">
        <v>1118589655</v>
      </c>
      <c r="Z17">
        <v>1222705036</v>
      </c>
      <c r="AA17">
        <v>999998345</v>
      </c>
      <c r="AB17">
        <v>11.7438</v>
      </c>
      <c r="AC17">
        <v>0.89398100000000003</v>
      </c>
      <c r="AD17">
        <v>4.0403799999999999</v>
      </c>
      <c r="AE17">
        <v>26238363744</v>
      </c>
      <c r="AF17" t="s">
        <v>181</v>
      </c>
      <c r="AG17" t="s">
        <v>181</v>
      </c>
      <c r="AI17">
        <v>51454</v>
      </c>
      <c r="AP17">
        <v>8634366190</v>
      </c>
      <c r="AQ17">
        <v>0</v>
      </c>
      <c r="AR17">
        <v>87208162</v>
      </c>
      <c r="AS17">
        <v>8634366190</v>
      </c>
      <c r="AT17">
        <v>8721574352</v>
      </c>
      <c r="AU17">
        <v>143906103</v>
      </c>
      <c r="AV17">
        <v>0</v>
      </c>
      <c r="AW17">
        <v>1453469</v>
      </c>
      <c r="AX17">
        <v>143906103</v>
      </c>
      <c r="AY17">
        <v>145359572</v>
      </c>
      <c r="AZ17">
        <v>22.1526</v>
      </c>
      <c r="BA17">
        <v>14.1435</v>
      </c>
      <c r="BB17">
        <v>3637.16</v>
      </c>
      <c r="BC17">
        <v>2899.79</v>
      </c>
      <c r="BD17">
        <v>62227</v>
      </c>
      <c r="BE17">
        <v>8970</v>
      </c>
      <c r="BF17" t="str">
        <f t="shared" si="0"/>
        <v>u=1% k=2x10^9</v>
      </c>
    </row>
    <row r="18" spans="1:58">
      <c r="A18" t="s">
        <v>108</v>
      </c>
      <c r="B18" t="s">
        <v>79</v>
      </c>
      <c r="C18">
        <v>72</v>
      </c>
      <c r="D18" t="s">
        <v>63</v>
      </c>
      <c r="E18" t="s">
        <v>59</v>
      </c>
      <c r="F18" t="s">
        <v>60</v>
      </c>
      <c r="G18">
        <v>60000</v>
      </c>
      <c r="H18">
        <v>5</v>
      </c>
      <c r="I18">
        <v>5</v>
      </c>
      <c r="J18">
        <v>0</v>
      </c>
      <c r="K18">
        <v>1</v>
      </c>
      <c r="L18">
        <v>2000000</v>
      </c>
      <c r="M18">
        <v>190</v>
      </c>
      <c r="N18">
        <v>190</v>
      </c>
      <c r="O18">
        <v>190</v>
      </c>
      <c r="P18">
        <v>0</v>
      </c>
      <c r="Q18" t="s">
        <v>61</v>
      </c>
      <c r="R18">
        <v>1000653323563</v>
      </c>
      <c r="S18">
        <v>1000386</v>
      </c>
      <c r="T18">
        <v>1000653323563</v>
      </c>
      <c r="U18">
        <v>1000386</v>
      </c>
      <c r="V18" t="s">
        <v>70</v>
      </c>
      <c r="W18">
        <v>6</v>
      </c>
      <c r="X18">
        <v>33087</v>
      </c>
      <c r="Y18">
        <v>1032508</v>
      </c>
      <c r="Z18">
        <v>1065595</v>
      </c>
      <c r="AA18">
        <v>1000386</v>
      </c>
      <c r="AB18">
        <v>32.2059</v>
      </c>
      <c r="AC18">
        <v>0.968889</v>
      </c>
      <c r="AD18">
        <v>3.0001000000000002</v>
      </c>
      <c r="AE18">
        <v>19167072</v>
      </c>
      <c r="AF18" t="s">
        <v>182</v>
      </c>
      <c r="AG18" t="s">
        <v>183</v>
      </c>
      <c r="AI18">
        <v>38044</v>
      </c>
      <c r="AP18">
        <v>3780183784</v>
      </c>
      <c r="AQ18">
        <v>0</v>
      </c>
      <c r="AR18">
        <v>420055816</v>
      </c>
      <c r="AS18">
        <v>3780183784</v>
      </c>
      <c r="AT18">
        <v>4200239600</v>
      </c>
      <c r="AU18">
        <v>63003063</v>
      </c>
      <c r="AV18">
        <v>0</v>
      </c>
      <c r="AW18">
        <v>7000930</v>
      </c>
      <c r="AX18">
        <v>63003063</v>
      </c>
      <c r="AY18">
        <v>70003993</v>
      </c>
      <c r="AZ18">
        <v>11.552099999999999</v>
      </c>
      <c r="BA18">
        <v>2.8009400000000002</v>
      </c>
      <c r="BB18">
        <v>7357.63</v>
      </c>
      <c r="BC18">
        <v>1119.4100000000001</v>
      </c>
      <c r="BD18">
        <v>3143</v>
      </c>
      <c r="BE18">
        <v>262</v>
      </c>
      <c r="BF18" t="str">
        <f t="shared" si="0"/>
        <v>u=10% k=2x10^6</v>
      </c>
    </row>
    <row r="19" spans="1:58">
      <c r="A19" t="s">
        <v>109</v>
      </c>
      <c r="B19" t="s">
        <v>79</v>
      </c>
      <c r="C19">
        <v>72</v>
      </c>
      <c r="D19" t="s">
        <v>63</v>
      </c>
      <c r="E19" t="s">
        <v>59</v>
      </c>
      <c r="F19" t="s">
        <v>60</v>
      </c>
      <c r="G19">
        <v>60000</v>
      </c>
      <c r="H19">
        <v>5</v>
      </c>
      <c r="I19">
        <v>5</v>
      </c>
      <c r="J19">
        <v>0</v>
      </c>
      <c r="K19">
        <v>1</v>
      </c>
      <c r="L19">
        <v>20000000</v>
      </c>
      <c r="M19">
        <v>190</v>
      </c>
      <c r="N19">
        <v>190</v>
      </c>
      <c r="O19">
        <v>190</v>
      </c>
      <c r="P19">
        <v>0</v>
      </c>
      <c r="Q19" t="s">
        <v>61</v>
      </c>
      <c r="R19">
        <v>99974433569551</v>
      </c>
      <c r="S19">
        <v>9997085</v>
      </c>
      <c r="T19">
        <v>99974433569551</v>
      </c>
      <c r="U19">
        <v>9997085</v>
      </c>
      <c r="V19" t="s">
        <v>70</v>
      </c>
      <c r="W19">
        <v>7</v>
      </c>
      <c r="X19">
        <v>1773731</v>
      </c>
      <c r="Y19">
        <v>11754487</v>
      </c>
      <c r="Z19">
        <v>13528218</v>
      </c>
      <c r="AA19">
        <v>9997085</v>
      </c>
      <c r="AB19">
        <v>7.6269799999999996</v>
      </c>
      <c r="AC19">
        <v>0.850491</v>
      </c>
      <c r="AD19">
        <v>4.0296900000000004</v>
      </c>
      <c r="AE19">
        <v>329990160</v>
      </c>
      <c r="AF19" t="s">
        <v>184</v>
      </c>
      <c r="AG19" t="s">
        <v>185</v>
      </c>
      <c r="AI19">
        <v>22256</v>
      </c>
      <c r="AP19">
        <v>1743107134</v>
      </c>
      <c r="AQ19">
        <v>0</v>
      </c>
      <c r="AR19">
        <v>193663361</v>
      </c>
      <c r="AS19">
        <v>1743107134</v>
      </c>
      <c r="AT19">
        <v>1936770495</v>
      </c>
      <c r="AU19">
        <v>29051785</v>
      </c>
      <c r="AV19">
        <v>0</v>
      </c>
      <c r="AW19">
        <v>3227722</v>
      </c>
      <c r="AX19">
        <v>29051785</v>
      </c>
      <c r="AY19">
        <v>32279508</v>
      </c>
      <c r="AZ19">
        <v>18.576899999999998</v>
      </c>
      <c r="BA19">
        <v>8.2346000000000004</v>
      </c>
      <c r="BB19">
        <v>13648.6</v>
      </c>
      <c r="BC19">
        <v>1689.2</v>
      </c>
      <c r="BD19">
        <v>4932</v>
      </c>
      <c r="BE19">
        <v>386</v>
      </c>
      <c r="BF19" t="str">
        <f t="shared" si="0"/>
        <v>u=10% k=2x10^7</v>
      </c>
    </row>
    <row r="20" spans="1:58">
      <c r="A20" t="s">
        <v>110</v>
      </c>
      <c r="B20" t="s">
        <v>79</v>
      </c>
      <c r="C20">
        <v>72</v>
      </c>
      <c r="D20" t="s">
        <v>63</v>
      </c>
      <c r="E20" t="s">
        <v>59</v>
      </c>
      <c r="F20" t="s">
        <v>60</v>
      </c>
      <c r="G20">
        <v>60000</v>
      </c>
      <c r="H20">
        <v>5</v>
      </c>
      <c r="I20">
        <v>5</v>
      </c>
      <c r="J20">
        <v>0</v>
      </c>
      <c r="K20">
        <v>1</v>
      </c>
      <c r="L20">
        <v>200000000</v>
      </c>
      <c r="M20">
        <v>190</v>
      </c>
      <c r="N20">
        <v>190</v>
      </c>
      <c r="O20">
        <v>190</v>
      </c>
      <c r="P20">
        <v>0</v>
      </c>
      <c r="Q20" t="s">
        <v>61</v>
      </c>
      <c r="R20">
        <v>1.00004514457505E+16</v>
      </c>
      <c r="S20">
        <v>99998263</v>
      </c>
      <c r="T20">
        <v>1.00004514457505E+16</v>
      </c>
      <c r="U20">
        <v>99998263</v>
      </c>
      <c r="V20" t="s">
        <v>70</v>
      </c>
      <c r="W20">
        <v>7</v>
      </c>
      <c r="X20">
        <v>11991560</v>
      </c>
      <c r="Y20">
        <v>111951369</v>
      </c>
      <c r="Z20">
        <v>123942929</v>
      </c>
      <c r="AA20">
        <v>99998263</v>
      </c>
      <c r="AB20">
        <v>10.335800000000001</v>
      </c>
      <c r="AC20">
        <v>0.89322900000000005</v>
      </c>
      <c r="AD20">
        <v>4.0186200000000003</v>
      </c>
      <c r="AE20">
        <v>2751231168</v>
      </c>
      <c r="AF20" t="s">
        <v>186</v>
      </c>
      <c r="AG20" t="s">
        <v>187</v>
      </c>
      <c r="AI20">
        <v>28694</v>
      </c>
      <c r="AP20">
        <v>1770054639</v>
      </c>
      <c r="AQ20">
        <v>0</v>
      </c>
      <c r="AR20">
        <v>196675460</v>
      </c>
      <c r="AS20">
        <v>1770054639</v>
      </c>
      <c r="AT20">
        <v>1966730099</v>
      </c>
      <c r="AU20">
        <v>29500910</v>
      </c>
      <c r="AV20">
        <v>0</v>
      </c>
      <c r="AW20">
        <v>3277924</v>
      </c>
      <c r="AX20">
        <v>29500910</v>
      </c>
      <c r="AY20">
        <v>32778834</v>
      </c>
      <c r="AZ20">
        <v>22.136900000000001</v>
      </c>
      <c r="BA20">
        <v>11.0741</v>
      </c>
      <c r="BB20">
        <v>10704.7</v>
      </c>
      <c r="BC20">
        <v>2327.46</v>
      </c>
      <c r="BD20">
        <v>18785</v>
      </c>
      <c r="BE20">
        <v>1132</v>
      </c>
      <c r="BF20" t="str">
        <f t="shared" si="0"/>
        <v>u=10% k=2x10^8</v>
      </c>
    </row>
    <row r="21" spans="1:58">
      <c r="A21" t="s">
        <v>111</v>
      </c>
      <c r="B21" t="s">
        <v>79</v>
      </c>
      <c r="C21">
        <v>72</v>
      </c>
      <c r="D21" t="s">
        <v>63</v>
      </c>
      <c r="E21" t="s">
        <v>59</v>
      </c>
      <c r="F21" t="s">
        <v>60</v>
      </c>
      <c r="G21">
        <v>60000</v>
      </c>
      <c r="H21">
        <v>5</v>
      </c>
      <c r="I21">
        <v>5</v>
      </c>
      <c r="J21">
        <v>0</v>
      </c>
      <c r="K21">
        <v>1</v>
      </c>
      <c r="L21">
        <v>2000000000</v>
      </c>
      <c r="M21">
        <v>190</v>
      </c>
      <c r="N21">
        <v>190</v>
      </c>
      <c r="O21">
        <v>190</v>
      </c>
      <c r="P21">
        <v>0</v>
      </c>
      <c r="Q21" t="s">
        <v>61</v>
      </c>
      <c r="R21">
        <v>9.9997442276715494E+17</v>
      </c>
      <c r="S21">
        <v>999988094</v>
      </c>
      <c r="T21">
        <v>9.9997442276715494E+17</v>
      </c>
      <c r="U21">
        <v>999988094</v>
      </c>
      <c r="V21" t="s">
        <v>70</v>
      </c>
      <c r="W21">
        <v>7</v>
      </c>
      <c r="X21">
        <v>84465071</v>
      </c>
      <c r="Y21">
        <v>1078792696</v>
      </c>
      <c r="Z21">
        <v>1163257767</v>
      </c>
      <c r="AA21">
        <v>999988094</v>
      </c>
      <c r="AB21">
        <v>13.7721</v>
      </c>
      <c r="AC21">
        <v>0.92695099999999997</v>
      </c>
      <c r="AD21">
        <v>4</v>
      </c>
      <c r="AE21">
        <v>24017888800</v>
      </c>
      <c r="AF21" t="s">
        <v>188</v>
      </c>
      <c r="AG21" t="s">
        <v>189</v>
      </c>
      <c r="AI21">
        <v>28570</v>
      </c>
      <c r="AP21">
        <v>4499878005</v>
      </c>
      <c r="AQ21">
        <v>0</v>
      </c>
      <c r="AR21">
        <v>499975544</v>
      </c>
      <c r="AS21">
        <v>4499878005</v>
      </c>
      <c r="AT21">
        <v>4999853549</v>
      </c>
      <c r="AU21">
        <v>74997966</v>
      </c>
      <c r="AV21">
        <v>0</v>
      </c>
      <c r="AW21">
        <v>8332925</v>
      </c>
      <c r="AX21">
        <v>74997966</v>
      </c>
      <c r="AY21">
        <v>83330892</v>
      </c>
      <c r="AZ21">
        <v>25.170500000000001</v>
      </c>
      <c r="BA21">
        <v>16.035499999999999</v>
      </c>
      <c r="BB21">
        <v>11709.5</v>
      </c>
      <c r="BC21">
        <v>3650.73</v>
      </c>
      <c r="BD21">
        <v>104129</v>
      </c>
      <c r="BE21">
        <v>9425</v>
      </c>
      <c r="BF21" t="str">
        <f t="shared" si="0"/>
        <v>u=10% k=2x10^9</v>
      </c>
    </row>
    <row r="22" spans="1:58">
      <c r="A22" t="s">
        <v>112</v>
      </c>
      <c r="B22" t="s">
        <v>79</v>
      </c>
      <c r="C22">
        <v>72</v>
      </c>
      <c r="D22" t="s">
        <v>63</v>
      </c>
      <c r="E22" t="s">
        <v>59</v>
      </c>
      <c r="F22" t="s">
        <v>60</v>
      </c>
      <c r="G22">
        <v>60000</v>
      </c>
      <c r="H22">
        <v>20</v>
      </c>
      <c r="I22">
        <v>20</v>
      </c>
      <c r="J22">
        <v>0</v>
      </c>
      <c r="K22">
        <v>1</v>
      </c>
      <c r="L22">
        <v>2000000</v>
      </c>
      <c r="M22">
        <v>190</v>
      </c>
      <c r="N22">
        <v>190</v>
      </c>
      <c r="O22">
        <v>190</v>
      </c>
      <c r="P22">
        <v>0</v>
      </c>
      <c r="Q22" t="s">
        <v>61</v>
      </c>
      <c r="R22">
        <v>999928380163</v>
      </c>
      <c r="S22">
        <v>1000030</v>
      </c>
      <c r="T22">
        <v>999928380163</v>
      </c>
      <c r="U22">
        <v>1000030</v>
      </c>
      <c r="V22" t="s">
        <v>70</v>
      </c>
      <c r="W22">
        <v>6</v>
      </c>
      <c r="X22">
        <v>33076</v>
      </c>
      <c r="Y22">
        <v>1032151</v>
      </c>
      <c r="Z22">
        <v>1065227</v>
      </c>
      <c r="AA22">
        <v>1000030</v>
      </c>
      <c r="AB22">
        <v>32.205399999999997</v>
      </c>
      <c r="AC22">
        <v>0.96887999999999996</v>
      </c>
      <c r="AD22">
        <v>3.0000800000000001</v>
      </c>
      <c r="AE22">
        <v>19160480</v>
      </c>
      <c r="AF22" t="s">
        <v>190</v>
      </c>
      <c r="AG22" t="s">
        <v>191</v>
      </c>
      <c r="AI22">
        <v>10670</v>
      </c>
      <c r="AP22">
        <v>530417987</v>
      </c>
      <c r="AQ22">
        <v>0</v>
      </c>
      <c r="AR22">
        <v>353631981</v>
      </c>
      <c r="AS22">
        <v>530417987</v>
      </c>
      <c r="AT22">
        <v>884049968</v>
      </c>
      <c r="AU22">
        <v>8840299</v>
      </c>
      <c r="AV22">
        <v>0</v>
      </c>
      <c r="AW22">
        <v>5893866</v>
      </c>
      <c r="AX22">
        <v>8840299</v>
      </c>
      <c r="AY22">
        <v>14734166</v>
      </c>
      <c r="AZ22">
        <v>20.8523</v>
      </c>
      <c r="BA22">
        <v>9.7314799999999995</v>
      </c>
      <c r="BB22">
        <v>34336.6</v>
      </c>
      <c r="BC22">
        <v>3360.81</v>
      </c>
      <c r="BD22">
        <v>4087</v>
      </c>
      <c r="BE22">
        <v>376</v>
      </c>
      <c r="BF22" t="str">
        <f t="shared" si="0"/>
        <v>u=40% k=2x10^6</v>
      </c>
    </row>
    <row r="23" spans="1:58">
      <c r="A23" t="s">
        <v>113</v>
      </c>
      <c r="B23" t="s">
        <v>79</v>
      </c>
      <c r="C23">
        <v>72</v>
      </c>
      <c r="D23" t="s">
        <v>63</v>
      </c>
      <c r="E23" t="s">
        <v>59</v>
      </c>
      <c r="F23" t="s">
        <v>60</v>
      </c>
      <c r="G23">
        <v>60000</v>
      </c>
      <c r="H23">
        <v>20</v>
      </c>
      <c r="I23">
        <v>20</v>
      </c>
      <c r="J23">
        <v>0</v>
      </c>
      <c r="K23">
        <v>1</v>
      </c>
      <c r="L23">
        <v>20000000</v>
      </c>
      <c r="M23">
        <v>190</v>
      </c>
      <c r="N23">
        <v>190</v>
      </c>
      <c r="O23">
        <v>190</v>
      </c>
      <c r="P23">
        <v>0</v>
      </c>
      <c r="Q23" t="s">
        <v>61</v>
      </c>
      <c r="R23">
        <v>99997360825390</v>
      </c>
      <c r="S23">
        <v>9997504</v>
      </c>
      <c r="T23">
        <v>99997360825390</v>
      </c>
      <c r="U23">
        <v>9997504</v>
      </c>
      <c r="V23" t="s">
        <v>70</v>
      </c>
      <c r="W23">
        <v>7</v>
      </c>
      <c r="X23">
        <v>1625328</v>
      </c>
      <c r="Y23">
        <v>11439482</v>
      </c>
      <c r="Z23">
        <v>13064810</v>
      </c>
      <c r="AA23">
        <v>9997504</v>
      </c>
      <c r="AB23">
        <v>8.0382599999999993</v>
      </c>
      <c r="AC23">
        <v>0.87394700000000003</v>
      </c>
      <c r="AD23">
        <v>4.0000099999999996</v>
      </c>
      <c r="AE23">
        <v>313057936</v>
      </c>
      <c r="AF23" t="s">
        <v>192</v>
      </c>
      <c r="AG23" t="s">
        <v>193</v>
      </c>
      <c r="AI23">
        <v>12572</v>
      </c>
      <c r="AP23">
        <v>285000073</v>
      </c>
      <c r="AQ23">
        <v>0</v>
      </c>
      <c r="AR23">
        <v>190008770</v>
      </c>
      <c r="AS23">
        <v>285000073</v>
      </c>
      <c r="AT23">
        <v>475008843</v>
      </c>
      <c r="AU23">
        <v>4750001</v>
      </c>
      <c r="AV23">
        <v>0</v>
      </c>
      <c r="AW23">
        <v>3166812</v>
      </c>
      <c r="AX23">
        <v>4750001</v>
      </c>
      <c r="AY23">
        <v>7916814</v>
      </c>
      <c r="AZ23">
        <v>26.342400000000001</v>
      </c>
      <c r="BA23">
        <v>13.817500000000001</v>
      </c>
      <c r="BB23">
        <v>52721.2</v>
      </c>
      <c r="BC23">
        <v>2798.22</v>
      </c>
      <c r="BD23">
        <v>5467</v>
      </c>
      <c r="BE23">
        <v>427</v>
      </c>
      <c r="BF23" t="str">
        <f t="shared" si="0"/>
        <v>u=40% k=2x10^7</v>
      </c>
    </row>
    <row r="24" spans="1:58">
      <c r="A24" t="s">
        <v>114</v>
      </c>
      <c r="B24" t="s">
        <v>79</v>
      </c>
      <c r="C24">
        <v>72</v>
      </c>
      <c r="D24" t="s">
        <v>63</v>
      </c>
      <c r="E24" t="s">
        <v>59</v>
      </c>
      <c r="F24" t="s">
        <v>60</v>
      </c>
      <c r="G24">
        <v>60000</v>
      </c>
      <c r="H24">
        <v>20</v>
      </c>
      <c r="I24">
        <v>20</v>
      </c>
      <c r="J24">
        <v>0</v>
      </c>
      <c r="K24">
        <v>1</v>
      </c>
      <c r="L24">
        <v>200000000</v>
      </c>
      <c r="M24">
        <v>190</v>
      </c>
      <c r="N24">
        <v>190</v>
      </c>
      <c r="O24">
        <v>190</v>
      </c>
      <c r="P24">
        <v>0</v>
      </c>
      <c r="Q24" t="s">
        <v>61</v>
      </c>
      <c r="R24">
        <v>9999392644179750</v>
      </c>
      <c r="S24">
        <v>99997490</v>
      </c>
      <c r="T24">
        <v>9999392644179750</v>
      </c>
      <c r="U24">
        <v>99997490</v>
      </c>
      <c r="V24" t="s">
        <v>70</v>
      </c>
      <c r="W24">
        <v>7</v>
      </c>
      <c r="X24">
        <v>11947965</v>
      </c>
      <c r="Y24">
        <v>111858621</v>
      </c>
      <c r="Z24">
        <v>123806586</v>
      </c>
      <c r="AA24">
        <v>99997490</v>
      </c>
      <c r="AB24">
        <v>10.3621</v>
      </c>
      <c r="AC24">
        <v>0.89396299999999995</v>
      </c>
      <c r="AD24">
        <v>4.0177399999999999</v>
      </c>
      <c r="AE24">
        <v>2746197920</v>
      </c>
      <c r="AF24" t="s">
        <v>194</v>
      </c>
      <c r="AG24" t="s">
        <v>195</v>
      </c>
      <c r="AI24">
        <v>17166</v>
      </c>
      <c r="AP24">
        <v>295119239</v>
      </c>
      <c r="AQ24">
        <v>0</v>
      </c>
      <c r="AR24">
        <v>196768488</v>
      </c>
      <c r="AS24">
        <v>295119239</v>
      </c>
      <c r="AT24">
        <v>491887727</v>
      </c>
      <c r="AU24">
        <v>4918653</v>
      </c>
      <c r="AV24">
        <v>0</v>
      </c>
      <c r="AW24">
        <v>3279474</v>
      </c>
      <c r="AX24">
        <v>4918653</v>
      </c>
      <c r="AY24">
        <v>8198128</v>
      </c>
      <c r="AZ24">
        <v>30.984400000000001</v>
      </c>
      <c r="BA24">
        <v>16.489999999999998</v>
      </c>
      <c r="BB24">
        <v>35003.800000000003</v>
      </c>
      <c r="BC24">
        <v>3063.48</v>
      </c>
      <c r="BD24">
        <v>18324</v>
      </c>
      <c r="BE24">
        <v>1058</v>
      </c>
      <c r="BF24" t="str">
        <f t="shared" si="0"/>
        <v>u=40% k=2x10^8</v>
      </c>
    </row>
    <row r="25" spans="1:58">
      <c r="A25" t="s">
        <v>115</v>
      </c>
      <c r="B25" t="s">
        <v>79</v>
      </c>
      <c r="C25">
        <v>72</v>
      </c>
      <c r="D25" t="s">
        <v>63</v>
      </c>
      <c r="E25" t="s">
        <v>59</v>
      </c>
      <c r="F25" t="s">
        <v>60</v>
      </c>
      <c r="G25">
        <v>60000</v>
      </c>
      <c r="H25">
        <v>20</v>
      </c>
      <c r="I25">
        <v>20</v>
      </c>
      <c r="J25">
        <v>0</v>
      </c>
      <c r="K25">
        <v>1</v>
      </c>
      <c r="L25">
        <v>2000000000</v>
      </c>
      <c r="M25">
        <v>190</v>
      </c>
      <c r="N25">
        <v>190</v>
      </c>
      <c r="O25">
        <v>190</v>
      </c>
      <c r="P25">
        <v>0</v>
      </c>
      <c r="Q25" t="s">
        <v>61</v>
      </c>
      <c r="R25">
        <v>1.0000052081041999E+18</v>
      </c>
      <c r="S25">
        <v>999995353</v>
      </c>
      <c r="T25">
        <v>1.0000052081041999E+18</v>
      </c>
      <c r="U25">
        <v>999995353</v>
      </c>
      <c r="V25" t="s">
        <v>70</v>
      </c>
      <c r="W25">
        <v>7</v>
      </c>
      <c r="X25">
        <v>84465078</v>
      </c>
      <c r="Y25">
        <v>1078799969</v>
      </c>
      <c r="Z25">
        <v>1163265047</v>
      </c>
      <c r="AA25">
        <v>999995353</v>
      </c>
      <c r="AB25">
        <v>13.7721</v>
      </c>
      <c r="AC25">
        <v>0.926952</v>
      </c>
      <c r="AD25">
        <v>4</v>
      </c>
      <c r="AE25">
        <v>24018005728</v>
      </c>
      <c r="AF25" t="s">
        <v>196</v>
      </c>
      <c r="AG25" t="s">
        <v>197</v>
      </c>
      <c r="AI25">
        <v>7738</v>
      </c>
      <c r="AP25">
        <v>750015966</v>
      </c>
      <c r="AQ25">
        <v>0</v>
      </c>
      <c r="AR25">
        <v>499971736</v>
      </c>
      <c r="AS25">
        <v>750015966</v>
      </c>
      <c r="AT25">
        <v>1249987702</v>
      </c>
      <c r="AU25">
        <v>12500266</v>
      </c>
      <c r="AV25">
        <v>0</v>
      </c>
      <c r="AW25">
        <v>8332862</v>
      </c>
      <c r="AX25">
        <v>12500266</v>
      </c>
      <c r="AY25">
        <v>20833128</v>
      </c>
      <c r="AZ25">
        <v>32.767000000000003</v>
      </c>
      <c r="BA25">
        <v>20.956299999999999</v>
      </c>
      <c r="BB25">
        <v>30953.5</v>
      </c>
      <c r="BC25">
        <v>4681.01</v>
      </c>
      <c r="BD25">
        <v>121934</v>
      </c>
      <c r="BE25">
        <v>8999</v>
      </c>
      <c r="BF25" t="str">
        <f t="shared" si="0"/>
        <v>u=40% k=2x10^9</v>
      </c>
    </row>
    <row r="26" spans="1:58">
      <c r="A26" t="s">
        <v>116</v>
      </c>
      <c r="B26" t="s">
        <v>79</v>
      </c>
      <c r="C26">
        <v>72</v>
      </c>
      <c r="D26" t="s">
        <v>63</v>
      </c>
      <c r="E26" t="s">
        <v>59</v>
      </c>
      <c r="F26" t="s">
        <v>60</v>
      </c>
      <c r="G26">
        <v>60000</v>
      </c>
      <c r="H26">
        <v>0.5</v>
      </c>
      <c r="I26">
        <v>0.5</v>
      </c>
      <c r="J26">
        <v>0</v>
      </c>
      <c r="K26">
        <v>1</v>
      </c>
      <c r="L26">
        <v>2000000</v>
      </c>
      <c r="M26">
        <v>190</v>
      </c>
      <c r="N26">
        <v>190</v>
      </c>
      <c r="O26">
        <v>190</v>
      </c>
      <c r="P26">
        <v>0</v>
      </c>
      <c r="Q26" t="s">
        <v>61</v>
      </c>
      <c r="R26">
        <v>999739220826</v>
      </c>
      <c r="S26">
        <v>1000134</v>
      </c>
      <c r="T26">
        <v>999739220826</v>
      </c>
      <c r="U26">
        <v>1000134</v>
      </c>
      <c r="V26" t="s">
        <v>70</v>
      </c>
      <c r="W26">
        <v>6</v>
      </c>
      <c r="X26">
        <v>53676</v>
      </c>
      <c r="Y26">
        <v>1073843</v>
      </c>
      <c r="Z26">
        <v>1127519</v>
      </c>
      <c r="AA26">
        <v>1000134</v>
      </c>
      <c r="AB26">
        <v>21.006</v>
      </c>
      <c r="AC26">
        <v>0.93135999999999997</v>
      </c>
      <c r="AD26">
        <v>3.0431900000000001</v>
      </c>
      <c r="AE26">
        <v>21496816</v>
      </c>
      <c r="AF26" t="s">
        <v>198</v>
      </c>
      <c r="AG26" t="s">
        <v>199</v>
      </c>
      <c r="AI26">
        <v>123080</v>
      </c>
      <c r="AP26">
        <v>17549794511</v>
      </c>
      <c r="AQ26">
        <v>0</v>
      </c>
      <c r="AR26">
        <v>177265853</v>
      </c>
      <c r="AS26">
        <v>17549794511</v>
      </c>
      <c r="AT26">
        <v>17727060364</v>
      </c>
      <c r="AU26">
        <v>292496575</v>
      </c>
      <c r="AV26">
        <v>0</v>
      </c>
      <c r="AW26">
        <v>2954430</v>
      </c>
      <c r="AX26">
        <v>292496575</v>
      </c>
      <c r="AY26">
        <v>295451006</v>
      </c>
      <c r="AZ26">
        <v>8.5275300000000005</v>
      </c>
      <c r="BA26">
        <v>0.39303399999999999</v>
      </c>
      <c r="BB26">
        <v>1757.63</v>
      </c>
      <c r="BC26">
        <v>413.76600000000002</v>
      </c>
      <c r="BD26">
        <v>2776</v>
      </c>
      <c r="BE26">
        <v>366</v>
      </c>
      <c r="BF26" t="str">
        <f t="shared" si="0"/>
        <v>u=1% k=2x10^6</v>
      </c>
    </row>
    <row r="27" spans="1:58">
      <c r="A27" t="s">
        <v>117</v>
      </c>
      <c r="B27" t="s">
        <v>79</v>
      </c>
      <c r="C27">
        <v>72</v>
      </c>
      <c r="D27" t="s">
        <v>63</v>
      </c>
      <c r="E27" t="s">
        <v>59</v>
      </c>
      <c r="F27" t="s">
        <v>60</v>
      </c>
      <c r="G27">
        <v>60000</v>
      </c>
      <c r="H27">
        <v>0.5</v>
      </c>
      <c r="I27">
        <v>0.5</v>
      </c>
      <c r="J27">
        <v>0</v>
      </c>
      <c r="K27">
        <v>1</v>
      </c>
      <c r="L27">
        <v>20000000</v>
      </c>
      <c r="M27">
        <v>190</v>
      </c>
      <c r="N27">
        <v>190</v>
      </c>
      <c r="O27">
        <v>190</v>
      </c>
      <c r="P27">
        <v>0</v>
      </c>
      <c r="Q27" t="s">
        <v>61</v>
      </c>
      <c r="R27">
        <v>100025647565681</v>
      </c>
      <c r="S27">
        <v>10002631</v>
      </c>
      <c r="T27">
        <v>100025647565681</v>
      </c>
      <c r="U27">
        <v>10002631</v>
      </c>
      <c r="V27" t="s">
        <v>70</v>
      </c>
      <c r="W27">
        <v>7</v>
      </c>
      <c r="X27">
        <v>1810212</v>
      </c>
      <c r="Y27">
        <v>11828179</v>
      </c>
      <c r="Z27">
        <v>13638391</v>
      </c>
      <c r="AA27">
        <v>10002631</v>
      </c>
      <c r="AB27">
        <v>7.5341399999999998</v>
      </c>
      <c r="AC27">
        <v>0.845661</v>
      </c>
      <c r="AD27">
        <v>4.0376799999999999</v>
      </c>
      <c r="AE27">
        <v>334073328</v>
      </c>
      <c r="AF27" t="s">
        <v>200</v>
      </c>
      <c r="AG27" t="s">
        <v>201</v>
      </c>
      <c r="AI27">
        <v>64202</v>
      </c>
      <c r="AP27">
        <v>10373898845</v>
      </c>
      <c r="AQ27">
        <v>0</v>
      </c>
      <c r="AR27">
        <v>104773571</v>
      </c>
      <c r="AS27">
        <v>10373898845</v>
      </c>
      <c r="AT27">
        <v>10478672416</v>
      </c>
      <c r="AU27">
        <v>172898314</v>
      </c>
      <c r="AV27">
        <v>0</v>
      </c>
      <c r="AW27">
        <v>1746226</v>
      </c>
      <c r="AX27">
        <v>172898314</v>
      </c>
      <c r="AY27">
        <v>174644540</v>
      </c>
      <c r="AZ27">
        <v>16.091999999999999</v>
      </c>
      <c r="BA27">
        <v>6.5992499999999996</v>
      </c>
      <c r="BB27">
        <v>2988.6</v>
      </c>
      <c r="BC27">
        <v>1248.52</v>
      </c>
      <c r="BD27">
        <v>3836</v>
      </c>
      <c r="BE27">
        <v>486</v>
      </c>
      <c r="BF27" t="str">
        <f t="shared" si="0"/>
        <v>u=1% k=2x10^7</v>
      </c>
    </row>
    <row r="28" spans="1:58">
      <c r="A28" t="s">
        <v>118</v>
      </c>
      <c r="B28" t="s">
        <v>79</v>
      </c>
      <c r="C28">
        <v>72</v>
      </c>
      <c r="D28" t="s">
        <v>63</v>
      </c>
      <c r="E28" t="s">
        <v>59</v>
      </c>
      <c r="F28" t="s">
        <v>60</v>
      </c>
      <c r="G28">
        <v>60000</v>
      </c>
      <c r="H28">
        <v>0.5</v>
      </c>
      <c r="I28">
        <v>0.5</v>
      </c>
      <c r="J28">
        <v>0</v>
      </c>
      <c r="K28">
        <v>1</v>
      </c>
      <c r="L28">
        <v>200000000</v>
      </c>
      <c r="M28">
        <v>190</v>
      </c>
      <c r="N28">
        <v>190</v>
      </c>
      <c r="O28">
        <v>190</v>
      </c>
      <c r="P28">
        <v>0</v>
      </c>
      <c r="Q28" t="s">
        <v>61</v>
      </c>
      <c r="R28">
        <v>9999220677683380</v>
      </c>
      <c r="S28">
        <v>99990870</v>
      </c>
      <c r="T28">
        <v>9999220677683380</v>
      </c>
      <c r="U28">
        <v>99990870</v>
      </c>
      <c r="V28" t="s">
        <v>70</v>
      </c>
      <c r="W28">
        <v>7</v>
      </c>
      <c r="X28">
        <v>12270684</v>
      </c>
      <c r="Y28">
        <v>112534478</v>
      </c>
      <c r="Z28">
        <v>124805162</v>
      </c>
      <c r="AA28">
        <v>99990870</v>
      </c>
      <c r="AB28">
        <v>10.170999999999999</v>
      </c>
      <c r="AC28">
        <v>0.88853499999999996</v>
      </c>
      <c r="AD28">
        <v>4.0242800000000001</v>
      </c>
      <c r="AE28">
        <v>2783273728</v>
      </c>
      <c r="AF28" t="s">
        <v>202</v>
      </c>
      <c r="AG28" t="s">
        <v>203</v>
      </c>
      <c r="AI28">
        <v>57898</v>
      </c>
      <c r="AP28">
        <v>9520608845</v>
      </c>
      <c r="AQ28">
        <v>0</v>
      </c>
      <c r="AR28">
        <v>96162527</v>
      </c>
      <c r="AS28">
        <v>9520608845</v>
      </c>
      <c r="AT28">
        <v>9616771372</v>
      </c>
      <c r="AU28">
        <v>158676814</v>
      </c>
      <c r="AV28">
        <v>0</v>
      </c>
      <c r="AW28">
        <v>1602708</v>
      </c>
      <c r="AX28">
        <v>158676814</v>
      </c>
      <c r="AY28">
        <v>160279522</v>
      </c>
      <c r="AZ28">
        <v>19.372800000000002</v>
      </c>
      <c r="BA28">
        <v>9.6356800000000007</v>
      </c>
      <c r="BB28">
        <v>3193.93</v>
      </c>
      <c r="BC28">
        <v>1956.62</v>
      </c>
      <c r="BD28">
        <v>13561</v>
      </c>
      <c r="BE28">
        <v>1054</v>
      </c>
      <c r="BF28" t="str">
        <f t="shared" si="0"/>
        <v>u=1% k=2x10^8</v>
      </c>
    </row>
    <row r="29" spans="1:58">
      <c r="A29" t="s">
        <v>119</v>
      </c>
      <c r="B29" t="s">
        <v>79</v>
      </c>
      <c r="C29">
        <v>72</v>
      </c>
      <c r="D29" t="s">
        <v>63</v>
      </c>
      <c r="E29" t="s">
        <v>59</v>
      </c>
      <c r="F29" t="s">
        <v>60</v>
      </c>
      <c r="G29">
        <v>60000</v>
      </c>
      <c r="H29">
        <v>0.5</v>
      </c>
      <c r="I29">
        <v>0.5</v>
      </c>
      <c r="J29">
        <v>0</v>
      </c>
      <c r="K29">
        <v>1</v>
      </c>
      <c r="L29">
        <v>2000000000</v>
      </c>
      <c r="M29">
        <v>190</v>
      </c>
      <c r="N29">
        <v>190</v>
      </c>
      <c r="O29">
        <v>190</v>
      </c>
      <c r="P29">
        <v>0</v>
      </c>
      <c r="Q29" t="s">
        <v>61</v>
      </c>
      <c r="R29">
        <v>9.9999142499827994E+17</v>
      </c>
      <c r="S29">
        <v>999992313</v>
      </c>
      <c r="T29">
        <v>9.9999142499827994E+17</v>
      </c>
      <c r="U29">
        <v>999992313</v>
      </c>
      <c r="V29" t="s">
        <v>70</v>
      </c>
      <c r="W29">
        <v>7</v>
      </c>
      <c r="X29">
        <v>104160783</v>
      </c>
      <c r="Y29">
        <v>1118685397</v>
      </c>
      <c r="Z29">
        <v>1222846180</v>
      </c>
      <c r="AA29">
        <v>999992313</v>
      </c>
      <c r="AB29">
        <v>11.74</v>
      </c>
      <c r="AC29">
        <v>0.893899</v>
      </c>
      <c r="AD29">
        <v>4.04047</v>
      </c>
      <c r="AE29">
        <v>26243457856</v>
      </c>
      <c r="AF29" t="s">
        <v>204</v>
      </c>
      <c r="AG29" t="s">
        <v>204</v>
      </c>
      <c r="AI29">
        <v>51724</v>
      </c>
      <c r="AP29">
        <v>8657028759</v>
      </c>
      <c r="AQ29">
        <v>0</v>
      </c>
      <c r="AR29">
        <v>87456906</v>
      </c>
      <c r="AS29">
        <v>8657028759</v>
      </c>
      <c r="AT29">
        <v>8744485665</v>
      </c>
      <c r="AU29">
        <v>144283812</v>
      </c>
      <c r="AV29">
        <v>0</v>
      </c>
      <c r="AW29">
        <v>1457615</v>
      </c>
      <c r="AX29">
        <v>144283812</v>
      </c>
      <c r="AY29">
        <v>145741427</v>
      </c>
      <c r="AZ29">
        <v>22.1694</v>
      </c>
      <c r="BA29">
        <v>14.132199999999999</v>
      </c>
      <c r="BB29">
        <v>3628.97</v>
      </c>
      <c r="BC29">
        <v>2892.29</v>
      </c>
      <c r="BD29">
        <v>62230</v>
      </c>
      <c r="BE29">
        <v>9282</v>
      </c>
      <c r="BF29" t="str">
        <f t="shared" si="0"/>
        <v>u=1% k=2x10^9</v>
      </c>
    </row>
    <row r="30" spans="1:58">
      <c r="A30" t="s">
        <v>120</v>
      </c>
      <c r="B30" t="s">
        <v>79</v>
      </c>
      <c r="C30">
        <v>72</v>
      </c>
      <c r="D30" t="s">
        <v>63</v>
      </c>
      <c r="E30" t="s">
        <v>59</v>
      </c>
      <c r="F30" t="s">
        <v>60</v>
      </c>
      <c r="G30">
        <v>60000</v>
      </c>
      <c r="H30">
        <v>5</v>
      </c>
      <c r="I30">
        <v>5</v>
      </c>
      <c r="J30">
        <v>0</v>
      </c>
      <c r="K30">
        <v>1</v>
      </c>
      <c r="L30">
        <v>2000000</v>
      </c>
      <c r="M30">
        <v>190</v>
      </c>
      <c r="N30">
        <v>190</v>
      </c>
      <c r="O30">
        <v>190</v>
      </c>
      <c r="P30">
        <v>0</v>
      </c>
      <c r="Q30" t="s">
        <v>61</v>
      </c>
      <c r="R30">
        <v>1000209812011</v>
      </c>
      <c r="S30">
        <v>1001064</v>
      </c>
      <c r="T30">
        <v>1000209812011</v>
      </c>
      <c r="U30">
        <v>1001064</v>
      </c>
      <c r="V30" t="s">
        <v>70</v>
      </c>
      <c r="W30">
        <v>6</v>
      </c>
      <c r="X30">
        <v>33081</v>
      </c>
      <c r="Y30">
        <v>1033181</v>
      </c>
      <c r="Z30">
        <v>1066262</v>
      </c>
      <c r="AA30">
        <v>1001064</v>
      </c>
      <c r="AB30">
        <v>32.231900000000003</v>
      </c>
      <c r="AC30">
        <v>0.96891400000000005</v>
      </c>
      <c r="AD30">
        <v>3.0000900000000001</v>
      </c>
      <c r="AE30">
        <v>19177360</v>
      </c>
      <c r="AF30" t="s">
        <v>205</v>
      </c>
      <c r="AG30" t="s">
        <v>206</v>
      </c>
      <c r="AI30">
        <v>36346</v>
      </c>
      <c r="AP30">
        <v>3645736786</v>
      </c>
      <c r="AQ30">
        <v>0</v>
      </c>
      <c r="AR30">
        <v>405061679</v>
      </c>
      <c r="AS30">
        <v>3645736786</v>
      </c>
      <c r="AT30">
        <v>4050798465</v>
      </c>
      <c r="AU30">
        <v>60762279</v>
      </c>
      <c r="AV30">
        <v>0</v>
      </c>
      <c r="AW30">
        <v>6751027</v>
      </c>
      <c r="AX30">
        <v>60762279</v>
      </c>
      <c r="AY30">
        <v>67513307</v>
      </c>
      <c r="AZ30">
        <v>11.5406</v>
      </c>
      <c r="BA30">
        <v>2.7932000000000001</v>
      </c>
      <c r="BB30">
        <v>7638.86</v>
      </c>
      <c r="BC30">
        <v>1119.79</v>
      </c>
      <c r="BD30">
        <v>3301</v>
      </c>
      <c r="BE30">
        <v>463</v>
      </c>
      <c r="BF30" t="str">
        <f t="shared" si="0"/>
        <v>u=10% k=2x10^6</v>
      </c>
    </row>
    <row r="31" spans="1:58">
      <c r="A31" t="s">
        <v>121</v>
      </c>
      <c r="B31" t="s">
        <v>79</v>
      </c>
      <c r="C31">
        <v>72</v>
      </c>
      <c r="D31" t="s">
        <v>63</v>
      </c>
      <c r="E31" t="s">
        <v>59</v>
      </c>
      <c r="F31" t="s">
        <v>60</v>
      </c>
      <c r="G31">
        <v>60000</v>
      </c>
      <c r="H31">
        <v>5</v>
      </c>
      <c r="I31">
        <v>5</v>
      </c>
      <c r="J31">
        <v>0</v>
      </c>
      <c r="K31">
        <v>1</v>
      </c>
      <c r="L31">
        <v>20000000</v>
      </c>
      <c r="M31">
        <v>190</v>
      </c>
      <c r="N31">
        <v>190</v>
      </c>
      <c r="O31">
        <v>190</v>
      </c>
      <c r="P31">
        <v>0</v>
      </c>
      <c r="Q31" t="s">
        <v>61</v>
      </c>
      <c r="R31">
        <v>100007996029858</v>
      </c>
      <c r="S31">
        <v>9999652</v>
      </c>
      <c r="T31">
        <v>100007996029858</v>
      </c>
      <c r="U31">
        <v>9999652</v>
      </c>
      <c r="V31" t="s">
        <v>70</v>
      </c>
      <c r="W31">
        <v>7</v>
      </c>
      <c r="X31">
        <v>1625832</v>
      </c>
      <c r="Y31">
        <v>11442074</v>
      </c>
      <c r="Z31">
        <v>13067906</v>
      </c>
      <c r="AA31">
        <v>9999652</v>
      </c>
      <c r="AB31">
        <v>8.0376700000000003</v>
      </c>
      <c r="AC31">
        <v>0.87393699999999996</v>
      </c>
      <c r="AD31">
        <v>4.0000099999999996</v>
      </c>
      <c r="AE31">
        <v>313139728</v>
      </c>
      <c r="AF31" t="s">
        <v>207</v>
      </c>
      <c r="AG31" t="s">
        <v>208</v>
      </c>
      <c r="AI31">
        <v>23558</v>
      </c>
      <c r="AP31">
        <v>1754777913</v>
      </c>
      <c r="AQ31">
        <v>0</v>
      </c>
      <c r="AR31">
        <v>194953781</v>
      </c>
      <c r="AS31">
        <v>1754777913</v>
      </c>
      <c r="AT31">
        <v>1949731694</v>
      </c>
      <c r="AU31">
        <v>29246298</v>
      </c>
      <c r="AV31">
        <v>0</v>
      </c>
      <c r="AW31">
        <v>3249229</v>
      </c>
      <c r="AX31">
        <v>29246298</v>
      </c>
      <c r="AY31">
        <v>32495528</v>
      </c>
      <c r="AZ31">
        <v>18.603000000000002</v>
      </c>
      <c r="BA31">
        <v>8.2439599999999995</v>
      </c>
      <c r="BB31">
        <v>13782.3</v>
      </c>
      <c r="BC31">
        <v>1647.23</v>
      </c>
      <c r="BD31">
        <v>4912</v>
      </c>
      <c r="BE31">
        <v>489</v>
      </c>
      <c r="BF31" t="str">
        <f t="shared" si="0"/>
        <v>u=10% k=2x10^7</v>
      </c>
    </row>
    <row r="32" spans="1:58">
      <c r="A32" t="s">
        <v>122</v>
      </c>
      <c r="B32" t="s">
        <v>79</v>
      </c>
      <c r="C32">
        <v>72</v>
      </c>
      <c r="D32" t="s">
        <v>63</v>
      </c>
      <c r="E32" t="s">
        <v>59</v>
      </c>
      <c r="F32" t="s">
        <v>60</v>
      </c>
      <c r="G32">
        <v>60000</v>
      </c>
      <c r="H32">
        <v>5</v>
      </c>
      <c r="I32">
        <v>5</v>
      </c>
      <c r="J32">
        <v>0</v>
      </c>
      <c r="K32">
        <v>1</v>
      </c>
      <c r="L32">
        <v>200000000</v>
      </c>
      <c r="M32">
        <v>190</v>
      </c>
      <c r="N32">
        <v>190</v>
      </c>
      <c r="O32">
        <v>190</v>
      </c>
      <c r="P32">
        <v>0</v>
      </c>
      <c r="Q32" t="s">
        <v>61</v>
      </c>
      <c r="R32">
        <v>1.00000568468795E+16</v>
      </c>
      <c r="S32">
        <v>100000560</v>
      </c>
      <c r="T32">
        <v>1.00000568468795E+16</v>
      </c>
      <c r="U32">
        <v>100000560</v>
      </c>
      <c r="V32" t="s">
        <v>70</v>
      </c>
      <c r="W32">
        <v>7</v>
      </c>
      <c r="X32">
        <v>12131765</v>
      </c>
      <c r="Y32">
        <v>112256535</v>
      </c>
      <c r="Z32">
        <v>124388300</v>
      </c>
      <c r="AA32">
        <v>100000560</v>
      </c>
      <c r="AB32">
        <v>10.2531</v>
      </c>
      <c r="AC32">
        <v>0.890822</v>
      </c>
      <c r="AD32">
        <v>4.0214600000000003</v>
      </c>
      <c r="AE32">
        <v>2767544064</v>
      </c>
      <c r="AF32" t="s">
        <v>209</v>
      </c>
      <c r="AG32" t="s">
        <v>210</v>
      </c>
      <c r="AI32">
        <v>28042</v>
      </c>
      <c r="AP32">
        <v>1766912979</v>
      </c>
      <c r="AQ32">
        <v>0</v>
      </c>
      <c r="AR32">
        <v>196326552</v>
      </c>
      <c r="AS32">
        <v>1766912979</v>
      </c>
      <c r="AT32">
        <v>1963239531</v>
      </c>
      <c r="AU32">
        <v>29448549</v>
      </c>
      <c r="AV32">
        <v>0</v>
      </c>
      <c r="AW32">
        <v>3272109</v>
      </c>
      <c r="AX32">
        <v>29448549</v>
      </c>
      <c r="AY32">
        <v>32720658</v>
      </c>
      <c r="AZ32">
        <v>22.0854</v>
      </c>
      <c r="BA32">
        <v>11.0494</v>
      </c>
      <c r="BB32">
        <v>10765.9</v>
      </c>
      <c r="BC32">
        <v>2315.9899999999998</v>
      </c>
      <c r="BD32">
        <v>15937</v>
      </c>
      <c r="BE32">
        <v>1118</v>
      </c>
      <c r="BF32" t="str">
        <f t="shared" si="0"/>
        <v>u=10% k=2x10^8</v>
      </c>
    </row>
    <row r="33" spans="1:58">
      <c r="A33" t="s">
        <v>123</v>
      </c>
      <c r="B33" t="s">
        <v>79</v>
      </c>
      <c r="C33">
        <v>72</v>
      </c>
      <c r="D33" t="s">
        <v>63</v>
      </c>
      <c r="E33" t="s">
        <v>59</v>
      </c>
      <c r="F33" t="s">
        <v>60</v>
      </c>
      <c r="G33">
        <v>60000</v>
      </c>
      <c r="H33">
        <v>5</v>
      </c>
      <c r="I33">
        <v>5</v>
      </c>
      <c r="J33">
        <v>0</v>
      </c>
      <c r="K33">
        <v>1</v>
      </c>
      <c r="L33">
        <v>2000000000</v>
      </c>
      <c r="M33">
        <v>190</v>
      </c>
      <c r="N33">
        <v>190</v>
      </c>
      <c r="O33">
        <v>190</v>
      </c>
      <c r="P33">
        <v>0</v>
      </c>
      <c r="Q33" t="s">
        <v>61</v>
      </c>
      <c r="R33">
        <v>9.9999939582264704E+17</v>
      </c>
      <c r="S33">
        <v>999996812</v>
      </c>
      <c r="T33">
        <v>9.9999939582264704E+17</v>
      </c>
      <c r="U33">
        <v>999996812</v>
      </c>
      <c r="V33" t="s">
        <v>70</v>
      </c>
      <c r="W33">
        <v>7</v>
      </c>
      <c r="X33">
        <v>84465082</v>
      </c>
      <c r="Y33">
        <v>1078801417</v>
      </c>
      <c r="Z33">
        <v>1163266499</v>
      </c>
      <c r="AA33">
        <v>999996812</v>
      </c>
      <c r="AB33">
        <v>13.7722</v>
      </c>
      <c r="AC33">
        <v>0.926952</v>
      </c>
      <c r="AD33">
        <v>4</v>
      </c>
      <c r="AE33">
        <v>24018029216</v>
      </c>
      <c r="AF33" t="s">
        <v>211</v>
      </c>
      <c r="AG33" t="s">
        <v>212</v>
      </c>
      <c r="AI33">
        <v>28580</v>
      </c>
      <c r="AP33">
        <v>4500141603</v>
      </c>
      <c r="AQ33">
        <v>0</v>
      </c>
      <c r="AR33">
        <v>500008299</v>
      </c>
      <c r="AS33">
        <v>4500141603</v>
      </c>
      <c r="AT33">
        <v>5000149902</v>
      </c>
      <c r="AU33">
        <v>75002360</v>
      </c>
      <c r="AV33">
        <v>0</v>
      </c>
      <c r="AW33">
        <v>8333471</v>
      </c>
      <c r="AX33">
        <v>75002360</v>
      </c>
      <c r="AY33">
        <v>83335831</v>
      </c>
      <c r="AZ33">
        <v>25.168399999999998</v>
      </c>
      <c r="BA33">
        <v>16.004300000000001</v>
      </c>
      <c r="BB33">
        <v>11578.6</v>
      </c>
      <c r="BC33">
        <v>3661.04</v>
      </c>
      <c r="BD33">
        <v>121595</v>
      </c>
      <c r="BE33">
        <v>8897</v>
      </c>
      <c r="BF33" t="str">
        <f t="shared" si="0"/>
        <v>u=10% k=2x10^9</v>
      </c>
    </row>
    <row r="34" spans="1:58">
      <c r="A34" t="s">
        <v>124</v>
      </c>
      <c r="B34" t="s">
        <v>79</v>
      </c>
      <c r="C34">
        <v>72</v>
      </c>
      <c r="D34" t="s">
        <v>63</v>
      </c>
      <c r="E34" t="s">
        <v>59</v>
      </c>
      <c r="F34" t="s">
        <v>60</v>
      </c>
      <c r="G34">
        <v>60000</v>
      </c>
      <c r="H34">
        <v>20</v>
      </c>
      <c r="I34">
        <v>20</v>
      </c>
      <c r="J34">
        <v>0</v>
      </c>
      <c r="K34">
        <v>1</v>
      </c>
      <c r="L34">
        <v>2000000</v>
      </c>
      <c r="M34">
        <v>190</v>
      </c>
      <c r="N34">
        <v>190</v>
      </c>
      <c r="O34">
        <v>190</v>
      </c>
      <c r="P34">
        <v>0</v>
      </c>
      <c r="Q34" t="s">
        <v>61</v>
      </c>
      <c r="R34">
        <v>1000080032856</v>
      </c>
      <c r="S34">
        <v>1000419</v>
      </c>
      <c r="T34">
        <v>1000080032856</v>
      </c>
      <c r="U34">
        <v>1000419</v>
      </c>
      <c r="V34" t="s">
        <v>70</v>
      </c>
      <c r="W34">
        <v>6</v>
      </c>
      <c r="X34">
        <v>33074</v>
      </c>
      <c r="Y34">
        <v>1032543</v>
      </c>
      <c r="Z34">
        <v>1065617</v>
      </c>
      <c r="AA34">
        <v>1000419</v>
      </c>
      <c r="AB34">
        <v>32.219200000000001</v>
      </c>
      <c r="AC34">
        <v>0.96888799999999997</v>
      </c>
      <c r="AD34">
        <v>3.0000800000000001</v>
      </c>
      <c r="AE34">
        <v>19166592</v>
      </c>
      <c r="AF34" t="s">
        <v>213</v>
      </c>
      <c r="AG34" t="s">
        <v>214</v>
      </c>
      <c r="AI34">
        <v>10722</v>
      </c>
      <c r="AP34">
        <v>538686246</v>
      </c>
      <c r="AQ34">
        <v>0</v>
      </c>
      <c r="AR34">
        <v>359096258</v>
      </c>
      <c r="AS34">
        <v>538686246</v>
      </c>
      <c r="AT34">
        <v>897782504</v>
      </c>
      <c r="AU34">
        <v>8978104</v>
      </c>
      <c r="AV34">
        <v>0</v>
      </c>
      <c r="AW34">
        <v>5984937</v>
      </c>
      <c r="AX34">
        <v>8978104</v>
      </c>
      <c r="AY34">
        <v>14963041</v>
      </c>
      <c r="AZ34">
        <v>20.8231</v>
      </c>
      <c r="BA34">
        <v>9.7617999999999991</v>
      </c>
      <c r="BB34">
        <v>33772.1</v>
      </c>
      <c r="BC34">
        <v>3348.72</v>
      </c>
      <c r="BD34">
        <v>4057</v>
      </c>
      <c r="BE34">
        <v>299</v>
      </c>
      <c r="BF34" t="str">
        <f t="shared" si="0"/>
        <v>u=40% k=2x10^6</v>
      </c>
    </row>
    <row r="35" spans="1:58">
      <c r="A35" t="s">
        <v>125</v>
      </c>
      <c r="B35" t="s">
        <v>79</v>
      </c>
      <c r="C35">
        <v>72</v>
      </c>
      <c r="D35" t="s">
        <v>63</v>
      </c>
      <c r="E35" t="s">
        <v>59</v>
      </c>
      <c r="F35" t="s">
        <v>60</v>
      </c>
      <c r="G35">
        <v>60000</v>
      </c>
      <c r="H35">
        <v>20</v>
      </c>
      <c r="I35">
        <v>20</v>
      </c>
      <c r="J35">
        <v>0</v>
      </c>
      <c r="K35">
        <v>1</v>
      </c>
      <c r="L35">
        <v>20000000</v>
      </c>
      <c r="M35">
        <v>190</v>
      </c>
      <c r="N35">
        <v>190</v>
      </c>
      <c r="O35">
        <v>190</v>
      </c>
      <c r="P35">
        <v>0</v>
      </c>
      <c r="Q35" t="s">
        <v>61</v>
      </c>
      <c r="R35">
        <v>100008403894536</v>
      </c>
      <c r="S35">
        <v>10001647</v>
      </c>
      <c r="T35">
        <v>100008403894536</v>
      </c>
      <c r="U35">
        <v>10001647</v>
      </c>
      <c r="V35" t="s">
        <v>70</v>
      </c>
      <c r="W35">
        <v>7</v>
      </c>
      <c r="X35">
        <v>1647778</v>
      </c>
      <c r="Y35">
        <v>11488296</v>
      </c>
      <c r="Z35">
        <v>13136074</v>
      </c>
      <c r="AA35">
        <v>10001647</v>
      </c>
      <c r="AB35">
        <v>7.9719899999999999</v>
      </c>
      <c r="AC35">
        <v>0.87059399999999998</v>
      </c>
      <c r="AD35">
        <v>4.0044000000000004</v>
      </c>
      <c r="AE35">
        <v>315634960</v>
      </c>
      <c r="AF35" t="s">
        <v>215</v>
      </c>
      <c r="AG35" t="s">
        <v>216</v>
      </c>
      <c r="AI35">
        <v>11332</v>
      </c>
      <c r="AP35">
        <v>285112410</v>
      </c>
      <c r="AQ35">
        <v>0</v>
      </c>
      <c r="AR35">
        <v>190081934</v>
      </c>
      <c r="AS35">
        <v>285112410</v>
      </c>
      <c r="AT35">
        <v>475194344</v>
      </c>
      <c r="AU35">
        <v>4751873</v>
      </c>
      <c r="AV35">
        <v>0</v>
      </c>
      <c r="AW35">
        <v>3168032</v>
      </c>
      <c r="AX35">
        <v>4751873</v>
      </c>
      <c r="AY35">
        <v>7919905</v>
      </c>
      <c r="AZ35">
        <v>26.251100000000001</v>
      </c>
      <c r="BA35">
        <v>13.8101</v>
      </c>
      <c r="BB35">
        <v>52987.4</v>
      </c>
      <c r="BC35">
        <v>2846.16</v>
      </c>
      <c r="BD35">
        <v>5451</v>
      </c>
      <c r="BE35">
        <v>366</v>
      </c>
      <c r="BF35" t="str">
        <f t="shared" si="0"/>
        <v>u=40% k=2x10^7</v>
      </c>
    </row>
    <row r="36" spans="1:58">
      <c r="A36" t="s">
        <v>126</v>
      </c>
      <c r="B36" t="s">
        <v>79</v>
      </c>
      <c r="C36">
        <v>72</v>
      </c>
      <c r="D36" t="s">
        <v>63</v>
      </c>
      <c r="E36" t="s">
        <v>59</v>
      </c>
      <c r="F36" t="s">
        <v>60</v>
      </c>
      <c r="G36">
        <v>60000</v>
      </c>
      <c r="H36">
        <v>20</v>
      </c>
      <c r="I36">
        <v>20</v>
      </c>
      <c r="J36">
        <v>0</v>
      </c>
      <c r="K36">
        <v>1</v>
      </c>
      <c r="L36">
        <v>200000000</v>
      </c>
      <c r="M36">
        <v>190</v>
      </c>
      <c r="N36">
        <v>190</v>
      </c>
      <c r="O36">
        <v>190</v>
      </c>
      <c r="P36">
        <v>0</v>
      </c>
      <c r="Q36" t="s">
        <v>61</v>
      </c>
      <c r="R36">
        <v>1.00001186735114E+16</v>
      </c>
      <c r="S36">
        <v>100003613</v>
      </c>
      <c r="T36">
        <v>1.00001186735114E+16</v>
      </c>
      <c r="U36">
        <v>100003613</v>
      </c>
      <c r="V36" t="s">
        <v>70</v>
      </c>
      <c r="W36">
        <v>7</v>
      </c>
      <c r="X36">
        <v>12320346</v>
      </c>
      <c r="Y36">
        <v>112652684</v>
      </c>
      <c r="Z36">
        <v>124973030</v>
      </c>
      <c r="AA36">
        <v>100003613</v>
      </c>
      <c r="AB36">
        <v>10.143599999999999</v>
      </c>
      <c r="AC36">
        <v>0.88771599999999995</v>
      </c>
      <c r="AD36">
        <v>4.0252600000000003</v>
      </c>
      <c r="AE36">
        <v>2789206000</v>
      </c>
      <c r="AF36" t="s">
        <v>217</v>
      </c>
      <c r="AG36" t="s">
        <v>218</v>
      </c>
      <c r="AI36">
        <v>15606</v>
      </c>
      <c r="AP36">
        <v>294139058</v>
      </c>
      <c r="AQ36">
        <v>0</v>
      </c>
      <c r="AR36">
        <v>196091708</v>
      </c>
      <c r="AS36">
        <v>294139058</v>
      </c>
      <c r="AT36">
        <v>490230766</v>
      </c>
      <c r="AU36">
        <v>4902317</v>
      </c>
      <c r="AV36">
        <v>0</v>
      </c>
      <c r="AW36">
        <v>3268195</v>
      </c>
      <c r="AX36">
        <v>4902317</v>
      </c>
      <c r="AY36">
        <v>8170512</v>
      </c>
      <c r="AZ36">
        <v>30.738</v>
      </c>
      <c r="BA36">
        <v>16.3842</v>
      </c>
      <c r="BB36">
        <v>34887.199999999997</v>
      </c>
      <c r="BC36">
        <v>3131.25</v>
      </c>
      <c r="BD36">
        <v>16116</v>
      </c>
      <c r="BE36">
        <v>1058</v>
      </c>
      <c r="BF36" t="str">
        <f t="shared" si="0"/>
        <v>u=40% k=2x10^8</v>
      </c>
    </row>
    <row r="37" spans="1:58">
      <c r="A37" t="s">
        <v>127</v>
      </c>
      <c r="B37" t="s">
        <v>79</v>
      </c>
      <c r="C37">
        <v>72</v>
      </c>
      <c r="D37" t="s">
        <v>63</v>
      </c>
      <c r="E37" t="s">
        <v>59</v>
      </c>
      <c r="F37" t="s">
        <v>60</v>
      </c>
      <c r="G37">
        <v>60000</v>
      </c>
      <c r="H37">
        <v>20</v>
      </c>
      <c r="I37">
        <v>20</v>
      </c>
      <c r="J37">
        <v>0</v>
      </c>
      <c r="K37">
        <v>1</v>
      </c>
      <c r="L37">
        <v>2000000000</v>
      </c>
      <c r="M37">
        <v>190</v>
      </c>
      <c r="N37">
        <v>190</v>
      </c>
      <c r="O37">
        <v>190</v>
      </c>
      <c r="P37">
        <v>0</v>
      </c>
      <c r="Q37" t="s">
        <v>61</v>
      </c>
      <c r="R37">
        <v>9.9997047678258202E+17</v>
      </c>
      <c r="S37">
        <v>999998584</v>
      </c>
      <c r="T37">
        <v>9.9997047678258202E+17</v>
      </c>
      <c r="U37">
        <v>999998584</v>
      </c>
      <c r="V37" t="s">
        <v>70</v>
      </c>
      <c r="W37">
        <v>7</v>
      </c>
      <c r="X37">
        <v>84465072</v>
      </c>
      <c r="Y37">
        <v>1078803183</v>
      </c>
      <c r="Z37">
        <v>1163268255</v>
      </c>
      <c r="AA37">
        <v>999998584</v>
      </c>
      <c r="AB37">
        <v>13.7722</v>
      </c>
      <c r="AC37">
        <v>0.926952</v>
      </c>
      <c r="AD37">
        <v>4</v>
      </c>
      <c r="AE37">
        <v>24018056672</v>
      </c>
      <c r="AF37" t="s">
        <v>219</v>
      </c>
      <c r="AG37" t="s">
        <v>220</v>
      </c>
      <c r="AI37">
        <v>7760</v>
      </c>
      <c r="AP37">
        <v>749979685</v>
      </c>
      <c r="AQ37">
        <v>0</v>
      </c>
      <c r="AR37">
        <v>499990122</v>
      </c>
      <c r="AS37">
        <v>749979685</v>
      </c>
      <c r="AT37">
        <v>1249969807</v>
      </c>
      <c r="AU37">
        <v>12499661</v>
      </c>
      <c r="AV37">
        <v>0</v>
      </c>
      <c r="AW37">
        <v>8333168</v>
      </c>
      <c r="AX37">
        <v>12499661</v>
      </c>
      <c r="AY37">
        <v>20832830</v>
      </c>
      <c r="AZ37">
        <v>32.787500000000001</v>
      </c>
      <c r="BA37">
        <v>20.950500000000002</v>
      </c>
      <c r="BB37">
        <v>31035.7</v>
      </c>
      <c r="BC37">
        <v>4664.42</v>
      </c>
      <c r="BD37">
        <v>121937</v>
      </c>
      <c r="BE37">
        <v>9154</v>
      </c>
      <c r="BF37" t="str">
        <f t="shared" si="0"/>
        <v>u=40% k=2x10^9</v>
      </c>
    </row>
    <row r="38" spans="1:58">
      <c r="A38" t="s">
        <v>128</v>
      </c>
      <c r="B38" t="s">
        <v>80</v>
      </c>
      <c r="C38">
        <v>72</v>
      </c>
      <c r="D38" t="s">
        <v>63</v>
      </c>
      <c r="E38" t="s">
        <v>59</v>
      </c>
      <c r="F38" t="s">
        <v>60</v>
      </c>
      <c r="G38">
        <v>60000</v>
      </c>
      <c r="H38">
        <v>0.5</v>
      </c>
      <c r="I38">
        <v>0.5</v>
      </c>
      <c r="J38">
        <v>0</v>
      </c>
      <c r="K38">
        <v>1</v>
      </c>
      <c r="L38">
        <v>2000000</v>
      </c>
      <c r="M38">
        <v>190</v>
      </c>
      <c r="N38">
        <v>190</v>
      </c>
      <c r="O38">
        <v>190</v>
      </c>
      <c r="P38">
        <v>0</v>
      </c>
      <c r="Q38" t="s">
        <v>61</v>
      </c>
      <c r="R38">
        <v>998355151366</v>
      </c>
      <c r="S38">
        <v>998916</v>
      </c>
      <c r="T38">
        <v>998355151366</v>
      </c>
      <c r="U38">
        <v>998916</v>
      </c>
      <c r="V38" t="s">
        <v>70</v>
      </c>
      <c r="W38">
        <v>6</v>
      </c>
      <c r="X38">
        <v>53954</v>
      </c>
      <c r="Y38">
        <v>1073402</v>
      </c>
      <c r="Z38">
        <v>1127356</v>
      </c>
      <c r="AA38">
        <v>998916</v>
      </c>
      <c r="AB38">
        <v>20.8948</v>
      </c>
      <c r="AC38">
        <v>0.93060799999999999</v>
      </c>
      <c r="AD38">
        <v>3.0438499999999999</v>
      </c>
      <c r="AE38">
        <v>21512096</v>
      </c>
      <c r="AF38" t="s">
        <v>221</v>
      </c>
      <c r="AG38" t="s">
        <v>222</v>
      </c>
      <c r="AH38">
        <v>593865</v>
      </c>
      <c r="AI38">
        <v>174056</v>
      </c>
      <c r="AP38">
        <v>24915255063</v>
      </c>
      <c r="AQ38">
        <v>0</v>
      </c>
      <c r="AR38">
        <v>251643967</v>
      </c>
      <c r="AS38">
        <v>24915255063</v>
      </c>
      <c r="AT38">
        <v>25166899030</v>
      </c>
      <c r="AU38">
        <v>415254251</v>
      </c>
      <c r="AV38">
        <v>0</v>
      </c>
      <c r="AW38">
        <v>4194066</v>
      </c>
      <c r="AX38">
        <v>415254251</v>
      </c>
      <c r="AY38">
        <v>419448317</v>
      </c>
      <c r="AZ38">
        <v>8.6580600000000008</v>
      </c>
      <c r="BA38">
        <v>0.41606599999999999</v>
      </c>
      <c r="BB38">
        <v>1246.1400000000001</v>
      </c>
      <c r="BC38">
        <v>501.38499999999999</v>
      </c>
      <c r="BD38">
        <v>1433</v>
      </c>
      <c r="BE38">
        <v>342</v>
      </c>
      <c r="BF38" t="str">
        <f t="shared" si="0"/>
        <v>u=1% k=2x10^6</v>
      </c>
    </row>
    <row r="39" spans="1:58">
      <c r="A39" t="s">
        <v>129</v>
      </c>
      <c r="B39" t="s">
        <v>80</v>
      </c>
      <c r="C39">
        <v>72</v>
      </c>
      <c r="D39" t="s">
        <v>63</v>
      </c>
      <c r="E39" t="s">
        <v>59</v>
      </c>
      <c r="F39" t="s">
        <v>60</v>
      </c>
      <c r="G39">
        <v>60000</v>
      </c>
      <c r="H39">
        <v>0.5</v>
      </c>
      <c r="I39">
        <v>0.5</v>
      </c>
      <c r="J39">
        <v>0</v>
      </c>
      <c r="K39">
        <v>1</v>
      </c>
      <c r="L39">
        <v>20000000</v>
      </c>
      <c r="M39">
        <v>190</v>
      </c>
      <c r="N39">
        <v>190</v>
      </c>
      <c r="O39">
        <v>190</v>
      </c>
      <c r="P39">
        <v>0</v>
      </c>
      <c r="Q39" t="s">
        <v>61</v>
      </c>
      <c r="R39">
        <v>99974130555143</v>
      </c>
      <c r="S39">
        <v>9998810</v>
      </c>
      <c r="T39">
        <v>99974130555143</v>
      </c>
      <c r="U39">
        <v>9998810</v>
      </c>
      <c r="V39" t="s">
        <v>70</v>
      </c>
      <c r="W39">
        <v>7</v>
      </c>
      <c r="X39">
        <v>1827479</v>
      </c>
      <c r="Y39">
        <v>11861781</v>
      </c>
      <c r="Z39">
        <v>13689260</v>
      </c>
      <c r="AA39">
        <v>9998810</v>
      </c>
      <c r="AB39">
        <v>7.4907899999999996</v>
      </c>
      <c r="AC39">
        <v>0.842943</v>
      </c>
      <c r="AD39">
        <v>4.0411900000000003</v>
      </c>
      <c r="AE39">
        <v>335993888</v>
      </c>
      <c r="AF39" t="s">
        <v>223</v>
      </c>
      <c r="AG39" t="s">
        <v>224</v>
      </c>
      <c r="AH39">
        <v>70912</v>
      </c>
      <c r="AI39">
        <v>92076</v>
      </c>
      <c r="AP39">
        <v>14842818427</v>
      </c>
      <c r="AQ39">
        <v>0</v>
      </c>
      <c r="AR39">
        <v>149939757</v>
      </c>
      <c r="AS39">
        <v>14842818427</v>
      </c>
      <c r="AT39">
        <v>14992758184</v>
      </c>
      <c r="AU39">
        <v>247380307</v>
      </c>
      <c r="AV39">
        <v>0</v>
      </c>
      <c r="AW39">
        <v>2498995</v>
      </c>
      <c r="AX39">
        <v>247380307</v>
      </c>
      <c r="AY39">
        <v>249879303</v>
      </c>
      <c r="AZ39">
        <v>16.380199999999999</v>
      </c>
      <c r="BA39">
        <v>6.6645300000000001</v>
      </c>
      <c r="BB39">
        <v>2089.71</v>
      </c>
      <c r="BC39">
        <v>1310.6099999999999</v>
      </c>
      <c r="BD39">
        <v>2727</v>
      </c>
      <c r="BE39">
        <v>449</v>
      </c>
      <c r="BF39" t="str">
        <f t="shared" si="0"/>
        <v>u=1% k=2x10^7</v>
      </c>
    </row>
    <row r="40" spans="1:58">
      <c r="A40" t="s">
        <v>130</v>
      </c>
      <c r="B40" t="s">
        <v>80</v>
      </c>
      <c r="C40">
        <v>72</v>
      </c>
      <c r="D40" t="s">
        <v>63</v>
      </c>
      <c r="E40" t="s">
        <v>59</v>
      </c>
      <c r="F40" t="s">
        <v>60</v>
      </c>
      <c r="G40">
        <v>60000</v>
      </c>
      <c r="H40">
        <v>0.5</v>
      </c>
      <c r="I40">
        <v>0.5</v>
      </c>
      <c r="J40">
        <v>0</v>
      </c>
      <c r="K40">
        <v>1</v>
      </c>
      <c r="L40">
        <v>200000000</v>
      </c>
      <c r="M40">
        <v>190</v>
      </c>
      <c r="N40">
        <v>190</v>
      </c>
      <c r="O40">
        <v>190</v>
      </c>
      <c r="P40">
        <v>0</v>
      </c>
      <c r="Q40" t="s">
        <v>61</v>
      </c>
      <c r="R40">
        <v>1.00000677070207E+16</v>
      </c>
      <c r="S40">
        <v>100000133</v>
      </c>
      <c r="T40">
        <v>1.00000677070207E+16</v>
      </c>
      <c r="U40">
        <v>100000133</v>
      </c>
      <c r="V40" t="s">
        <v>70</v>
      </c>
      <c r="W40">
        <v>7</v>
      </c>
      <c r="X40">
        <v>13726448</v>
      </c>
      <c r="Y40">
        <v>115560145</v>
      </c>
      <c r="Z40">
        <v>129286593</v>
      </c>
      <c r="AA40">
        <v>100000133</v>
      </c>
      <c r="AB40">
        <v>9.4187899999999996</v>
      </c>
      <c r="AC40">
        <v>0.86535099999999998</v>
      </c>
      <c r="AD40">
        <v>4.0560099999999997</v>
      </c>
      <c r="AE40">
        <v>2948950448</v>
      </c>
      <c r="AF40" t="s">
        <v>225</v>
      </c>
      <c r="AG40" t="s">
        <v>226</v>
      </c>
      <c r="AH40">
        <v>9200</v>
      </c>
      <c r="AI40">
        <v>59214</v>
      </c>
      <c r="AP40">
        <v>11273708776</v>
      </c>
      <c r="AQ40">
        <v>0</v>
      </c>
      <c r="AR40">
        <v>113864372</v>
      </c>
      <c r="AS40">
        <v>11273708776</v>
      </c>
      <c r="AT40">
        <v>11387573148</v>
      </c>
      <c r="AU40">
        <v>187895146</v>
      </c>
      <c r="AV40">
        <v>0</v>
      </c>
      <c r="AW40">
        <v>1897739</v>
      </c>
      <c r="AX40">
        <v>187895146</v>
      </c>
      <c r="AY40">
        <v>189792885</v>
      </c>
      <c r="AZ40">
        <v>19.426600000000001</v>
      </c>
      <c r="BA40">
        <v>9.6271799999999992</v>
      </c>
      <c r="BB40">
        <v>2734.8</v>
      </c>
      <c r="BC40">
        <v>1985.3</v>
      </c>
      <c r="BD40">
        <v>13851</v>
      </c>
      <c r="BE40">
        <v>1099</v>
      </c>
      <c r="BF40" t="str">
        <f t="shared" si="0"/>
        <v>u=1% k=2x10^8</v>
      </c>
    </row>
    <row r="41" spans="1:58">
      <c r="A41" t="s">
        <v>131</v>
      </c>
      <c r="B41" t="s">
        <v>80</v>
      </c>
      <c r="C41">
        <v>72</v>
      </c>
      <c r="D41" t="s">
        <v>63</v>
      </c>
      <c r="E41" t="s">
        <v>59</v>
      </c>
      <c r="F41" t="s">
        <v>60</v>
      </c>
      <c r="G41">
        <v>60000</v>
      </c>
      <c r="H41">
        <v>0.5</v>
      </c>
      <c r="I41">
        <v>0.5</v>
      </c>
      <c r="J41">
        <v>0</v>
      </c>
      <c r="K41">
        <v>1</v>
      </c>
      <c r="L41">
        <v>2000000000</v>
      </c>
      <c r="M41">
        <v>190</v>
      </c>
      <c r="N41">
        <v>190</v>
      </c>
      <c r="O41">
        <v>190</v>
      </c>
      <c r="P41">
        <v>0</v>
      </c>
      <c r="Q41" t="s">
        <v>61</v>
      </c>
      <c r="R41">
        <v>9.99994269108816E+17</v>
      </c>
      <c r="S41">
        <v>999998404</v>
      </c>
      <c r="T41">
        <v>9.99994269108816E+17</v>
      </c>
      <c r="U41">
        <v>999998404</v>
      </c>
      <c r="V41" t="s">
        <v>70</v>
      </c>
      <c r="W41">
        <v>7</v>
      </c>
      <c r="X41">
        <v>104122607</v>
      </c>
      <c r="Y41">
        <v>1118606583</v>
      </c>
      <c r="Z41">
        <v>1222729190</v>
      </c>
      <c r="AA41">
        <v>999998404</v>
      </c>
      <c r="AB41">
        <v>11.7432</v>
      </c>
      <c r="AC41">
        <v>0.89396799999999998</v>
      </c>
      <c r="AD41">
        <v>4.0403900000000004</v>
      </c>
      <c r="AE41">
        <v>26239117280</v>
      </c>
      <c r="AF41" t="s">
        <v>227</v>
      </c>
      <c r="AG41" t="s">
        <v>227</v>
      </c>
      <c r="AI41">
        <v>51310</v>
      </c>
      <c r="AP41">
        <v>8637329314</v>
      </c>
      <c r="AQ41">
        <v>0</v>
      </c>
      <c r="AR41">
        <v>87245338</v>
      </c>
      <c r="AS41">
        <v>8637329314</v>
      </c>
      <c r="AT41">
        <v>8724574652</v>
      </c>
      <c r="AU41">
        <v>143955488</v>
      </c>
      <c r="AV41">
        <v>0</v>
      </c>
      <c r="AW41">
        <v>1454088</v>
      </c>
      <c r="AX41">
        <v>143955488</v>
      </c>
      <c r="AY41">
        <v>145409577</v>
      </c>
      <c r="AZ41">
        <v>22.190799999999999</v>
      </c>
      <c r="BA41">
        <v>14.1441</v>
      </c>
      <c r="BB41">
        <v>3636.85</v>
      </c>
      <c r="BC41">
        <v>2905.39</v>
      </c>
      <c r="BD41">
        <v>62228</v>
      </c>
      <c r="BE41">
        <v>9026</v>
      </c>
      <c r="BF41" t="str">
        <f t="shared" si="0"/>
        <v>u=1% k=2x10^9</v>
      </c>
    </row>
    <row r="42" spans="1:58">
      <c r="A42" t="s">
        <v>132</v>
      </c>
      <c r="B42" t="s">
        <v>80</v>
      </c>
      <c r="C42">
        <v>72</v>
      </c>
      <c r="D42" t="s">
        <v>63</v>
      </c>
      <c r="E42" t="s">
        <v>59</v>
      </c>
      <c r="F42" t="s">
        <v>60</v>
      </c>
      <c r="G42">
        <v>60000</v>
      </c>
      <c r="H42">
        <v>5</v>
      </c>
      <c r="I42">
        <v>5</v>
      </c>
      <c r="J42">
        <v>0</v>
      </c>
      <c r="K42">
        <v>1</v>
      </c>
      <c r="L42">
        <v>2000000</v>
      </c>
      <c r="M42">
        <v>190</v>
      </c>
      <c r="N42">
        <v>190</v>
      </c>
      <c r="O42">
        <v>190</v>
      </c>
      <c r="P42">
        <v>0</v>
      </c>
      <c r="Q42" t="s">
        <v>61</v>
      </c>
      <c r="R42">
        <v>997825331023</v>
      </c>
      <c r="S42">
        <v>998135</v>
      </c>
      <c r="T42">
        <v>997825331023</v>
      </c>
      <c r="U42">
        <v>998135</v>
      </c>
      <c r="V42" t="s">
        <v>70</v>
      </c>
      <c r="W42">
        <v>6</v>
      </c>
      <c r="X42">
        <v>54312</v>
      </c>
      <c r="Y42">
        <v>1073623</v>
      </c>
      <c r="Z42">
        <v>1127935</v>
      </c>
      <c r="AA42">
        <v>998135</v>
      </c>
      <c r="AB42">
        <v>20.767700000000001</v>
      </c>
      <c r="AC42">
        <v>0.92968899999999999</v>
      </c>
      <c r="AD42">
        <v>3.0446499999999999</v>
      </c>
      <c r="AE42">
        <v>21543856</v>
      </c>
      <c r="AF42" t="s">
        <v>228</v>
      </c>
      <c r="AG42" t="s">
        <v>229</v>
      </c>
      <c r="AH42">
        <v>15746585</v>
      </c>
      <c r="AI42">
        <v>100570</v>
      </c>
      <c r="AP42">
        <v>13205293759</v>
      </c>
      <c r="AQ42">
        <v>0</v>
      </c>
      <c r="AR42">
        <v>1467215125</v>
      </c>
      <c r="AS42">
        <v>13205293759</v>
      </c>
      <c r="AT42">
        <v>14672508884</v>
      </c>
      <c r="AU42">
        <v>220088229</v>
      </c>
      <c r="AV42">
        <v>0</v>
      </c>
      <c r="AW42">
        <v>24453585</v>
      </c>
      <c r="AX42">
        <v>220088229</v>
      </c>
      <c r="AY42">
        <v>244541814</v>
      </c>
      <c r="AZ42">
        <v>12.3475</v>
      </c>
      <c r="BA42">
        <v>3.1516999999999999</v>
      </c>
      <c r="BB42">
        <v>2151.81</v>
      </c>
      <c r="BC42">
        <v>1321.17</v>
      </c>
      <c r="BD42">
        <v>1668</v>
      </c>
      <c r="BE42">
        <v>336</v>
      </c>
      <c r="BF42" t="str">
        <f t="shared" si="0"/>
        <v>u=10% k=2x10^6</v>
      </c>
    </row>
    <row r="43" spans="1:58">
      <c r="A43" t="s">
        <v>133</v>
      </c>
      <c r="B43" t="s">
        <v>80</v>
      </c>
      <c r="C43">
        <v>72</v>
      </c>
      <c r="D43" t="s">
        <v>63</v>
      </c>
      <c r="E43" t="s">
        <v>59</v>
      </c>
      <c r="F43" t="s">
        <v>60</v>
      </c>
      <c r="G43">
        <v>60000</v>
      </c>
      <c r="H43">
        <v>5</v>
      </c>
      <c r="I43">
        <v>5</v>
      </c>
      <c r="J43">
        <v>0</v>
      </c>
      <c r="K43">
        <v>1</v>
      </c>
      <c r="L43">
        <v>20000000</v>
      </c>
      <c r="M43">
        <v>190</v>
      </c>
      <c r="N43">
        <v>190</v>
      </c>
      <c r="O43">
        <v>190</v>
      </c>
      <c r="P43">
        <v>0</v>
      </c>
      <c r="Q43" t="s">
        <v>61</v>
      </c>
      <c r="R43">
        <v>99969091847888</v>
      </c>
      <c r="S43">
        <v>9998328</v>
      </c>
      <c r="T43">
        <v>99969091847888</v>
      </c>
      <c r="U43">
        <v>9998328</v>
      </c>
      <c r="V43" t="s">
        <v>70</v>
      </c>
      <c r="W43">
        <v>7</v>
      </c>
      <c r="X43">
        <v>1625827</v>
      </c>
      <c r="Y43">
        <v>11440744</v>
      </c>
      <c r="Z43">
        <v>13066571</v>
      </c>
      <c r="AA43">
        <v>9998328</v>
      </c>
      <c r="AB43">
        <v>8.03688</v>
      </c>
      <c r="AC43">
        <v>0.87392300000000001</v>
      </c>
      <c r="AD43">
        <v>4.0000099999999996</v>
      </c>
      <c r="AE43">
        <v>313118048</v>
      </c>
      <c r="AF43" t="s">
        <v>230</v>
      </c>
      <c r="AG43" t="s">
        <v>231</v>
      </c>
      <c r="AH43">
        <v>1678420</v>
      </c>
      <c r="AI43">
        <v>72672</v>
      </c>
      <c r="AP43">
        <v>9898317195</v>
      </c>
      <c r="AQ43">
        <v>0</v>
      </c>
      <c r="AR43">
        <v>1099796987</v>
      </c>
      <c r="AS43">
        <v>9898317195</v>
      </c>
      <c r="AT43">
        <v>10998114182</v>
      </c>
      <c r="AU43">
        <v>164971953</v>
      </c>
      <c r="AV43">
        <v>0</v>
      </c>
      <c r="AW43">
        <v>18329949</v>
      </c>
      <c r="AX43">
        <v>164971953</v>
      </c>
      <c r="AY43">
        <v>183301903</v>
      </c>
      <c r="AZ43">
        <v>19.260999999999999</v>
      </c>
      <c r="BA43">
        <v>8.5653500000000005</v>
      </c>
      <c r="BB43">
        <v>2828.94</v>
      </c>
      <c r="BC43">
        <v>1904.78</v>
      </c>
      <c r="BD43">
        <v>2884</v>
      </c>
      <c r="BE43">
        <v>338</v>
      </c>
      <c r="BF43" t="str">
        <f t="shared" si="0"/>
        <v>u=10% k=2x10^7</v>
      </c>
    </row>
    <row r="44" spans="1:58">
      <c r="A44" t="s">
        <v>134</v>
      </c>
      <c r="B44" t="s">
        <v>80</v>
      </c>
      <c r="C44">
        <v>72</v>
      </c>
      <c r="D44" t="s">
        <v>63</v>
      </c>
      <c r="E44" t="s">
        <v>59</v>
      </c>
      <c r="F44" t="s">
        <v>60</v>
      </c>
      <c r="G44">
        <v>60000</v>
      </c>
      <c r="H44">
        <v>5</v>
      </c>
      <c r="I44">
        <v>5</v>
      </c>
      <c r="J44">
        <v>0</v>
      </c>
      <c r="K44">
        <v>1</v>
      </c>
      <c r="L44">
        <v>200000000</v>
      </c>
      <c r="M44">
        <v>190</v>
      </c>
      <c r="N44">
        <v>190</v>
      </c>
      <c r="O44">
        <v>190</v>
      </c>
      <c r="P44">
        <v>0</v>
      </c>
      <c r="Q44" t="s">
        <v>61</v>
      </c>
      <c r="R44">
        <v>9999375405374490</v>
      </c>
      <c r="S44">
        <v>99994450</v>
      </c>
      <c r="T44">
        <v>9999375405374490</v>
      </c>
      <c r="U44">
        <v>99994450</v>
      </c>
      <c r="V44" t="s">
        <v>70</v>
      </c>
      <c r="W44">
        <v>7</v>
      </c>
      <c r="X44">
        <v>14669361</v>
      </c>
      <c r="Y44">
        <v>117649097</v>
      </c>
      <c r="Z44">
        <v>132318458</v>
      </c>
      <c r="AA44">
        <v>99994450</v>
      </c>
      <c r="AB44">
        <v>9.0200600000000009</v>
      </c>
      <c r="AC44">
        <v>0.84993799999999997</v>
      </c>
      <c r="AD44">
        <v>4.0745899999999997</v>
      </c>
      <c r="AE44">
        <v>3060027360</v>
      </c>
      <c r="AF44" t="s">
        <v>232</v>
      </c>
      <c r="AG44" t="s">
        <v>233</v>
      </c>
      <c r="AH44">
        <v>258247</v>
      </c>
      <c r="AI44">
        <v>34668</v>
      </c>
      <c r="AP44">
        <v>7568032648</v>
      </c>
      <c r="AQ44">
        <v>0</v>
      </c>
      <c r="AR44">
        <v>840906094</v>
      </c>
      <c r="AS44">
        <v>7568032648</v>
      </c>
      <c r="AT44">
        <v>8408938742</v>
      </c>
      <c r="AU44">
        <v>126133877</v>
      </c>
      <c r="AV44">
        <v>0</v>
      </c>
      <c r="AW44">
        <v>14015101</v>
      </c>
      <c r="AX44">
        <v>126133877</v>
      </c>
      <c r="AY44">
        <v>140148979</v>
      </c>
      <c r="AZ44">
        <v>22.3127</v>
      </c>
      <c r="BA44">
        <v>11.386699999999999</v>
      </c>
      <c r="BB44">
        <v>3461.7</v>
      </c>
      <c r="BC44">
        <v>2588.48</v>
      </c>
      <c r="BD44">
        <v>14289</v>
      </c>
      <c r="BE44">
        <v>1119</v>
      </c>
      <c r="BF44" t="str">
        <f t="shared" si="0"/>
        <v>u=10% k=2x10^8</v>
      </c>
    </row>
    <row r="45" spans="1:58">
      <c r="A45" t="s">
        <v>135</v>
      </c>
      <c r="B45" t="s">
        <v>80</v>
      </c>
      <c r="C45">
        <v>72</v>
      </c>
      <c r="D45" t="s">
        <v>63</v>
      </c>
      <c r="E45" t="s">
        <v>59</v>
      </c>
      <c r="F45" t="s">
        <v>60</v>
      </c>
      <c r="G45">
        <v>60000</v>
      </c>
      <c r="H45">
        <v>5</v>
      </c>
      <c r="I45">
        <v>5</v>
      </c>
      <c r="J45">
        <v>0</v>
      </c>
      <c r="K45">
        <v>1</v>
      </c>
      <c r="L45">
        <v>2000000000</v>
      </c>
      <c r="M45">
        <v>190</v>
      </c>
      <c r="N45">
        <v>190</v>
      </c>
      <c r="O45">
        <v>190</v>
      </c>
      <c r="P45">
        <v>0</v>
      </c>
      <c r="Q45" t="s">
        <v>61</v>
      </c>
      <c r="R45">
        <v>1.00002013411763E+18</v>
      </c>
      <c r="S45">
        <v>1000004440</v>
      </c>
      <c r="T45">
        <v>1.00002013411763E+18</v>
      </c>
      <c r="U45">
        <v>1000004440</v>
      </c>
      <c r="V45" t="s">
        <v>70</v>
      </c>
      <c r="W45">
        <v>7</v>
      </c>
      <c r="X45">
        <v>116367402</v>
      </c>
      <c r="Y45">
        <v>1144196377</v>
      </c>
      <c r="Z45">
        <v>1260563779</v>
      </c>
      <c r="AA45">
        <v>1000004440</v>
      </c>
      <c r="AB45">
        <v>10.832599999999999</v>
      </c>
      <c r="AC45">
        <v>0.87397999999999998</v>
      </c>
      <c r="AD45">
        <v>4.0665899999999997</v>
      </c>
      <c r="AE45">
        <v>27646948752</v>
      </c>
      <c r="AF45" t="s">
        <v>234</v>
      </c>
      <c r="AG45" t="s">
        <v>235</v>
      </c>
      <c r="AH45">
        <v>31686</v>
      </c>
      <c r="AI45">
        <v>34636</v>
      </c>
      <c r="AP45">
        <v>5971050971</v>
      </c>
      <c r="AQ45">
        <v>0</v>
      </c>
      <c r="AR45">
        <v>663438360</v>
      </c>
      <c r="AS45">
        <v>5971050971</v>
      </c>
      <c r="AT45">
        <v>6634489331</v>
      </c>
      <c r="AU45">
        <v>99517516</v>
      </c>
      <c r="AV45">
        <v>0</v>
      </c>
      <c r="AW45">
        <v>11057306</v>
      </c>
      <c r="AX45">
        <v>99517516</v>
      </c>
      <c r="AY45">
        <v>110574822</v>
      </c>
      <c r="AZ45">
        <v>24.758099999999999</v>
      </c>
      <c r="BA45">
        <v>15.738300000000001</v>
      </c>
      <c r="BB45">
        <v>4516.54</v>
      </c>
      <c r="BC45">
        <v>3639.37</v>
      </c>
      <c r="BD45">
        <v>119779</v>
      </c>
      <c r="BE45">
        <v>9835</v>
      </c>
      <c r="BF45" t="str">
        <f t="shared" si="0"/>
        <v>u=10% k=2x10^9</v>
      </c>
    </row>
    <row r="46" spans="1:58">
      <c r="A46" t="s">
        <v>136</v>
      </c>
      <c r="B46" t="s">
        <v>80</v>
      </c>
      <c r="C46">
        <v>72</v>
      </c>
      <c r="D46" t="s">
        <v>63</v>
      </c>
      <c r="E46" t="s">
        <v>59</v>
      </c>
      <c r="F46" t="s">
        <v>60</v>
      </c>
      <c r="G46">
        <v>60000</v>
      </c>
      <c r="H46">
        <v>20</v>
      </c>
      <c r="I46">
        <v>20</v>
      </c>
      <c r="J46">
        <v>0</v>
      </c>
      <c r="K46">
        <v>1</v>
      </c>
      <c r="L46">
        <v>2000000</v>
      </c>
      <c r="M46">
        <v>190</v>
      </c>
      <c r="N46">
        <v>190</v>
      </c>
      <c r="O46">
        <v>190</v>
      </c>
      <c r="P46">
        <v>0</v>
      </c>
      <c r="Q46" t="s">
        <v>61</v>
      </c>
      <c r="R46">
        <v>1000952851477</v>
      </c>
      <c r="S46">
        <v>1000979</v>
      </c>
      <c r="T46">
        <v>1000952851477</v>
      </c>
      <c r="U46">
        <v>1000979</v>
      </c>
      <c r="V46" t="s">
        <v>70</v>
      </c>
      <c r="W46">
        <v>6</v>
      </c>
      <c r="X46">
        <v>54945</v>
      </c>
      <c r="Y46">
        <v>1077778</v>
      </c>
      <c r="Z46">
        <v>1132723</v>
      </c>
      <c r="AA46">
        <v>1000979</v>
      </c>
      <c r="AB46">
        <v>20.615600000000001</v>
      </c>
      <c r="AC46">
        <v>0.92874299999999999</v>
      </c>
      <c r="AD46">
        <v>3.0457700000000001</v>
      </c>
      <c r="AE46">
        <v>21662080</v>
      </c>
      <c r="AF46" t="s">
        <v>236</v>
      </c>
      <c r="AG46" t="s">
        <v>237</v>
      </c>
      <c r="AH46">
        <v>48265234</v>
      </c>
      <c r="AI46">
        <v>41980</v>
      </c>
      <c r="AP46">
        <v>3472408525</v>
      </c>
      <c r="AQ46">
        <v>0</v>
      </c>
      <c r="AR46">
        <v>2314893840</v>
      </c>
      <c r="AS46">
        <v>3472408525</v>
      </c>
      <c r="AT46">
        <v>5787302365</v>
      </c>
      <c r="AU46">
        <v>57873475</v>
      </c>
      <c r="AV46">
        <v>0</v>
      </c>
      <c r="AW46">
        <v>38581564</v>
      </c>
      <c r="AX46">
        <v>57873475</v>
      </c>
      <c r="AY46">
        <v>96455039</v>
      </c>
      <c r="AZ46">
        <v>24.928000000000001</v>
      </c>
      <c r="BA46">
        <v>11.8765</v>
      </c>
      <c r="BB46">
        <v>5479.18</v>
      </c>
      <c r="BC46">
        <v>4192.96</v>
      </c>
      <c r="BD46">
        <v>1864</v>
      </c>
      <c r="BE46">
        <v>297</v>
      </c>
      <c r="BF46" t="str">
        <f t="shared" si="0"/>
        <v>u=40% k=2x10^6</v>
      </c>
    </row>
    <row r="47" spans="1:58">
      <c r="A47" t="s">
        <v>137</v>
      </c>
      <c r="B47" t="s">
        <v>80</v>
      </c>
      <c r="C47">
        <v>72</v>
      </c>
      <c r="D47" t="s">
        <v>63</v>
      </c>
      <c r="E47" t="s">
        <v>59</v>
      </c>
      <c r="F47" t="s">
        <v>60</v>
      </c>
      <c r="G47">
        <v>60000</v>
      </c>
      <c r="H47">
        <v>20</v>
      </c>
      <c r="I47">
        <v>20</v>
      </c>
      <c r="J47">
        <v>0</v>
      </c>
      <c r="K47">
        <v>1</v>
      </c>
      <c r="L47">
        <v>20000000</v>
      </c>
      <c r="M47">
        <v>190</v>
      </c>
      <c r="N47">
        <v>190</v>
      </c>
      <c r="O47">
        <v>190</v>
      </c>
      <c r="P47">
        <v>0</v>
      </c>
      <c r="Q47" t="s">
        <v>61</v>
      </c>
      <c r="R47">
        <v>100047471435481</v>
      </c>
      <c r="S47">
        <v>10000878</v>
      </c>
      <c r="T47">
        <v>100047471435481</v>
      </c>
      <c r="U47">
        <v>10000878</v>
      </c>
      <c r="V47" t="s">
        <v>70</v>
      </c>
      <c r="W47">
        <v>7</v>
      </c>
      <c r="X47">
        <v>1722460</v>
      </c>
      <c r="Y47">
        <v>11638579</v>
      </c>
      <c r="Z47">
        <v>13361039</v>
      </c>
      <c r="AA47">
        <v>10000878</v>
      </c>
      <c r="AB47">
        <v>7.7569499999999998</v>
      </c>
      <c r="AC47">
        <v>0.85928700000000002</v>
      </c>
      <c r="AD47">
        <v>4.0193399999999997</v>
      </c>
      <c r="AE47">
        <v>324014288</v>
      </c>
      <c r="AF47" t="s">
        <v>238</v>
      </c>
      <c r="AG47" t="s">
        <v>239</v>
      </c>
      <c r="AH47">
        <v>5934807</v>
      </c>
      <c r="AI47">
        <v>44578</v>
      </c>
      <c r="AP47">
        <v>3495329360</v>
      </c>
      <c r="AQ47">
        <v>0</v>
      </c>
      <c r="AR47">
        <v>2330215456</v>
      </c>
      <c r="AS47">
        <v>3495329360</v>
      </c>
      <c r="AT47">
        <v>5825544816</v>
      </c>
      <c r="AU47">
        <v>58255489</v>
      </c>
      <c r="AV47">
        <v>0</v>
      </c>
      <c r="AW47">
        <v>38836924</v>
      </c>
      <c r="AX47">
        <v>58255489</v>
      </c>
      <c r="AY47">
        <v>97092413</v>
      </c>
      <c r="AZ47">
        <v>28.639600000000002</v>
      </c>
      <c r="BA47">
        <v>15.318199999999999</v>
      </c>
      <c r="BB47">
        <v>5283.97</v>
      </c>
      <c r="BC47">
        <v>3638.18</v>
      </c>
      <c r="BD47">
        <v>2955</v>
      </c>
      <c r="BE47">
        <v>341</v>
      </c>
      <c r="BF47" t="str">
        <f t="shared" si="0"/>
        <v>u=40% k=2x10^7</v>
      </c>
    </row>
    <row r="48" spans="1:58">
      <c r="A48" t="s">
        <v>138</v>
      </c>
      <c r="B48" t="s">
        <v>80</v>
      </c>
      <c r="C48">
        <v>72</v>
      </c>
      <c r="D48" t="s">
        <v>63</v>
      </c>
      <c r="E48" t="s">
        <v>59</v>
      </c>
      <c r="F48" t="s">
        <v>60</v>
      </c>
      <c r="G48">
        <v>60000</v>
      </c>
      <c r="H48">
        <v>20</v>
      </c>
      <c r="I48">
        <v>20</v>
      </c>
      <c r="J48">
        <v>0</v>
      </c>
      <c r="K48">
        <v>1</v>
      </c>
      <c r="L48">
        <v>200000000</v>
      </c>
      <c r="M48">
        <v>190</v>
      </c>
      <c r="N48">
        <v>190</v>
      </c>
      <c r="O48">
        <v>190</v>
      </c>
      <c r="P48">
        <v>0</v>
      </c>
      <c r="Q48" t="s">
        <v>61</v>
      </c>
      <c r="R48">
        <v>1.00004880582586E+16</v>
      </c>
      <c r="S48">
        <v>100002300</v>
      </c>
      <c r="T48">
        <v>1.00004880582586E+16</v>
      </c>
      <c r="U48">
        <v>100002300</v>
      </c>
      <c r="V48" t="s">
        <v>70</v>
      </c>
      <c r="W48">
        <v>7</v>
      </c>
      <c r="X48">
        <v>12002806</v>
      </c>
      <c r="Y48">
        <v>111938337</v>
      </c>
      <c r="Z48">
        <v>123941143</v>
      </c>
      <c r="AA48">
        <v>100002300</v>
      </c>
      <c r="AB48">
        <v>10.326000000000001</v>
      </c>
      <c r="AC48">
        <v>0.89337</v>
      </c>
      <c r="AD48">
        <v>4.0189599999999999</v>
      </c>
      <c r="AE48">
        <v>2751515664</v>
      </c>
      <c r="AF48" t="s">
        <v>240</v>
      </c>
      <c r="AG48" t="s">
        <v>241</v>
      </c>
      <c r="AH48">
        <v>1017892</v>
      </c>
      <c r="AI48">
        <v>24888</v>
      </c>
      <c r="AP48">
        <v>2998650503</v>
      </c>
      <c r="AQ48">
        <v>0</v>
      </c>
      <c r="AR48">
        <v>1999190320</v>
      </c>
      <c r="AS48">
        <v>2998650503</v>
      </c>
      <c r="AT48">
        <v>4997840823</v>
      </c>
      <c r="AU48">
        <v>49977508</v>
      </c>
      <c r="AV48">
        <v>0</v>
      </c>
      <c r="AW48">
        <v>33319838</v>
      </c>
      <c r="AX48">
        <v>49977508</v>
      </c>
      <c r="AY48">
        <v>83297347</v>
      </c>
      <c r="AZ48">
        <v>31.490400000000001</v>
      </c>
      <c r="BA48">
        <v>17.664899999999999</v>
      </c>
      <c r="BB48">
        <v>5697.93</v>
      </c>
      <c r="BC48">
        <v>4217.74</v>
      </c>
      <c r="BD48">
        <v>14526</v>
      </c>
      <c r="BE48">
        <v>1133</v>
      </c>
      <c r="BF48" t="str">
        <f t="shared" si="0"/>
        <v>u=40% k=2x10^8</v>
      </c>
    </row>
    <row r="49" spans="1:58">
      <c r="A49" t="s">
        <v>139</v>
      </c>
      <c r="B49" t="s">
        <v>80</v>
      </c>
      <c r="C49">
        <v>72</v>
      </c>
      <c r="D49" t="s">
        <v>63</v>
      </c>
      <c r="E49" t="s">
        <v>59</v>
      </c>
      <c r="F49" t="s">
        <v>60</v>
      </c>
      <c r="G49">
        <v>60000</v>
      </c>
      <c r="H49">
        <v>20</v>
      </c>
      <c r="I49">
        <v>20</v>
      </c>
      <c r="J49">
        <v>0</v>
      </c>
      <c r="K49">
        <v>1</v>
      </c>
      <c r="L49">
        <v>2000000000</v>
      </c>
      <c r="M49">
        <v>190</v>
      </c>
      <c r="N49">
        <v>190</v>
      </c>
      <c r="O49">
        <v>190</v>
      </c>
      <c r="P49">
        <v>0</v>
      </c>
      <c r="Q49" t="s">
        <v>61</v>
      </c>
      <c r="R49">
        <v>1.00003322537277E+18</v>
      </c>
      <c r="S49">
        <v>1000045103</v>
      </c>
      <c r="T49">
        <v>1.00003322537277E+18</v>
      </c>
      <c r="U49">
        <v>1000045103</v>
      </c>
      <c r="V49" t="s">
        <v>70</v>
      </c>
      <c r="W49">
        <v>7</v>
      </c>
      <c r="X49">
        <v>124412423</v>
      </c>
      <c r="Y49">
        <v>1161804939</v>
      </c>
      <c r="Z49">
        <v>1286217362</v>
      </c>
      <c r="AA49">
        <v>1000045103</v>
      </c>
      <c r="AB49">
        <v>10.3383</v>
      </c>
      <c r="AC49">
        <v>0.86076900000000001</v>
      </c>
      <c r="AD49">
        <v>4.0843499999999997</v>
      </c>
      <c r="AE49">
        <v>28591403568</v>
      </c>
      <c r="AF49" t="s">
        <v>242</v>
      </c>
      <c r="AG49" t="s">
        <v>243</v>
      </c>
      <c r="AH49">
        <v>144724</v>
      </c>
      <c r="AI49">
        <v>23208</v>
      </c>
      <c r="AP49">
        <v>2621279323</v>
      </c>
      <c r="AQ49">
        <v>0</v>
      </c>
      <c r="AR49">
        <v>1747532494</v>
      </c>
      <c r="AS49">
        <v>2621279323</v>
      </c>
      <c r="AT49">
        <v>4368811817</v>
      </c>
      <c r="AU49">
        <v>43687988</v>
      </c>
      <c r="AV49">
        <v>0</v>
      </c>
      <c r="AW49">
        <v>29125541</v>
      </c>
      <c r="AX49">
        <v>43687988</v>
      </c>
      <c r="AY49">
        <v>72813530</v>
      </c>
      <c r="AZ49">
        <v>33.074599999999997</v>
      </c>
      <c r="BA49">
        <v>21.525700000000001</v>
      </c>
      <c r="BB49">
        <v>6189.48</v>
      </c>
      <c r="BC49">
        <v>4947.6099999999997</v>
      </c>
      <c r="BD49">
        <v>120868</v>
      </c>
      <c r="BE49">
        <v>9155</v>
      </c>
      <c r="BF49" t="str">
        <f t="shared" si="0"/>
        <v>u=40% k=2x10^9</v>
      </c>
    </row>
    <row r="50" spans="1:58">
      <c r="A50" t="s">
        <v>140</v>
      </c>
      <c r="B50" t="s">
        <v>80</v>
      </c>
      <c r="C50">
        <v>72</v>
      </c>
      <c r="D50" t="s">
        <v>63</v>
      </c>
      <c r="E50" t="s">
        <v>59</v>
      </c>
      <c r="F50" t="s">
        <v>60</v>
      </c>
      <c r="G50">
        <v>60000</v>
      </c>
      <c r="H50">
        <v>0.5</v>
      </c>
      <c r="I50">
        <v>0.5</v>
      </c>
      <c r="J50">
        <v>0</v>
      </c>
      <c r="K50">
        <v>1</v>
      </c>
      <c r="L50">
        <v>2000000</v>
      </c>
      <c r="M50">
        <v>190</v>
      </c>
      <c r="N50">
        <v>190</v>
      </c>
      <c r="O50">
        <v>190</v>
      </c>
      <c r="P50">
        <v>0</v>
      </c>
      <c r="Q50" t="s">
        <v>61</v>
      </c>
      <c r="R50">
        <v>999697353345</v>
      </c>
      <c r="S50">
        <v>1000376</v>
      </c>
      <c r="T50">
        <v>999697353345</v>
      </c>
      <c r="U50">
        <v>1000376</v>
      </c>
      <c r="V50" t="s">
        <v>70</v>
      </c>
      <c r="W50">
        <v>6</v>
      </c>
      <c r="X50">
        <v>57933</v>
      </c>
      <c r="Y50">
        <v>1083233</v>
      </c>
      <c r="Z50">
        <v>1141166</v>
      </c>
      <c r="AA50">
        <v>1000376</v>
      </c>
      <c r="AB50">
        <v>19.698</v>
      </c>
      <c r="AC50">
        <v>0.92351000000000005</v>
      </c>
      <c r="AD50">
        <v>3.05213</v>
      </c>
      <c r="AE50">
        <v>21991360</v>
      </c>
      <c r="AF50" t="s">
        <v>244</v>
      </c>
      <c r="AG50" t="s">
        <v>245</v>
      </c>
      <c r="AH50">
        <v>609580</v>
      </c>
      <c r="AI50">
        <v>174232</v>
      </c>
      <c r="AP50">
        <v>25178024466</v>
      </c>
      <c r="AQ50">
        <v>0</v>
      </c>
      <c r="AR50">
        <v>254323448</v>
      </c>
      <c r="AS50">
        <v>25178024466</v>
      </c>
      <c r="AT50">
        <v>25432347914</v>
      </c>
      <c r="AU50">
        <v>419633741</v>
      </c>
      <c r="AV50">
        <v>0</v>
      </c>
      <c r="AW50">
        <v>4238724</v>
      </c>
      <c r="AX50">
        <v>419633741</v>
      </c>
      <c r="AY50">
        <v>423872465</v>
      </c>
      <c r="AZ50">
        <v>8.64907</v>
      </c>
      <c r="BA50">
        <v>0.41374499999999997</v>
      </c>
      <c r="BB50">
        <v>1233.6600000000001</v>
      </c>
      <c r="BC50">
        <v>497.79199999999997</v>
      </c>
      <c r="BD50">
        <v>1439</v>
      </c>
      <c r="BE50">
        <v>444</v>
      </c>
      <c r="BF50" t="str">
        <f t="shared" si="0"/>
        <v>u=1% k=2x10^6</v>
      </c>
    </row>
    <row r="51" spans="1:58">
      <c r="A51" t="s">
        <v>141</v>
      </c>
      <c r="B51" t="s">
        <v>80</v>
      </c>
      <c r="C51">
        <v>72</v>
      </c>
      <c r="D51" t="s">
        <v>63</v>
      </c>
      <c r="E51" t="s">
        <v>59</v>
      </c>
      <c r="F51" t="s">
        <v>60</v>
      </c>
      <c r="G51">
        <v>60000</v>
      </c>
      <c r="H51">
        <v>0.5</v>
      </c>
      <c r="I51">
        <v>0.5</v>
      </c>
      <c r="J51">
        <v>0</v>
      </c>
      <c r="K51">
        <v>1</v>
      </c>
      <c r="L51">
        <v>20000000</v>
      </c>
      <c r="M51">
        <v>190</v>
      </c>
      <c r="N51">
        <v>190</v>
      </c>
      <c r="O51">
        <v>190</v>
      </c>
      <c r="P51">
        <v>0</v>
      </c>
      <c r="Q51" t="s">
        <v>61</v>
      </c>
      <c r="R51">
        <v>100015725213263</v>
      </c>
      <c r="S51">
        <v>10001434</v>
      </c>
      <c r="T51">
        <v>100015725213263</v>
      </c>
      <c r="U51">
        <v>10001434</v>
      </c>
      <c r="V51" t="s">
        <v>70</v>
      </c>
      <c r="W51">
        <v>7</v>
      </c>
      <c r="X51">
        <v>1726304</v>
      </c>
      <c r="Y51">
        <v>11646619</v>
      </c>
      <c r="Z51">
        <v>13372923</v>
      </c>
      <c r="AA51">
        <v>10001434</v>
      </c>
      <c r="AB51">
        <v>7.7465599999999997</v>
      </c>
      <c r="AC51">
        <v>0.85874099999999998</v>
      </c>
      <c r="AD51">
        <v>4.0201000000000002</v>
      </c>
      <c r="AE51">
        <v>324450640</v>
      </c>
      <c r="AF51" t="s">
        <v>246</v>
      </c>
      <c r="AG51" t="s">
        <v>247</v>
      </c>
      <c r="AH51">
        <v>71510</v>
      </c>
      <c r="AI51">
        <v>92984</v>
      </c>
      <c r="AP51">
        <v>14897824920</v>
      </c>
      <c r="AQ51">
        <v>0</v>
      </c>
      <c r="AR51">
        <v>150495344</v>
      </c>
      <c r="AS51">
        <v>14897824920</v>
      </c>
      <c r="AT51">
        <v>15048320264</v>
      </c>
      <c r="AU51">
        <v>248297082</v>
      </c>
      <c r="AV51">
        <v>0</v>
      </c>
      <c r="AW51">
        <v>2508255</v>
      </c>
      <c r="AX51">
        <v>248297082</v>
      </c>
      <c r="AY51">
        <v>250805337</v>
      </c>
      <c r="AZ51">
        <v>16.449100000000001</v>
      </c>
      <c r="BA51">
        <v>6.6605299999999996</v>
      </c>
      <c r="BB51">
        <v>2081.86</v>
      </c>
      <c r="BC51">
        <v>1309.98</v>
      </c>
      <c r="BD51">
        <v>2773</v>
      </c>
      <c r="BE51">
        <v>342</v>
      </c>
      <c r="BF51" t="str">
        <f t="shared" si="0"/>
        <v>u=1% k=2x10^7</v>
      </c>
    </row>
    <row r="52" spans="1:58">
      <c r="A52" t="s">
        <v>142</v>
      </c>
      <c r="B52" t="s">
        <v>80</v>
      </c>
      <c r="C52">
        <v>72</v>
      </c>
      <c r="D52" t="s">
        <v>63</v>
      </c>
      <c r="E52" t="s">
        <v>59</v>
      </c>
      <c r="F52" t="s">
        <v>60</v>
      </c>
      <c r="G52">
        <v>60000</v>
      </c>
      <c r="H52">
        <v>0.5</v>
      </c>
      <c r="I52">
        <v>0.5</v>
      </c>
      <c r="J52">
        <v>0</v>
      </c>
      <c r="K52">
        <v>1</v>
      </c>
      <c r="L52">
        <v>200000000</v>
      </c>
      <c r="M52">
        <v>190</v>
      </c>
      <c r="N52">
        <v>190</v>
      </c>
      <c r="O52">
        <v>190</v>
      </c>
      <c r="P52">
        <v>0</v>
      </c>
      <c r="Q52" t="s">
        <v>61</v>
      </c>
      <c r="R52">
        <v>1.00002681389597E+16</v>
      </c>
      <c r="S52">
        <v>100003857</v>
      </c>
      <c r="T52">
        <v>1.00002681389597E+16</v>
      </c>
      <c r="U52">
        <v>100003857</v>
      </c>
      <c r="V52" t="s">
        <v>70</v>
      </c>
      <c r="W52">
        <v>7</v>
      </c>
      <c r="X52">
        <v>13730220</v>
      </c>
      <c r="Y52">
        <v>115569462</v>
      </c>
      <c r="Z52">
        <v>129299682</v>
      </c>
      <c r="AA52">
        <v>100003857</v>
      </c>
      <c r="AB52">
        <v>9.4171600000000009</v>
      </c>
      <c r="AC52">
        <v>0.86531400000000003</v>
      </c>
      <c r="AD52">
        <v>4.0560900000000002</v>
      </c>
      <c r="AE52">
        <v>2949401840</v>
      </c>
      <c r="AF52" t="s">
        <v>248</v>
      </c>
      <c r="AG52" t="s">
        <v>249</v>
      </c>
      <c r="AH52">
        <v>8969</v>
      </c>
      <c r="AI52">
        <v>59712</v>
      </c>
      <c r="AP52">
        <v>11270289154</v>
      </c>
      <c r="AQ52">
        <v>0</v>
      </c>
      <c r="AR52">
        <v>113859728</v>
      </c>
      <c r="AS52">
        <v>11270289154</v>
      </c>
      <c r="AT52">
        <v>11384148882</v>
      </c>
      <c r="AU52">
        <v>187838152</v>
      </c>
      <c r="AV52">
        <v>0</v>
      </c>
      <c r="AW52">
        <v>1897662</v>
      </c>
      <c r="AX52">
        <v>187838152</v>
      </c>
      <c r="AY52">
        <v>189735814</v>
      </c>
      <c r="AZ52">
        <v>19.4238</v>
      </c>
      <c r="BA52">
        <v>9.6275700000000004</v>
      </c>
      <c r="BB52">
        <v>2734.92</v>
      </c>
      <c r="BC52">
        <v>1982.49</v>
      </c>
      <c r="BD52">
        <v>13862</v>
      </c>
      <c r="BE52">
        <v>1098</v>
      </c>
      <c r="BF52" t="str">
        <f t="shared" si="0"/>
        <v>u=1% k=2x10^8</v>
      </c>
    </row>
    <row r="53" spans="1:58">
      <c r="A53" t="s">
        <v>143</v>
      </c>
      <c r="B53" t="s">
        <v>80</v>
      </c>
      <c r="C53">
        <v>72</v>
      </c>
      <c r="D53" t="s">
        <v>63</v>
      </c>
      <c r="E53" t="s">
        <v>59</v>
      </c>
      <c r="F53" t="s">
        <v>60</v>
      </c>
      <c r="G53">
        <v>60000</v>
      </c>
      <c r="H53">
        <v>0.5</v>
      </c>
      <c r="I53">
        <v>0.5</v>
      </c>
      <c r="J53">
        <v>0</v>
      </c>
      <c r="K53">
        <v>1</v>
      </c>
      <c r="L53">
        <v>2000000000</v>
      </c>
      <c r="M53">
        <v>190</v>
      </c>
      <c r="N53">
        <v>190</v>
      </c>
      <c r="O53">
        <v>190</v>
      </c>
      <c r="P53">
        <v>0</v>
      </c>
      <c r="Q53" t="s">
        <v>61</v>
      </c>
      <c r="R53">
        <v>1.00004017048037E+18</v>
      </c>
      <c r="S53">
        <v>1000010707</v>
      </c>
      <c r="T53">
        <v>1.00004017048037E+18</v>
      </c>
      <c r="U53">
        <v>1000010707</v>
      </c>
      <c r="V53" t="s">
        <v>70</v>
      </c>
      <c r="W53">
        <v>7</v>
      </c>
      <c r="X53">
        <v>104102519</v>
      </c>
      <c r="Y53">
        <v>1118564360</v>
      </c>
      <c r="Z53">
        <v>1222666879</v>
      </c>
      <c r="AA53">
        <v>1000010707</v>
      </c>
      <c r="AB53">
        <v>11.7448</v>
      </c>
      <c r="AC53">
        <v>0.89401299999999995</v>
      </c>
      <c r="AD53">
        <v>4.0403500000000001</v>
      </c>
      <c r="AE53">
        <v>26236789440</v>
      </c>
      <c r="AF53" t="s">
        <v>250</v>
      </c>
      <c r="AG53" t="s">
        <v>250</v>
      </c>
      <c r="AI53">
        <v>51170</v>
      </c>
      <c r="AP53">
        <v>8624668192</v>
      </c>
      <c r="AQ53">
        <v>0</v>
      </c>
      <c r="AR53">
        <v>87114964</v>
      </c>
      <c r="AS53">
        <v>8624668192</v>
      </c>
      <c r="AT53">
        <v>8711783156</v>
      </c>
      <c r="AU53">
        <v>143744469</v>
      </c>
      <c r="AV53">
        <v>0</v>
      </c>
      <c r="AW53">
        <v>1451916</v>
      </c>
      <c r="AX53">
        <v>143744469</v>
      </c>
      <c r="AY53">
        <v>145196385</v>
      </c>
      <c r="AZ53">
        <v>22.173999999999999</v>
      </c>
      <c r="BA53">
        <v>14.1691</v>
      </c>
      <c r="BB53">
        <v>3642.69</v>
      </c>
      <c r="BC53">
        <v>2907.34</v>
      </c>
      <c r="BD53">
        <v>62229</v>
      </c>
      <c r="BE53">
        <v>9035</v>
      </c>
      <c r="BF53" t="str">
        <f t="shared" si="0"/>
        <v>u=1% k=2x10^9</v>
      </c>
    </row>
    <row r="54" spans="1:58">
      <c r="A54" t="s">
        <v>144</v>
      </c>
      <c r="B54" t="s">
        <v>80</v>
      </c>
      <c r="C54">
        <v>72</v>
      </c>
      <c r="D54" t="s">
        <v>63</v>
      </c>
      <c r="E54" t="s">
        <v>59</v>
      </c>
      <c r="F54" t="s">
        <v>60</v>
      </c>
      <c r="G54">
        <v>60000</v>
      </c>
      <c r="H54">
        <v>5</v>
      </c>
      <c r="I54">
        <v>5</v>
      </c>
      <c r="J54">
        <v>0</v>
      </c>
      <c r="K54">
        <v>1</v>
      </c>
      <c r="L54">
        <v>2000000</v>
      </c>
      <c r="M54">
        <v>190</v>
      </c>
      <c r="N54">
        <v>190</v>
      </c>
      <c r="O54">
        <v>190</v>
      </c>
      <c r="P54">
        <v>0</v>
      </c>
      <c r="Q54" t="s">
        <v>61</v>
      </c>
      <c r="R54">
        <v>1000636237026</v>
      </c>
      <c r="S54">
        <v>1000554</v>
      </c>
      <c r="T54">
        <v>1000636237026</v>
      </c>
      <c r="U54">
        <v>1000554</v>
      </c>
      <c r="V54" t="s">
        <v>70</v>
      </c>
      <c r="W54">
        <v>6</v>
      </c>
      <c r="X54">
        <v>39203</v>
      </c>
      <c r="Y54">
        <v>1045030</v>
      </c>
      <c r="Z54">
        <v>1084233</v>
      </c>
      <c r="AA54">
        <v>1000554</v>
      </c>
      <c r="AB54">
        <v>27.6569</v>
      </c>
      <c r="AC54">
        <v>0.95743999999999996</v>
      </c>
      <c r="AD54">
        <v>3.0124200000000001</v>
      </c>
      <c r="AE54">
        <v>19857696</v>
      </c>
      <c r="AF54" t="s">
        <v>251</v>
      </c>
      <c r="AG54" t="s">
        <v>252</v>
      </c>
      <c r="AH54">
        <v>15723592</v>
      </c>
      <c r="AI54">
        <v>100664</v>
      </c>
      <c r="AP54">
        <v>13201918722</v>
      </c>
      <c r="AQ54">
        <v>0</v>
      </c>
      <c r="AR54">
        <v>1466884027</v>
      </c>
      <c r="AS54">
        <v>13201918722</v>
      </c>
      <c r="AT54">
        <v>14668802749</v>
      </c>
      <c r="AU54">
        <v>220031978</v>
      </c>
      <c r="AV54">
        <v>0</v>
      </c>
      <c r="AW54">
        <v>24448067</v>
      </c>
      <c r="AX54">
        <v>220031978</v>
      </c>
      <c r="AY54">
        <v>244480045</v>
      </c>
      <c r="AZ54">
        <v>12.345599999999999</v>
      </c>
      <c r="BA54">
        <v>3.1477400000000002</v>
      </c>
      <c r="BB54">
        <v>2152.1999999999998</v>
      </c>
      <c r="BC54">
        <v>1322.01</v>
      </c>
      <c r="BD54">
        <v>1668</v>
      </c>
      <c r="BE54">
        <v>324</v>
      </c>
      <c r="BF54" t="str">
        <f t="shared" si="0"/>
        <v>u=10% k=2x10^6</v>
      </c>
    </row>
    <row r="55" spans="1:58">
      <c r="A55" t="s">
        <v>145</v>
      </c>
      <c r="B55" t="s">
        <v>80</v>
      </c>
      <c r="C55">
        <v>72</v>
      </c>
      <c r="D55" t="s">
        <v>63</v>
      </c>
      <c r="E55" t="s">
        <v>59</v>
      </c>
      <c r="F55" t="s">
        <v>60</v>
      </c>
      <c r="G55">
        <v>60000</v>
      </c>
      <c r="H55">
        <v>5</v>
      </c>
      <c r="I55">
        <v>5</v>
      </c>
      <c r="J55">
        <v>0</v>
      </c>
      <c r="K55">
        <v>1</v>
      </c>
      <c r="L55">
        <v>20000000</v>
      </c>
      <c r="M55">
        <v>190</v>
      </c>
      <c r="N55">
        <v>190</v>
      </c>
      <c r="O55">
        <v>190</v>
      </c>
      <c r="P55">
        <v>0</v>
      </c>
      <c r="Q55" t="s">
        <v>61</v>
      </c>
      <c r="R55">
        <v>100013403482205</v>
      </c>
      <c r="S55">
        <v>10000816</v>
      </c>
      <c r="T55">
        <v>100013403482205</v>
      </c>
      <c r="U55">
        <v>10000816</v>
      </c>
      <c r="V55" t="s">
        <v>70</v>
      </c>
      <c r="W55">
        <v>7</v>
      </c>
      <c r="X55">
        <v>1878092</v>
      </c>
      <c r="Y55">
        <v>11968522</v>
      </c>
      <c r="Z55">
        <v>13846614</v>
      </c>
      <c r="AA55">
        <v>10000816</v>
      </c>
      <c r="AB55">
        <v>7.3727</v>
      </c>
      <c r="AC55">
        <v>0.83559300000000003</v>
      </c>
      <c r="AD55">
        <v>4.0505599999999999</v>
      </c>
      <c r="AE55">
        <v>341760208</v>
      </c>
      <c r="AF55" t="s">
        <v>253</v>
      </c>
      <c r="AG55" t="s">
        <v>254</v>
      </c>
      <c r="AH55">
        <v>1679132</v>
      </c>
      <c r="AI55">
        <v>72518</v>
      </c>
      <c r="AP55">
        <v>9917335606</v>
      </c>
      <c r="AQ55">
        <v>0</v>
      </c>
      <c r="AR55">
        <v>1101941674</v>
      </c>
      <c r="AS55">
        <v>9917335606</v>
      </c>
      <c r="AT55">
        <v>11019277280</v>
      </c>
      <c r="AU55">
        <v>165288926</v>
      </c>
      <c r="AV55">
        <v>0</v>
      </c>
      <c r="AW55">
        <v>18365694</v>
      </c>
      <c r="AX55">
        <v>165288926</v>
      </c>
      <c r="AY55">
        <v>183654621</v>
      </c>
      <c r="AZ55">
        <v>19.2835</v>
      </c>
      <c r="BA55">
        <v>8.5639000000000003</v>
      </c>
      <c r="BB55">
        <v>2822.38</v>
      </c>
      <c r="BC55">
        <v>1900.83</v>
      </c>
      <c r="BD55">
        <v>2878</v>
      </c>
      <c r="BE55">
        <v>402</v>
      </c>
      <c r="BF55" t="str">
        <f t="shared" si="0"/>
        <v>u=10% k=2x10^7</v>
      </c>
    </row>
    <row r="56" spans="1:58">
      <c r="A56" t="s">
        <v>255</v>
      </c>
      <c r="B56" t="s">
        <v>80</v>
      </c>
      <c r="C56">
        <v>72</v>
      </c>
      <c r="D56" t="s">
        <v>63</v>
      </c>
      <c r="E56" t="s">
        <v>59</v>
      </c>
      <c r="F56" t="s">
        <v>60</v>
      </c>
      <c r="G56">
        <v>60000</v>
      </c>
      <c r="H56">
        <v>5</v>
      </c>
      <c r="I56">
        <v>5</v>
      </c>
      <c r="J56">
        <v>0</v>
      </c>
      <c r="K56">
        <v>1</v>
      </c>
      <c r="L56">
        <v>200000000</v>
      </c>
      <c r="M56">
        <v>190</v>
      </c>
      <c r="N56">
        <v>190</v>
      </c>
      <c r="O56">
        <v>190</v>
      </c>
      <c r="P56">
        <v>0</v>
      </c>
      <c r="Q56" t="s">
        <v>61</v>
      </c>
      <c r="R56">
        <v>9998459031872920</v>
      </c>
      <c r="S56">
        <v>99981551</v>
      </c>
      <c r="T56">
        <v>9998459031872920</v>
      </c>
      <c r="U56">
        <v>99981551</v>
      </c>
      <c r="V56" t="s">
        <v>70</v>
      </c>
      <c r="W56">
        <v>7</v>
      </c>
      <c r="X56">
        <v>14765162</v>
      </c>
      <c r="Y56">
        <v>117862143</v>
      </c>
      <c r="Z56">
        <v>132627305</v>
      </c>
      <c r="AA56">
        <v>99981551</v>
      </c>
      <c r="AB56">
        <v>8.98245</v>
      </c>
      <c r="AC56">
        <v>0.84829200000000005</v>
      </c>
      <c r="AD56">
        <v>4.0771600000000001</v>
      </c>
      <c r="AE56">
        <v>3071250544</v>
      </c>
      <c r="AF56" t="s">
        <v>256</v>
      </c>
      <c r="AG56" t="s">
        <v>257</v>
      </c>
      <c r="AH56">
        <v>253611</v>
      </c>
      <c r="AI56">
        <v>34736</v>
      </c>
      <c r="AP56">
        <v>7551964256</v>
      </c>
      <c r="AQ56">
        <v>0</v>
      </c>
      <c r="AR56">
        <v>839133741</v>
      </c>
      <c r="AS56">
        <v>7551964256</v>
      </c>
      <c r="AT56">
        <v>8391097997</v>
      </c>
      <c r="AU56">
        <v>125866070</v>
      </c>
      <c r="AV56">
        <v>0</v>
      </c>
      <c r="AW56">
        <v>13985562</v>
      </c>
      <c r="AX56">
        <v>125866070</v>
      </c>
      <c r="AY56">
        <v>139851633</v>
      </c>
      <c r="AZ56">
        <v>22.311199999999999</v>
      </c>
      <c r="BA56">
        <v>11.3817</v>
      </c>
      <c r="BB56">
        <v>3469.42</v>
      </c>
      <c r="BC56">
        <v>2588.64</v>
      </c>
      <c r="BD56">
        <v>14270</v>
      </c>
      <c r="BE56">
        <v>1119</v>
      </c>
      <c r="BF56" t="str">
        <f t="shared" si="0"/>
        <v>u=10% k=2x10^8</v>
      </c>
    </row>
    <row r="57" spans="1:58">
      <c r="A57" t="s">
        <v>258</v>
      </c>
      <c r="B57" t="s">
        <v>80</v>
      </c>
      <c r="C57">
        <v>72</v>
      </c>
      <c r="D57" t="s">
        <v>63</v>
      </c>
      <c r="E57" t="s">
        <v>59</v>
      </c>
      <c r="F57" t="s">
        <v>60</v>
      </c>
      <c r="G57">
        <v>60000</v>
      </c>
      <c r="H57">
        <v>5</v>
      </c>
      <c r="I57">
        <v>5</v>
      </c>
      <c r="J57">
        <v>0</v>
      </c>
      <c r="K57">
        <v>1</v>
      </c>
      <c r="L57">
        <v>2000000000</v>
      </c>
      <c r="M57">
        <v>190</v>
      </c>
      <c r="N57">
        <v>190</v>
      </c>
      <c r="O57">
        <v>190</v>
      </c>
      <c r="P57">
        <v>0</v>
      </c>
      <c r="Q57" t="s">
        <v>61</v>
      </c>
      <c r="R57">
        <v>1.0000222009473E+18</v>
      </c>
      <c r="S57">
        <v>1000005903</v>
      </c>
      <c r="T57">
        <v>1.0000222009473E+18</v>
      </c>
      <c r="U57">
        <v>1000005903</v>
      </c>
      <c r="V57" t="s">
        <v>70</v>
      </c>
      <c r="W57">
        <v>7</v>
      </c>
      <c r="X57">
        <v>116329643</v>
      </c>
      <c r="Y57">
        <v>1144118041</v>
      </c>
      <c r="Z57">
        <v>1260447684</v>
      </c>
      <c r="AA57">
        <v>1000005903</v>
      </c>
      <c r="AB57">
        <v>10.835100000000001</v>
      </c>
      <c r="AC57">
        <v>0.87404099999999996</v>
      </c>
      <c r="AD57">
        <v>4.0664999999999996</v>
      </c>
      <c r="AE57">
        <v>27642561280</v>
      </c>
      <c r="AF57" t="s">
        <v>259</v>
      </c>
      <c r="AG57" t="s">
        <v>260</v>
      </c>
      <c r="AH57">
        <v>31441</v>
      </c>
      <c r="AI57">
        <v>34626</v>
      </c>
      <c r="AP57">
        <v>5968502101</v>
      </c>
      <c r="AQ57">
        <v>0</v>
      </c>
      <c r="AR57">
        <v>663127230</v>
      </c>
      <c r="AS57">
        <v>5968502101</v>
      </c>
      <c r="AT57">
        <v>6631629331</v>
      </c>
      <c r="AU57">
        <v>99475035</v>
      </c>
      <c r="AV57">
        <v>0</v>
      </c>
      <c r="AW57">
        <v>11052120</v>
      </c>
      <c r="AX57">
        <v>99475035</v>
      </c>
      <c r="AY57">
        <v>110527155</v>
      </c>
      <c r="AZ57">
        <v>24.7925</v>
      </c>
      <c r="BA57">
        <v>15.7234</v>
      </c>
      <c r="BB57">
        <v>4519.67</v>
      </c>
      <c r="BC57">
        <v>3638.35</v>
      </c>
      <c r="BD57">
        <v>119816</v>
      </c>
      <c r="BE57">
        <v>9371</v>
      </c>
      <c r="BF57" t="str">
        <f t="shared" si="0"/>
        <v>u=10% k=2x10^9</v>
      </c>
    </row>
    <row r="58" spans="1:58">
      <c r="A58" t="s">
        <v>261</v>
      </c>
      <c r="B58" t="s">
        <v>80</v>
      </c>
      <c r="C58">
        <v>72</v>
      </c>
      <c r="D58" t="s">
        <v>63</v>
      </c>
      <c r="E58" t="s">
        <v>59</v>
      </c>
      <c r="F58" t="s">
        <v>60</v>
      </c>
      <c r="G58">
        <v>60000</v>
      </c>
      <c r="H58">
        <v>20</v>
      </c>
      <c r="I58">
        <v>20</v>
      </c>
      <c r="J58">
        <v>0</v>
      </c>
      <c r="K58">
        <v>1</v>
      </c>
      <c r="L58">
        <v>2000000</v>
      </c>
      <c r="M58">
        <v>190</v>
      </c>
      <c r="N58">
        <v>190</v>
      </c>
      <c r="O58">
        <v>190</v>
      </c>
      <c r="P58">
        <v>0</v>
      </c>
      <c r="Q58" t="s">
        <v>61</v>
      </c>
      <c r="R58">
        <v>999000805332</v>
      </c>
      <c r="S58">
        <v>1000090</v>
      </c>
      <c r="T58">
        <v>999000805332</v>
      </c>
      <c r="U58">
        <v>1000090</v>
      </c>
      <c r="V58" t="s">
        <v>70</v>
      </c>
      <c r="W58">
        <v>6</v>
      </c>
      <c r="X58">
        <v>33090</v>
      </c>
      <c r="Y58">
        <v>1032224</v>
      </c>
      <c r="Z58">
        <v>1065314</v>
      </c>
      <c r="AA58">
        <v>1000090</v>
      </c>
      <c r="AB58">
        <v>32.194400000000002</v>
      </c>
      <c r="AC58">
        <v>0.96886899999999998</v>
      </c>
      <c r="AD58">
        <v>3.0001099999999998</v>
      </c>
      <c r="AE58">
        <v>19162768</v>
      </c>
      <c r="AF58" t="s">
        <v>262</v>
      </c>
      <c r="AG58" t="s">
        <v>263</v>
      </c>
      <c r="AH58">
        <v>48468303</v>
      </c>
      <c r="AI58">
        <v>42062</v>
      </c>
      <c r="AP58">
        <v>3484017919</v>
      </c>
      <c r="AQ58">
        <v>0</v>
      </c>
      <c r="AR58">
        <v>2322587668</v>
      </c>
      <c r="AS58">
        <v>3484017919</v>
      </c>
      <c r="AT58">
        <v>5806605587</v>
      </c>
      <c r="AU58">
        <v>58066965</v>
      </c>
      <c r="AV58">
        <v>0</v>
      </c>
      <c r="AW58">
        <v>38709794</v>
      </c>
      <c r="AX58">
        <v>58066965</v>
      </c>
      <c r="AY58">
        <v>96776759</v>
      </c>
      <c r="AZ58">
        <v>24.874300000000002</v>
      </c>
      <c r="BA58">
        <v>11.845800000000001</v>
      </c>
      <c r="BB58">
        <v>5460.51</v>
      </c>
      <c r="BC58">
        <v>4167.75</v>
      </c>
      <c r="BD58">
        <v>1908</v>
      </c>
      <c r="BE58">
        <v>218</v>
      </c>
      <c r="BF58" t="str">
        <f t="shared" si="0"/>
        <v>u=40% k=2x10^6</v>
      </c>
    </row>
    <row r="59" spans="1:58">
      <c r="A59" t="s">
        <v>264</v>
      </c>
      <c r="B59" t="s">
        <v>80</v>
      </c>
      <c r="C59">
        <v>72</v>
      </c>
      <c r="D59" t="s">
        <v>63</v>
      </c>
      <c r="E59" t="s">
        <v>59</v>
      </c>
      <c r="F59" t="s">
        <v>60</v>
      </c>
      <c r="G59">
        <v>60000</v>
      </c>
      <c r="H59">
        <v>20</v>
      </c>
      <c r="I59">
        <v>20</v>
      </c>
      <c r="J59">
        <v>0</v>
      </c>
      <c r="K59">
        <v>1</v>
      </c>
      <c r="L59">
        <v>20000000</v>
      </c>
      <c r="M59">
        <v>190</v>
      </c>
      <c r="N59">
        <v>190</v>
      </c>
      <c r="O59">
        <v>190</v>
      </c>
      <c r="P59">
        <v>0</v>
      </c>
      <c r="Q59" t="s">
        <v>61</v>
      </c>
      <c r="R59">
        <v>100007442610733</v>
      </c>
      <c r="S59">
        <v>10000443</v>
      </c>
      <c r="T59">
        <v>100007442610733</v>
      </c>
      <c r="U59">
        <v>10000443</v>
      </c>
      <c r="V59" t="s">
        <v>70</v>
      </c>
      <c r="W59">
        <v>7</v>
      </c>
      <c r="X59">
        <v>1870597</v>
      </c>
      <c r="Y59">
        <v>11950523</v>
      </c>
      <c r="Z59">
        <v>13821120</v>
      </c>
      <c r="AA59">
        <v>10000443</v>
      </c>
      <c r="AB59">
        <v>7.3886099999999999</v>
      </c>
      <c r="AC59">
        <v>0.83682100000000004</v>
      </c>
      <c r="AD59">
        <v>4.0490500000000003</v>
      </c>
      <c r="AE59">
        <v>340869312</v>
      </c>
      <c r="AF59" t="s">
        <v>265</v>
      </c>
      <c r="AG59" t="s">
        <v>266</v>
      </c>
      <c r="AH59">
        <v>5894479</v>
      </c>
      <c r="AI59">
        <v>44502</v>
      </c>
      <c r="AP59">
        <v>3489794710</v>
      </c>
      <c r="AQ59">
        <v>0</v>
      </c>
      <c r="AR59">
        <v>2326509173</v>
      </c>
      <c r="AS59">
        <v>3489794710</v>
      </c>
      <c r="AT59">
        <v>5816303883</v>
      </c>
      <c r="AU59">
        <v>58163245</v>
      </c>
      <c r="AV59">
        <v>0</v>
      </c>
      <c r="AW59">
        <v>38775152</v>
      </c>
      <c r="AX59">
        <v>58163245</v>
      </c>
      <c r="AY59">
        <v>96938398</v>
      </c>
      <c r="AZ59">
        <v>28.617100000000001</v>
      </c>
      <c r="BA59">
        <v>15.3103</v>
      </c>
      <c r="BB59">
        <v>5296.92</v>
      </c>
      <c r="BC59">
        <v>3646.92</v>
      </c>
      <c r="BD59">
        <v>2959</v>
      </c>
      <c r="BE59">
        <v>405</v>
      </c>
      <c r="BF59" t="str">
        <f t="shared" si="0"/>
        <v>u=40% k=2x10^7</v>
      </c>
    </row>
    <row r="60" spans="1:58">
      <c r="A60" t="s">
        <v>267</v>
      </c>
      <c r="B60" t="s">
        <v>80</v>
      </c>
      <c r="C60">
        <v>72</v>
      </c>
      <c r="D60" t="s">
        <v>63</v>
      </c>
      <c r="E60" t="s">
        <v>59</v>
      </c>
      <c r="F60" t="s">
        <v>60</v>
      </c>
      <c r="G60">
        <v>60000</v>
      </c>
      <c r="H60">
        <v>20</v>
      </c>
      <c r="I60">
        <v>20</v>
      </c>
      <c r="J60">
        <v>0</v>
      </c>
      <c r="K60">
        <v>1</v>
      </c>
      <c r="L60">
        <v>200000000</v>
      </c>
      <c r="M60">
        <v>190</v>
      </c>
      <c r="N60">
        <v>190</v>
      </c>
      <c r="O60">
        <v>190</v>
      </c>
      <c r="P60">
        <v>0</v>
      </c>
      <c r="Q60" t="s">
        <v>61</v>
      </c>
      <c r="R60">
        <v>9998929532326470</v>
      </c>
      <c r="S60">
        <v>99993694</v>
      </c>
      <c r="T60">
        <v>9998929532326470</v>
      </c>
      <c r="U60">
        <v>99993694</v>
      </c>
      <c r="V60" t="s">
        <v>70</v>
      </c>
      <c r="W60">
        <v>7</v>
      </c>
      <c r="X60">
        <v>11010047</v>
      </c>
      <c r="Y60">
        <v>109993797</v>
      </c>
      <c r="Z60">
        <v>121003844</v>
      </c>
      <c r="AA60">
        <v>99993694</v>
      </c>
      <c r="AB60">
        <v>10.9903</v>
      </c>
      <c r="AC60">
        <v>0.90908500000000003</v>
      </c>
      <c r="AD60">
        <v>4</v>
      </c>
      <c r="AE60">
        <v>2640704496</v>
      </c>
      <c r="AF60" t="s">
        <v>268</v>
      </c>
      <c r="AG60" t="s">
        <v>269</v>
      </c>
      <c r="AH60">
        <v>1017830</v>
      </c>
      <c r="AI60">
        <v>24712</v>
      </c>
      <c r="AP60">
        <v>2999933686</v>
      </c>
      <c r="AQ60">
        <v>0</v>
      </c>
      <c r="AR60">
        <v>1999952000</v>
      </c>
      <c r="AS60">
        <v>2999933686</v>
      </c>
      <c r="AT60">
        <v>4999885686</v>
      </c>
      <c r="AU60">
        <v>49998894</v>
      </c>
      <c r="AV60">
        <v>0</v>
      </c>
      <c r="AW60">
        <v>33332533</v>
      </c>
      <c r="AX60">
        <v>49998894</v>
      </c>
      <c r="AY60">
        <v>83331428</v>
      </c>
      <c r="AZ60">
        <v>31.573599999999999</v>
      </c>
      <c r="BA60">
        <v>17.712</v>
      </c>
      <c r="BB60">
        <v>5691.72</v>
      </c>
      <c r="BC60">
        <v>4221.8</v>
      </c>
      <c r="BD60">
        <v>14428</v>
      </c>
      <c r="BE60">
        <v>1094</v>
      </c>
      <c r="BF60" t="str">
        <f t="shared" si="0"/>
        <v>u=40% k=2x10^8</v>
      </c>
    </row>
    <row r="61" spans="1:58">
      <c r="A61" t="s">
        <v>270</v>
      </c>
      <c r="B61" t="s">
        <v>80</v>
      </c>
      <c r="C61">
        <v>72</v>
      </c>
      <c r="D61" t="s">
        <v>63</v>
      </c>
      <c r="E61" t="s">
        <v>59</v>
      </c>
      <c r="F61" t="s">
        <v>60</v>
      </c>
      <c r="G61">
        <v>60000</v>
      </c>
      <c r="H61">
        <v>20</v>
      </c>
      <c r="I61">
        <v>20</v>
      </c>
      <c r="J61">
        <v>0</v>
      </c>
      <c r="K61">
        <v>1</v>
      </c>
      <c r="L61">
        <v>2000000000</v>
      </c>
      <c r="M61">
        <v>190</v>
      </c>
      <c r="N61">
        <v>190</v>
      </c>
      <c r="O61">
        <v>190</v>
      </c>
      <c r="P61">
        <v>0</v>
      </c>
      <c r="Q61" t="s">
        <v>61</v>
      </c>
      <c r="R61">
        <v>9.9999651668966106E+17</v>
      </c>
      <c r="S61">
        <v>1000000608</v>
      </c>
      <c r="T61">
        <v>9.9999651668966106E+17</v>
      </c>
      <c r="U61">
        <v>1000000608</v>
      </c>
      <c r="V61" t="s">
        <v>70</v>
      </c>
      <c r="W61">
        <v>7</v>
      </c>
      <c r="X61">
        <v>124863089</v>
      </c>
      <c r="Y61">
        <v>1162775940</v>
      </c>
      <c r="Z61">
        <v>1287639029</v>
      </c>
      <c r="AA61">
        <v>1000000608</v>
      </c>
      <c r="AB61">
        <v>10.3124</v>
      </c>
      <c r="AC61">
        <v>0.86001099999999997</v>
      </c>
      <c r="AD61">
        <v>4.0853799999999998</v>
      </c>
      <c r="AE61">
        <v>28644452560</v>
      </c>
      <c r="AF61" t="s">
        <v>271</v>
      </c>
      <c r="AG61" t="s">
        <v>272</v>
      </c>
      <c r="AH61">
        <v>146469</v>
      </c>
      <c r="AI61">
        <v>23242</v>
      </c>
      <c r="AP61">
        <v>2631873746</v>
      </c>
      <c r="AQ61">
        <v>0</v>
      </c>
      <c r="AR61">
        <v>1754603619</v>
      </c>
      <c r="AS61">
        <v>2631873746</v>
      </c>
      <c r="AT61">
        <v>4386477365</v>
      </c>
      <c r="AU61">
        <v>43864562</v>
      </c>
      <c r="AV61">
        <v>0</v>
      </c>
      <c r="AW61">
        <v>29243393</v>
      </c>
      <c r="AX61">
        <v>43864562</v>
      </c>
      <c r="AY61">
        <v>73107956</v>
      </c>
      <c r="AZ61">
        <v>33.032200000000003</v>
      </c>
      <c r="BA61">
        <v>21.4864</v>
      </c>
      <c r="BB61">
        <v>6182.44</v>
      </c>
      <c r="BC61">
        <v>4939.8900000000003</v>
      </c>
      <c r="BD61">
        <v>120715</v>
      </c>
      <c r="BE61">
        <v>9080</v>
      </c>
      <c r="BF61" t="str">
        <f t="shared" si="0"/>
        <v>u=40% k=2x10^9</v>
      </c>
    </row>
    <row r="62" spans="1:58">
      <c r="A62" t="s">
        <v>273</v>
      </c>
      <c r="B62" t="s">
        <v>80</v>
      </c>
      <c r="C62">
        <v>72</v>
      </c>
      <c r="D62" t="s">
        <v>63</v>
      </c>
      <c r="E62" t="s">
        <v>59</v>
      </c>
      <c r="F62" t="s">
        <v>60</v>
      </c>
      <c r="G62">
        <v>60000</v>
      </c>
      <c r="H62">
        <v>0.5</v>
      </c>
      <c r="I62">
        <v>0.5</v>
      </c>
      <c r="J62">
        <v>0</v>
      </c>
      <c r="K62">
        <v>1</v>
      </c>
      <c r="L62">
        <v>2000000</v>
      </c>
      <c r="M62">
        <v>190</v>
      </c>
      <c r="N62">
        <v>190</v>
      </c>
      <c r="O62">
        <v>190</v>
      </c>
      <c r="P62">
        <v>0</v>
      </c>
      <c r="Q62" t="s">
        <v>61</v>
      </c>
      <c r="R62">
        <v>998842046273</v>
      </c>
      <c r="S62">
        <v>999012</v>
      </c>
      <c r="T62">
        <v>998842046273</v>
      </c>
      <c r="U62">
        <v>999012</v>
      </c>
      <c r="V62" t="s">
        <v>70</v>
      </c>
      <c r="W62">
        <v>6</v>
      </c>
      <c r="X62">
        <v>54297</v>
      </c>
      <c r="Y62">
        <v>1074613</v>
      </c>
      <c r="Z62">
        <v>1128910</v>
      </c>
      <c r="AA62">
        <v>999012</v>
      </c>
      <c r="AB62">
        <v>20.791399999999999</v>
      </c>
      <c r="AC62">
        <v>0.92964800000000003</v>
      </c>
      <c r="AD62">
        <v>3.0447000000000002</v>
      </c>
      <c r="AE62">
        <v>21560208</v>
      </c>
      <c r="AF62" t="s">
        <v>274</v>
      </c>
      <c r="AG62" t="s">
        <v>275</v>
      </c>
      <c r="AH62">
        <v>593101</v>
      </c>
      <c r="AI62">
        <v>175496</v>
      </c>
      <c r="AP62">
        <v>25104458798</v>
      </c>
      <c r="AQ62">
        <v>0</v>
      </c>
      <c r="AR62">
        <v>253584604</v>
      </c>
      <c r="AS62">
        <v>25104458798</v>
      </c>
      <c r="AT62">
        <v>25358043402</v>
      </c>
      <c r="AU62">
        <v>418407646</v>
      </c>
      <c r="AV62">
        <v>0</v>
      </c>
      <c r="AW62">
        <v>4226410</v>
      </c>
      <c r="AX62">
        <v>418407646</v>
      </c>
      <c r="AY62">
        <v>422634056</v>
      </c>
      <c r="AZ62">
        <v>8.6585300000000007</v>
      </c>
      <c r="BA62">
        <v>0.41629899999999997</v>
      </c>
      <c r="BB62">
        <v>1237.02</v>
      </c>
      <c r="BC62">
        <v>499.142</v>
      </c>
      <c r="BD62">
        <v>1436</v>
      </c>
      <c r="BE62">
        <v>469</v>
      </c>
      <c r="BF62" t="str">
        <f t="shared" si="0"/>
        <v>u=1% k=2x10^6</v>
      </c>
    </row>
    <row r="63" spans="1:58">
      <c r="A63" t="s">
        <v>276</v>
      </c>
      <c r="B63" t="s">
        <v>80</v>
      </c>
      <c r="C63">
        <v>72</v>
      </c>
      <c r="D63" t="s">
        <v>63</v>
      </c>
      <c r="E63" t="s">
        <v>59</v>
      </c>
      <c r="F63" t="s">
        <v>60</v>
      </c>
      <c r="G63">
        <v>60000</v>
      </c>
      <c r="H63">
        <v>0.5</v>
      </c>
      <c r="I63">
        <v>0.5</v>
      </c>
      <c r="J63">
        <v>0</v>
      </c>
      <c r="K63">
        <v>1</v>
      </c>
      <c r="L63">
        <v>20000000</v>
      </c>
      <c r="M63">
        <v>190</v>
      </c>
      <c r="N63">
        <v>190</v>
      </c>
      <c r="O63">
        <v>190</v>
      </c>
      <c r="P63">
        <v>0</v>
      </c>
      <c r="Q63" t="s">
        <v>61</v>
      </c>
      <c r="R63">
        <v>99988949438649</v>
      </c>
      <c r="S63">
        <v>9999081</v>
      </c>
      <c r="T63">
        <v>99988949438649</v>
      </c>
      <c r="U63">
        <v>9999081</v>
      </c>
      <c r="V63" t="s">
        <v>70</v>
      </c>
      <c r="W63">
        <v>7</v>
      </c>
      <c r="X63">
        <v>1779122</v>
      </c>
      <c r="Y63">
        <v>11754008</v>
      </c>
      <c r="Z63">
        <v>13533130</v>
      </c>
      <c r="AA63">
        <v>9999081</v>
      </c>
      <c r="AB63">
        <v>7.60663</v>
      </c>
      <c r="AC63">
        <v>0.85069499999999998</v>
      </c>
      <c r="AD63">
        <v>4.0306800000000003</v>
      </c>
      <c r="AE63">
        <v>330395536</v>
      </c>
      <c r="AF63" t="s">
        <v>277</v>
      </c>
      <c r="AG63" t="s">
        <v>278</v>
      </c>
      <c r="AH63">
        <v>72462</v>
      </c>
      <c r="AI63">
        <v>93180</v>
      </c>
      <c r="AP63">
        <v>14930237134</v>
      </c>
      <c r="AQ63">
        <v>0</v>
      </c>
      <c r="AR63">
        <v>150811754</v>
      </c>
      <c r="AS63">
        <v>14930237134</v>
      </c>
      <c r="AT63">
        <v>15081048888</v>
      </c>
      <c r="AU63">
        <v>248837285</v>
      </c>
      <c r="AV63">
        <v>0</v>
      </c>
      <c r="AW63">
        <v>2513529</v>
      </c>
      <c r="AX63">
        <v>248837285</v>
      </c>
      <c r="AY63">
        <v>251350814</v>
      </c>
      <c r="AZ63">
        <v>16.342400000000001</v>
      </c>
      <c r="BA63">
        <v>6.6612099999999996</v>
      </c>
      <c r="BB63">
        <v>2077.85</v>
      </c>
      <c r="BC63">
        <v>1306.3800000000001</v>
      </c>
      <c r="BD63">
        <v>2776</v>
      </c>
      <c r="BE63">
        <v>460</v>
      </c>
      <c r="BF63" t="str">
        <f t="shared" si="0"/>
        <v>u=1% k=2x10^7</v>
      </c>
    </row>
    <row r="64" spans="1:58">
      <c r="A64" t="s">
        <v>279</v>
      </c>
      <c r="B64" t="s">
        <v>80</v>
      </c>
      <c r="C64">
        <v>72</v>
      </c>
      <c r="D64" t="s">
        <v>63</v>
      </c>
      <c r="E64" t="s">
        <v>59</v>
      </c>
      <c r="F64" t="s">
        <v>60</v>
      </c>
      <c r="G64">
        <v>60000</v>
      </c>
      <c r="H64">
        <v>0.5</v>
      </c>
      <c r="I64">
        <v>0.5</v>
      </c>
      <c r="J64">
        <v>0</v>
      </c>
      <c r="K64">
        <v>1</v>
      </c>
      <c r="L64">
        <v>200000000</v>
      </c>
      <c r="M64">
        <v>190</v>
      </c>
      <c r="N64">
        <v>190</v>
      </c>
      <c r="O64">
        <v>190</v>
      </c>
      <c r="P64">
        <v>0</v>
      </c>
      <c r="Q64" t="s">
        <v>61</v>
      </c>
      <c r="R64">
        <v>1.00006671309071E+16</v>
      </c>
      <c r="S64">
        <v>100000157</v>
      </c>
      <c r="T64">
        <v>1.00006671309071E+16</v>
      </c>
      <c r="U64">
        <v>100000157</v>
      </c>
      <c r="V64" t="s">
        <v>70</v>
      </c>
      <c r="W64">
        <v>7</v>
      </c>
      <c r="X64">
        <v>13744286</v>
      </c>
      <c r="Y64">
        <v>115594947</v>
      </c>
      <c r="Z64">
        <v>129339233</v>
      </c>
      <c r="AA64">
        <v>100000157</v>
      </c>
      <c r="AB64">
        <v>9.4103999999999992</v>
      </c>
      <c r="AC64">
        <v>0.86509100000000005</v>
      </c>
      <c r="AD64">
        <v>4.0564200000000001</v>
      </c>
      <c r="AE64">
        <v>2950970656</v>
      </c>
      <c r="AF64" t="s">
        <v>280</v>
      </c>
      <c r="AG64" t="s">
        <v>281</v>
      </c>
      <c r="AH64">
        <v>9785</v>
      </c>
      <c r="AI64">
        <v>59074</v>
      </c>
      <c r="AP64">
        <v>11283531223</v>
      </c>
      <c r="AQ64">
        <v>0</v>
      </c>
      <c r="AR64">
        <v>113990700</v>
      </c>
      <c r="AS64">
        <v>11283531223</v>
      </c>
      <c r="AT64">
        <v>11397521923</v>
      </c>
      <c r="AU64">
        <v>188058853</v>
      </c>
      <c r="AV64">
        <v>0</v>
      </c>
      <c r="AW64">
        <v>1899845</v>
      </c>
      <c r="AX64">
        <v>188058853</v>
      </c>
      <c r="AY64">
        <v>189958698</v>
      </c>
      <c r="AZ64">
        <v>19.410299999999999</v>
      </c>
      <c r="BA64">
        <v>9.61904</v>
      </c>
      <c r="BB64">
        <v>2731.4</v>
      </c>
      <c r="BC64">
        <v>1987.7</v>
      </c>
      <c r="BD64">
        <v>13803</v>
      </c>
      <c r="BE64">
        <v>1055</v>
      </c>
      <c r="BF64" t="str">
        <f t="shared" si="0"/>
        <v>u=1% k=2x10^8</v>
      </c>
    </row>
    <row r="65" spans="1:58">
      <c r="A65" t="s">
        <v>282</v>
      </c>
      <c r="B65" t="s">
        <v>80</v>
      </c>
      <c r="C65">
        <v>72</v>
      </c>
      <c r="D65" t="s">
        <v>63</v>
      </c>
      <c r="E65" t="s">
        <v>59</v>
      </c>
      <c r="F65" t="s">
        <v>60</v>
      </c>
      <c r="G65">
        <v>60000</v>
      </c>
      <c r="H65">
        <v>0.5</v>
      </c>
      <c r="I65">
        <v>0.5</v>
      </c>
      <c r="J65">
        <v>0</v>
      </c>
      <c r="K65">
        <v>1</v>
      </c>
      <c r="L65">
        <v>2000000000</v>
      </c>
      <c r="M65">
        <v>190</v>
      </c>
      <c r="N65">
        <v>190</v>
      </c>
      <c r="O65">
        <v>190</v>
      </c>
      <c r="P65">
        <v>0</v>
      </c>
      <c r="Q65" t="s">
        <v>61</v>
      </c>
      <c r="R65">
        <v>1.00000355857554E+18</v>
      </c>
      <c r="S65">
        <v>999997622</v>
      </c>
      <c r="T65">
        <v>1.00000355857554E+18</v>
      </c>
      <c r="U65">
        <v>999997622</v>
      </c>
      <c r="V65" t="s">
        <v>70</v>
      </c>
      <c r="W65">
        <v>7</v>
      </c>
      <c r="X65">
        <v>104073401</v>
      </c>
      <c r="Y65">
        <v>1118505549</v>
      </c>
      <c r="Z65">
        <v>1222578950</v>
      </c>
      <c r="AA65">
        <v>999997622</v>
      </c>
      <c r="AB65">
        <v>11.747299999999999</v>
      </c>
      <c r="AC65">
        <v>0.89404799999999995</v>
      </c>
      <c r="AD65">
        <v>4.0402899999999997</v>
      </c>
      <c r="AE65">
        <v>26233501312</v>
      </c>
      <c r="AF65" t="s">
        <v>283</v>
      </c>
      <c r="AG65" t="s">
        <v>283</v>
      </c>
      <c r="AI65">
        <v>51230</v>
      </c>
      <c r="AP65">
        <v>8611021847</v>
      </c>
      <c r="AQ65">
        <v>0</v>
      </c>
      <c r="AR65">
        <v>86981573</v>
      </c>
      <c r="AS65">
        <v>8611021847</v>
      </c>
      <c r="AT65">
        <v>8698003420</v>
      </c>
      <c r="AU65">
        <v>143517030</v>
      </c>
      <c r="AV65">
        <v>0</v>
      </c>
      <c r="AW65">
        <v>1449692</v>
      </c>
      <c r="AX65">
        <v>143517030</v>
      </c>
      <c r="AY65">
        <v>144966723</v>
      </c>
      <c r="AZ65">
        <v>22.1996</v>
      </c>
      <c r="BA65">
        <v>14.1454</v>
      </c>
      <c r="BB65">
        <v>3648.71</v>
      </c>
      <c r="BC65">
        <v>2906.69</v>
      </c>
      <c r="BD65">
        <v>62224</v>
      </c>
      <c r="BE65">
        <v>9134</v>
      </c>
      <c r="BF65" t="str">
        <f t="shared" si="0"/>
        <v>u=1% k=2x10^9</v>
      </c>
    </row>
    <row r="66" spans="1:58">
      <c r="A66" t="s">
        <v>284</v>
      </c>
      <c r="B66" t="s">
        <v>80</v>
      </c>
      <c r="C66">
        <v>72</v>
      </c>
      <c r="D66" t="s">
        <v>63</v>
      </c>
      <c r="E66" t="s">
        <v>59</v>
      </c>
      <c r="F66" t="s">
        <v>60</v>
      </c>
      <c r="G66">
        <v>60000</v>
      </c>
      <c r="H66">
        <v>5</v>
      </c>
      <c r="I66">
        <v>5</v>
      </c>
      <c r="J66">
        <v>0</v>
      </c>
      <c r="K66">
        <v>1</v>
      </c>
      <c r="L66">
        <v>2000000</v>
      </c>
      <c r="M66">
        <v>190</v>
      </c>
      <c r="N66">
        <v>190</v>
      </c>
      <c r="O66">
        <v>190</v>
      </c>
      <c r="P66">
        <v>0</v>
      </c>
      <c r="Q66" t="s">
        <v>61</v>
      </c>
      <c r="R66">
        <v>1000353511462</v>
      </c>
      <c r="S66">
        <v>1000561</v>
      </c>
      <c r="T66">
        <v>1000353511462</v>
      </c>
      <c r="U66">
        <v>1000561</v>
      </c>
      <c r="V66" t="s">
        <v>70</v>
      </c>
      <c r="W66">
        <v>6</v>
      </c>
      <c r="X66">
        <v>52716</v>
      </c>
      <c r="Y66">
        <v>1072821</v>
      </c>
      <c r="Z66">
        <v>1125537</v>
      </c>
      <c r="AA66">
        <v>1000561</v>
      </c>
      <c r="AB66">
        <v>21.350999999999999</v>
      </c>
      <c r="AC66">
        <v>0.93264499999999995</v>
      </c>
      <c r="AD66">
        <v>3.04108</v>
      </c>
      <c r="AE66">
        <v>21401232</v>
      </c>
      <c r="AF66" t="s">
        <v>285</v>
      </c>
      <c r="AG66" t="s">
        <v>286</v>
      </c>
      <c r="AH66">
        <v>15642512</v>
      </c>
      <c r="AI66">
        <v>100182</v>
      </c>
      <c r="AP66">
        <v>13172455597</v>
      </c>
      <c r="AQ66">
        <v>0</v>
      </c>
      <c r="AR66">
        <v>1463693239</v>
      </c>
      <c r="AS66">
        <v>13172455597</v>
      </c>
      <c r="AT66">
        <v>14636148836</v>
      </c>
      <c r="AU66">
        <v>219540926</v>
      </c>
      <c r="AV66">
        <v>0</v>
      </c>
      <c r="AW66">
        <v>24394887</v>
      </c>
      <c r="AX66">
        <v>219540926</v>
      </c>
      <c r="AY66">
        <v>243935813</v>
      </c>
      <c r="AZ66">
        <v>12.334300000000001</v>
      </c>
      <c r="BA66">
        <v>3.1441599999999998</v>
      </c>
      <c r="BB66">
        <v>2156.46</v>
      </c>
      <c r="BC66">
        <v>1324</v>
      </c>
      <c r="BD66">
        <v>1672</v>
      </c>
      <c r="BE66">
        <v>390</v>
      </c>
      <c r="BF66" t="str">
        <f t="shared" si="0"/>
        <v>u=10% k=2x10^6</v>
      </c>
    </row>
    <row r="67" spans="1:58">
      <c r="A67" t="s">
        <v>287</v>
      </c>
      <c r="B67" t="s">
        <v>80</v>
      </c>
      <c r="C67">
        <v>72</v>
      </c>
      <c r="D67" t="s">
        <v>63</v>
      </c>
      <c r="E67" t="s">
        <v>59</v>
      </c>
      <c r="F67" t="s">
        <v>60</v>
      </c>
      <c r="G67">
        <v>60000</v>
      </c>
      <c r="H67">
        <v>5</v>
      </c>
      <c r="I67">
        <v>5</v>
      </c>
      <c r="J67">
        <v>0</v>
      </c>
      <c r="K67">
        <v>1</v>
      </c>
      <c r="L67">
        <v>20000000</v>
      </c>
      <c r="M67">
        <v>190</v>
      </c>
      <c r="N67">
        <v>190</v>
      </c>
      <c r="O67">
        <v>190</v>
      </c>
      <c r="P67">
        <v>0</v>
      </c>
      <c r="Q67" t="s">
        <v>61</v>
      </c>
      <c r="R67">
        <v>100012205117312</v>
      </c>
      <c r="S67">
        <v>10002217</v>
      </c>
      <c r="T67">
        <v>100012205117312</v>
      </c>
      <c r="U67">
        <v>10002217</v>
      </c>
      <c r="V67" t="s">
        <v>70</v>
      </c>
      <c r="W67">
        <v>7</v>
      </c>
      <c r="X67">
        <v>1799849</v>
      </c>
      <c r="Y67">
        <v>11806100</v>
      </c>
      <c r="Z67">
        <v>13605949</v>
      </c>
      <c r="AA67">
        <v>10002217</v>
      </c>
      <c r="AB67">
        <v>7.5594900000000003</v>
      </c>
      <c r="AC67">
        <v>0.84720799999999996</v>
      </c>
      <c r="AD67">
        <v>4.0355800000000004</v>
      </c>
      <c r="AE67">
        <v>332889296</v>
      </c>
      <c r="AF67" t="s">
        <v>288</v>
      </c>
      <c r="AG67" t="s">
        <v>289</v>
      </c>
      <c r="AH67">
        <v>1684197</v>
      </c>
      <c r="AI67">
        <v>72484</v>
      </c>
      <c r="AP67">
        <v>9896413852</v>
      </c>
      <c r="AQ67">
        <v>0</v>
      </c>
      <c r="AR67">
        <v>1099566394</v>
      </c>
      <c r="AS67">
        <v>9896413852</v>
      </c>
      <c r="AT67">
        <v>10995980246</v>
      </c>
      <c r="AU67">
        <v>164940230</v>
      </c>
      <c r="AV67">
        <v>0</v>
      </c>
      <c r="AW67">
        <v>18326106</v>
      </c>
      <c r="AX67">
        <v>164940230</v>
      </c>
      <c r="AY67">
        <v>183266337</v>
      </c>
      <c r="AZ67">
        <v>19.265999999999998</v>
      </c>
      <c r="BA67">
        <v>8.5622900000000008</v>
      </c>
      <c r="BB67">
        <v>2828.66</v>
      </c>
      <c r="BC67">
        <v>1900.5</v>
      </c>
      <c r="BD67">
        <v>2881</v>
      </c>
      <c r="BE67">
        <v>424</v>
      </c>
      <c r="BF67" t="str">
        <f t="shared" ref="BF67:BF73" si="1">"u="&amp;(H67+I67)&amp;"% k=2x10^"&amp;LOG10(L67/2)</f>
        <v>u=10% k=2x10^7</v>
      </c>
    </row>
    <row r="68" spans="1:58">
      <c r="A68" t="s">
        <v>290</v>
      </c>
      <c r="B68" t="s">
        <v>80</v>
      </c>
      <c r="C68">
        <v>72</v>
      </c>
      <c r="D68" t="s">
        <v>63</v>
      </c>
      <c r="E68" t="s">
        <v>59</v>
      </c>
      <c r="F68" t="s">
        <v>60</v>
      </c>
      <c r="G68">
        <v>60000</v>
      </c>
      <c r="H68">
        <v>5</v>
      </c>
      <c r="I68">
        <v>5</v>
      </c>
      <c r="J68">
        <v>0</v>
      </c>
      <c r="K68">
        <v>1</v>
      </c>
      <c r="L68">
        <v>200000000</v>
      </c>
      <c r="M68">
        <v>190</v>
      </c>
      <c r="N68">
        <v>190</v>
      </c>
      <c r="O68">
        <v>190</v>
      </c>
      <c r="P68">
        <v>0</v>
      </c>
      <c r="Q68" t="s">
        <v>61</v>
      </c>
      <c r="R68">
        <v>9998860108340620</v>
      </c>
      <c r="S68">
        <v>99986418</v>
      </c>
      <c r="T68">
        <v>9998860108340620</v>
      </c>
      <c r="U68">
        <v>99986418</v>
      </c>
      <c r="V68" t="s">
        <v>70</v>
      </c>
      <c r="W68">
        <v>7</v>
      </c>
      <c r="X68">
        <v>14469085</v>
      </c>
      <c r="Y68">
        <v>117195681</v>
      </c>
      <c r="Z68">
        <v>131664766</v>
      </c>
      <c r="AA68">
        <v>99986418</v>
      </c>
      <c r="AB68">
        <v>9.0997299999999992</v>
      </c>
      <c r="AC68">
        <v>0.85315799999999997</v>
      </c>
      <c r="AD68">
        <v>4.0698100000000004</v>
      </c>
      <c r="AE68">
        <v>3036453280</v>
      </c>
      <c r="AF68" t="s">
        <v>291</v>
      </c>
      <c r="AG68" t="s">
        <v>292</v>
      </c>
      <c r="AH68">
        <v>261935</v>
      </c>
      <c r="AI68">
        <v>35190</v>
      </c>
      <c r="AP68">
        <v>7582729922</v>
      </c>
      <c r="AQ68">
        <v>0</v>
      </c>
      <c r="AR68">
        <v>842531111</v>
      </c>
      <c r="AS68">
        <v>7582729922</v>
      </c>
      <c r="AT68">
        <v>8425261033</v>
      </c>
      <c r="AU68">
        <v>126378832</v>
      </c>
      <c r="AV68">
        <v>0</v>
      </c>
      <c r="AW68">
        <v>14042185</v>
      </c>
      <c r="AX68">
        <v>126378832</v>
      </c>
      <c r="AY68">
        <v>140421017</v>
      </c>
      <c r="AZ68">
        <v>22.281600000000001</v>
      </c>
      <c r="BA68">
        <v>11.3833</v>
      </c>
      <c r="BB68">
        <v>3455.22</v>
      </c>
      <c r="BC68">
        <v>2581.85</v>
      </c>
      <c r="BD68">
        <v>14293</v>
      </c>
      <c r="BE68">
        <v>1150</v>
      </c>
      <c r="BF68" t="str">
        <f t="shared" si="1"/>
        <v>u=10% k=2x10^8</v>
      </c>
    </row>
    <row r="69" spans="1:58">
      <c r="A69" t="s">
        <v>293</v>
      </c>
      <c r="B69" t="s">
        <v>80</v>
      </c>
      <c r="C69">
        <v>72</v>
      </c>
      <c r="D69" t="s">
        <v>63</v>
      </c>
      <c r="E69" t="s">
        <v>59</v>
      </c>
      <c r="F69" t="s">
        <v>60</v>
      </c>
      <c r="G69">
        <v>60000</v>
      </c>
      <c r="H69">
        <v>5</v>
      </c>
      <c r="I69">
        <v>5</v>
      </c>
      <c r="J69">
        <v>0</v>
      </c>
      <c r="K69">
        <v>1</v>
      </c>
      <c r="L69">
        <v>2000000000</v>
      </c>
      <c r="M69">
        <v>190</v>
      </c>
      <c r="N69">
        <v>190</v>
      </c>
      <c r="O69">
        <v>190</v>
      </c>
      <c r="P69">
        <v>0</v>
      </c>
      <c r="Q69" t="s">
        <v>61</v>
      </c>
      <c r="R69">
        <v>9.9998447764319206E+17</v>
      </c>
      <c r="S69">
        <v>999974309</v>
      </c>
      <c r="T69">
        <v>9.9998447764319206E+17</v>
      </c>
      <c r="U69">
        <v>999974309</v>
      </c>
      <c r="V69" t="s">
        <v>70</v>
      </c>
      <c r="W69">
        <v>7</v>
      </c>
      <c r="X69">
        <v>116832484</v>
      </c>
      <c r="Y69">
        <v>1145160518</v>
      </c>
      <c r="Z69">
        <v>1261993002</v>
      </c>
      <c r="AA69">
        <v>999974309</v>
      </c>
      <c r="AB69">
        <v>10.8017</v>
      </c>
      <c r="AC69">
        <v>0.87321800000000005</v>
      </c>
      <c r="AD69">
        <v>4.0676100000000002</v>
      </c>
      <c r="AE69">
        <v>27700614336</v>
      </c>
      <c r="AF69" t="s">
        <v>294</v>
      </c>
      <c r="AG69" t="s">
        <v>295</v>
      </c>
      <c r="AH69">
        <v>31479</v>
      </c>
      <c r="AI69">
        <v>34776</v>
      </c>
      <c r="AP69">
        <v>6004561212</v>
      </c>
      <c r="AQ69">
        <v>0</v>
      </c>
      <c r="AR69">
        <v>667202120</v>
      </c>
      <c r="AS69">
        <v>6004561212</v>
      </c>
      <c r="AT69">
        <v>6671763332</v>
      </c>
      <c r="AU69">
        <v>100076020</v>
      </c>
      <c r="AV69">
        <v>0</v>
      </c>
      <c r="AW69">
        <v>11120035</v>
      </c>
      <c r="AX69">
        <v>100076020</v>
      </c>
      <c r="AY69">
        <v>111196055</v>
      </c>
      <c r="AZ69">
        <v>24.744499999999999</v>
      </c>
      <c r="BA69">
        <v>15.712300000000001</v>
      </c>
      <c r="BB69">
        <v>4492.4799999999996</v>
      </c>
      <c r="BC69">
        <v>3626.52</v>
      </c>
      <c r="BD69">
        <v>119818</v>
      </c>
      <c r="BE69">
        <v>9173</v>
      </c>
      <c r="BF69" t="str">
        <f t="shared" si="1"/>
        <v>u=10% k=2x10^9</v>
      </c>
    </row>
    <row r="70" spans="1:58">
      <c r="A70" t="s">
        <v>296</v>
      </c>
      <c r="B70" t="s">
        <v>80</v>
      </c>
      <c r="C70">
        <v>72</v>
      </c>
      <c r="D70" t="s">
        <v>63</v>
      </c>
      <c r="E70" t="s">
        <v>59</v>
      </c>
      <c r="F70" t="s">
        <v>60</v>
      </c>
      <c r="G70">
        <v>60000</v>
      </c>
      <c r="H70">
        <v>20</v>
      </c>
      <c r="I70">
        <v>20</v>
      </c>
      <c r="J70">
        <v>0</v>
      </c>
      <c r="K70">
        <v>1</v>
      </c>
      <c r="L70">
        <v>2000000</v>
      </c>
      <c r="M70">
        <v>190</v>
      </c>
      <c r="N70">
        <v>190</v>
      </c>
      <c r="O70">
        <v>190</v>
      </c>
      <c r="P70">
        <v>0</v>
      </c>
      <c r="Q70" t="s">
        <v>61</v>
      </c>
      <c r="R70">
        <v>1000373116178</v>
      </c>
      <c r="S70">
        <v>1000025</v>
      </c>
      <c r="T70">
        <v>1000373116178</v>
      </c>
      <c r="U70">
        <v>1000025</v>
      </c>
      <c r="V70" t="s">
        <v>70</v>
      </c>
      <c r="W70">
        <v>6</v>
      </c>
      <c r="X70">
        <v>54109</v>
      </c>
      <c r="Y70">
        <v>1074978</v>
      </c>
      <c r="Z70">
        <v>1129087</v>
      </c>
      <c r="AA70">
        <v>1000025</v>
      </c>
      <c r="AB70">
        <v>20.866900000000001</v>
      </c>
      <c r="AC70">
        <v>0.93027499999999996</v>
      </c>
      <c r="AD70">
        <v>3.04406</v>
      </c>
      <c r="AE70">
        <v>21548336</v>
      </c>
      <c r="AF70" t="s">
        <v>297</v>
      </c>
      <c r="AG70" t="s">
        <v>298</v>
      </c>
      <c r="AH70">
        <v>48335815</v>
      </c>
      <c r="AI70">
        <v>42078</v>
      </c>
      <c r="AP70">
        <v>3476629744</v>
      </c>
      <c r="AQ70">
        <v>0</v>
      </c>
      <c r="AR70">
        <v>2317713284</v>
      </c>
      <c r="AS70">
        <v>3476629744</v>
      </c>
      <c r="AT70">
        <v>5794343028</v>
      </c>
      <c r="AU70">
        <v>57943829</v>
      </c>
      <c r="AV70">
        <v>0</v>
      </c>
      <c r="AW70">
        <v>38628554</v>
      </c>
      <c r="AX70">
        <v>57943829</v>
      </c>
      <c r="AY70">
        <v>96572383</v>
      </c>
      <c r="AZ70">
        <v>24.9026</v>
      </c>
      <c r="BA70">
        <v>11.872</v>
      </c>
      <c r="BB70">
        <v>5473.69</v>
      </c>
      <c r="BC70">
        <v>4186.91</v>
      </c>
      <c r="BD70">
        <v>1869</v>
      </c>
      <c r="BE70">
        <v>422</v>
      </c>
      <c r="BF70" t="str">
        <f t="shared" si="1"/>
        <v>u=40% k=2x10^6</v>
      </c>
    </row>
    <row r="71" spans="1:58">
      <c r="A71" t="s">
        <v>299</v>
      </c>
      <c r="B71" t="s">
        <v>80</v>
      </c>
      <c r="C71">
        <v>72</v>
      </c>
      <c r="D71" t="s">
        <v>63</v>
      </c>
      <c r="E71" t="s">
        <v>59</v>
      </c>
      <c r="F71" t="s">
        <v>60</v>
      </c>
      <c r="G71">
        <v>60000</v>
      </c>
      <c r="H71">
        <v>20</v>
      </c>
      <c r="I71">
        <v>20</v>
      </c>
      <c r="J71">
        <v>0</v>
      </c>
      <c r="K71">
        <v>1</v>
      </c>
      <c r="L71">
        <v>20000000</v>
      </c>
      <c r="M71">
        <v>190</v>
      </c>
      <c r="N71">
        <v>190</v>
      </c>
      <c r="O71">
        <v>190</v>
      </c>
      <c r="P71">
        <v>0</v>
      </c>
      <c r="Q71" t="s">
        <v>61</v>
      </c>
      <c r="R71">
        <v>100008559253363</v>
      </c>
      <c r="S71">
        <v>10000843</v>
      </c>
      <c r="T71">
        <v>100008559253363</v>
      </c>
      <c r="U71">
        <v>10000843</v>
      </c>
      <c r="V71" t="s">
        <v>70</v>
      </c>
      <c r="W71">
        <v>7</v>
      </c>
      <c r="X71">
        <v>1897773</v>
      </c>
      <c r="Y71">
        <v>12017479</v>
      </c>
      <c r="Z71">
        <v>13915252</v>
      </c>
      <c r="AA71">
        <v>10000843</v>
      </c>
      <c r="AB71">
        <v>7.3324100000000003</v>
      </c>
      <c r="AC71">
        <v>0.83219100000000001</v>
      </c>
      <c r="AD71">
        <v>4.0543199999999997</v>
      </c>
      <c r="AE71">
        <v>344137408</v>
      </c>
      <c r="AF71" t="s">
        <v>300</v>
      </c>
      <c r="AG71" t="s">
        <v>301</v>
      </c>
      <c r="AH71">
        <v>5902396</v>
      </c>
      <c r="AI71">
        <v>44550</v>
      </c>
      <c r="AP71">
        <v>3491696147</v>
      </c>
      <c r="AQ71">
        <v>0</v>
      </c>
      <c r="AR71">
        <v>2327823926</v>
      </c>
      <c r="AS71">
        <v>3491696147</v>
      </c>
      <c r="AT71">
        <v>5819520073</v>
      </c>
      <c r="AU71">
        <v>58194935</v>
      </c>
      <c r="AV71">
        <v>0</v>
      </c>
      <c r="AW71">
        <v>38797065</v>
      </c>
      <c r="AX71">
        <v>58194935</v>
      </c>
      <c r="AY71">
        <v>96992001</v>
      </c>
      <c r="AZ71">
        <v>28.6158</v>
      </c>
      <c r="BA71">
        <v>15.3049</v>
      </c>
      <c r="BB71">
        <v>5289.33</v>
      </c>
      <c r="BC71">
        <v>3638.22</v>
      </c>
      <c r="BD71">
        <v>2959</v>
      </c>
      <c r="BE71">
        <v>375</v>
      </c>
      <c r="BF71" t="str">
        <f t="shared" si="1"/>
        <v>u=40% k=2x10^7</v>
      </c>
    </row>
    <row r="72" spans="1:58">
      <c r="A72" t="s">
        <v>302</v>
      </c>
      <c r="B72" t="s">
        <v>80</v>
      </c>
      <c r="C72">
        <v>72</v>
      </c>
      <c r="D72" t="s">
        <v>63</v>
      </c>
      <c r="E72" t="s">
        <v>59</v>
      </c>
      <c r="F72" t="s">
        <v>60</v>
      </c>
      <c r="G72">
        <v>60000</v>
      </c>
      <c r="H72">
        <v>20</v>
      </c>
      <c r="I72">
        <v>20</v>
      </c>
      <c r="J72">
        <v>0</v>
      </c>
      <c r="K72">
        <v>1</v>
      </c>
      <c r="L72">
        <v>200000000</v>
      </c>
      <c r="M72">
        <v>190</v>
      </c>
      <c r="N72">
        <v>190</v>
      </c>
      <c r="O72">
        <v>190</v>
      </c>
      <c r="P72">
        <v>0</v>
      </c>
      <c r="Q72" t="s">
        <v>61</v>
      </c>
      <c r="R72">
        <v>9999908193816980</v>
      </c>
      <c r="S72">
        <v>99992765</v>
      </c>
      <c r="T72">
        <v>9999908193816980</v>
      </c>
      <c r="U72">
        <v>99992765</v>
      </c>
      <c r="V72" t="s">
        <v>70</v>
      </c>
      <c r="W72">
        <v>7</v>
      </c>
      <c r="X72">
        <v>11775063</v>
      </c>
      <c r="Y72">
        <v>111531759</v>
      </c>
      <c r="Z72">
        <v>123306822</v>
      </c>
      <c r="AA72">
        <v>99992765</v>
      </c>
      <c r="AB72">
        <v>10.4719</v>
      </c>
      <c r="AC72">
        <v>0.89654100000000003</v>
      </c>
      <c r="AD72">
        <v>4.01546</v>
      </c>
      <c r="AE72">
        <v>2726684624</v>
      </c>
      <c r="AF72" t="s">
        <v>303</v>
      </c>
      <c r="AG72" t="s">
        <v>304</v>
      </c>
      <c r="AH72">
        <v>984522</v>
      </c>
      <c r="AI72">
        <v>24316</v>
      </c>
      <c r="AP72">
        <v>2929625778</v>
      </c>
      <c r="AQ72">
        <v>0</v>
      </c>
      <c r="AR72">
        <v>1953088962</v>
      </c>
      <c r="AS72">
        <v>2929625778</v>
      </c>
      <c r="AT72">
        <v>4882714740</v>
      </c>
      <c r="AU72">
        <v>48827096</v>
      </c>
      <c r="AV72">
        <v>0</v>
      </c>
      <c r="AW72">
        <v>32551482</v>
      </c>
      <c r="AX72">
        <v>48827096</v>
      </c>
      <c r="AY72">
        <v>81378579</v>
      </c>
      <c r="AZ72">
        <v>31.7241</v>
      </c>
      <c r="BA72">
        <v>17.714700000000001</v>
      </c>
      <c r="BB72">
        <v>5828.88</v>
      </c>
      <c r="BC72">
        <v>4362.43</v>
      </c>
      <c r="BD72">
        <v>14454</v>
      </c>
      <c r="BE72">
        <v>1096</v>
      </c>
      <c r="BF72" t="str">
        <f t="shared" si="1"/>
        <v>u=40% k=2x10^8</v>
      </c>
    </row>
    <row r="73" spans="1:58">
      <c r="A73" t="s">
        <v>305</v>
      </c>
      <c r="B73" t="s">
        <v>80</v>
      </c>
      <c r="C73">
        <v>72</v>
      </c>
      <c r="D73" t="s">
        <v>63</v>
      </c>
      <c r="E73" t="s">
        <v>59</v>
      </c>
      <c r="F73" t="s">
        <v>60</v>
      </c>
      <c r="G73">
        <v>60000</v>
      </c>
      <c r="H73">
        <v>20</v>
      </c>
      <c r="I73">
        <v>20</v>
      </c>
      <c r="J73">
        <v>0</v>
      </c>
      <c r="K73">
        <v>1</v>
      </c>
      <c r="L73">
        <v>2000000000</v>
      </c>
      <c r="M73">
        <v>190</v>
      </c>
      <c r="N73">
        <v>190</v>
      </c>
      <c r="O73">
        <v>190</v>
      </c>
      <c r="P73">
        <v>0</v>
      </c>
      <c r="Q73" t="s">
        <v>61</v>
      </c>
      <c r="R73">
        <v>9.9999182849498496E+17</v>
      </c>
      <c r="S73">
        <v>999996469</v>
      </c>
      <c r="T73">
        <v>9.9999182849498496E+17</v>
      </c>
      <c r="U73">
        <v>999996469</v>
      </c>
      <c r="V73" t="s">
        <v>70</v>
      </c>
      <c r="W73">
        <v>7</v>
      </c>
      <c r="X73">
        <v>124967086</v>
      </c>
      <c r="Y73">
        <v>1163019476</v>
      </c>
      <c r="Z73">
        <v>1287986562</v>
      </c>
      <c r="AA73">
        <v>999996469</v>
      </c>
      <c r="AB73">
        <v>10.3066</v>
      </c>
      <c r="AC73">
        <v>0.85982800000000004</v>
      </c>
      <c r="AD73">
        <v>4.08561</v>
      </c>
      <c r="AE73">
        <v>28656788208</v>
      </c>
      <c r="AF73" t="s">
        <v>306</v>
      </c>
      <c r="AG73" t="s">
        <v>307</v>
      </c>
      <c r="AH73">
        <v>145821</v>
      </c>
      <c r="AI73">
        <v>23428</v>
      </c>
      <c r="AP73">
        <v>2634108670</v>
      </c>
      <c r="AQ73">
        <v>0</v>
      </c>
      <c r="AR73">
        <v>1756138126</v>
      </c>
      <c r="AS73">
        <v>2634108670</v>
      </c>
      <c r="AT73">
        <v>4390246796</v>
      </c>
      <c r="AU73">
        <v>43901811</v>
      </c>
      <c r="AV73">
        <v>0</v>
      </c>
      <c r="AW73">
        <v>29268968</v>
      </c>
      <c r="AX73">
        <v>43901811</v>
      </c>
      <c r="AY73">
        <v>73170779</v>
      </c>
      <c r="AZ73">
        <v>33.0289</v>
      </c>
      <c r="BA73">
        <v>21.4877</v>
      </c>
      <c r="BB73">
        <v>6168.91</v>
      </c>
      <c r="BC73">
        <v>4932.42</v>
      </c>
      <c r="BD73">
        <v>120721</v>
      </c>
      <c r="BE73">
        <v>8979</v>
      </c>
      <c r="BF73" t="str">
        <f t="shared" si="1"/>
        <v>u=40% k=2x10^9</v>
      </c>
    </row>
  </sheetData>
  <pageMargins left="0.7" right="0.7" top="0.75" bottom="0.75" header="0.3" footer="0.3"/>
  <pageSetup paperSize="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39"/>
  <sheetViews>
    <sheetView tabSelected="1"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Z2" s="2" t="s">
        <v>0</v>
      </c>
      <c r="AA2" t="s">
        <v>65</v>
      </c>
    </row>
    <row r="3" spans="1:27">
      <c r="Z3" s="2"/>
    </row>
    <row r="4" spans="1:27">
      <c r="A4" s="6" t="s">
        <v>62</v>
      </c>
      <c r="B4" s="6" t="s">
        <v>18</v>
      </c>
      <c r="Z4" s="2"/>
    </row>
    <row r="5" spans="1:27">
      <c r="A5" s="6" t="s">
        <v>19</v>
      </c>
      <c r="B5" t="s">
        <v>79</v>
      </c>
      <c r="C5" t="s">
        <v>80</v>
      </c>
      <c r="Z5" s="2"/>
    </row>
    <row r="6" spans="1:27">
      <c r="A6" s="7" t="s">
        <v>310</v>
      </c>
      <c r="B6" s="8">
        <v>20833924.333333332</v>
      </c>
      <c r="C6" s="8">
        <v>73030755</v>
      </c>
      <c r="N6" s="2"/>
    </row>
    <row r="7" spans="1:27">
      <c r="A7" s="7" t="s">
        <v>83</v>
      </c>
      <c r="B7" s="8">
        <v>8201474.333333333</v>
      </c>
      <c r="C7" s="8">
        <v>82669118</v>
      </c>
    </row>
    <row r="8" spans="1:27">
      <c r="A8" s="7" t="s">
        <v>84</v>
      </c>
      <c r="B8" s="8">
        <v>7987038.666666667</v>
      </c>
      <c r="C8" s="8">
        <v>97007604</v>
      </c>
      <c r="N8" s="2"/>
    </row>
    <row r="9" spans="1:27">
      <c r="A9" s="7" t="s">
        <v>85</v>
      </c>
      <c r="B9" s="8">
        <v>14845361.333333334</v>
      </c>
      <c r="C9" s="8">
        <v>96601393.666666672</v>
      </c>
    </row>
    <row r="10" spans="1:27">
      <c r="A10" s="7" t="s">
        <v>309</v>
      </c>
      <c r="B10" s="8">
        <v>83334201.333333328</v>
      </c>
      <c r="C10" s="8">
        <v>110766010.66666667</v>
      </c>
    </row>
    <row r="11" spans="1:27">
      <c r="A11" s="7" t="s">
        <v>86</v>
      </c>
      <c r="B11" s="8">
        <v>32751076.666666668</v>
      </c>
      <c r="C11" s="8">
        <v>140140543</v>
      </c>
    </row>
    <row r="12" spans="1:27">
      <c r="A12" s="7" t="s">
        <v>87</v>
      </c>
      <c r="B12" s="8">
        <v>31868253</v>
      </c>
      <c r="C12" s="8">
        <v>183407620.33333334</v>
      </c>
    </row>
    <row r="13" spans="1:27">
      <c r="A13" s="7" t="s">
        <v>88</v>
      </c>
      <c r="B13" s="8">
        <v>68943024</v>
      </c>
      <c r="C13" s="8">
        <v>244319224</v>
      </c>
      <c r="O13" s="3"/>
    </row>
    <row r="14" spans="1:27">
      <c r="A14" s="7" t="s">
        <v>308</v>
      </c>
      <c r="B14" s="8">
        <v>145513769.66666666</v>
      </c>
      <c r="C14" s="8">
        <v>145190895</v>
      </c>
      <c r="Z14" s="2"/>
    </row>
    <row r="15" spans="1:27">
      <c r="A15" s="7" t="s">
        <v>89</v>
      </c>
      <c r="B15" s="8">
        <v>160606290.33333334</v>
      </c>
      <c r="C15" s="8">
        <v>189829132.33333334</v>
      </c>
    </row>
    <row r="16" spans="1:27">
      <c r="A16" s="7" t="s">
        <v>90</v>
      </c>
      <c r="B16" s="8">
        <v>172508973</v>
      </c>
      <c r="C16" s="8">
        <v>250678484.66666666</v>
      </c>
    </row>
    <row r="17" spans="1:6">
      <c r="A17" s="7" t="s">
        <v>91</v>
      </c>
      <c r="B17" s="8">
        <v>296242582.33333331</v>
      </c>
      <c r="C17" s="8">
        <v>421984946</v>
      </c>
    </row>
    <row r="20" spans="1:6">
      <c r="B20" t="s">
        <v>81</v>
      </c>
      <c r="C20" t="s">
        <v>82</v>
      </c>
    </row>
    <row r="21" spans="1:6">
      <c r="A21" t="str">
        <f>A6</f>
        <v>u=40% k=2x10^9</v>
      </c>
      <c r="B21" s="8">
        <f t="shared" ref="B21:C21" si="0">B6</f>
        <v>20833924.333333332</v>
      </c>
      <c r="C21" s="8">
        <f t="shared" si="0"/>
        <v>73030755</v>
      </c>
      <c r="D21" s="8"/>
      <c r="E21" s="8"/>
      <c r="F21" s="8"/>
    </row>
    <row r="22" spans="1:6">
      <c r="A22" t="str">
        <f t="shared" ref="A22:C25" si="1">A7</f>
        <v>u=40% k=2x10^8</v>
      </c>
      <c r="B22" s="8">
        <f t="shared" ref="B22:C22" si="2">B7</f>
        <v>8201474.333333333</v>
      </c>
      <c r="C22" s="8">
        <f t="shared" si="2"/>
        <v>82669118</v>
      </c>
      <c r="D22" s="8"/>
      <c r="E22" s="8"/>
      <c r="F22" s="8"/>
    </row>
    <row r="23" spans="1:6">
      <c r="A23" t="str">
        <f t="shared" si="1"/>
        <v>u=40% k=2x10^7</v>
      </c>
      <c r="B23" s="8">
        <f t="shared" ref="B23:C23" si="3">B8</f>
        <v>7987038.666666667</v>
      </c>
      <c r="C23" s="8">
        <f t="shared" si="3"/>
        <v>97007604</v>
      </c>
      <c r="D23" s="8"/>
      <c r="E23" s="8"/>
      <c r="F23" s="8"/>
    </row>
    <row r="24" spans="1:6">
      <c r="A24" t="str">
        <f t="shared" si="1"/>
        <v>u=40% k=2x10^6</v>
      </c>
      <c r="B24" s="8">
        <f t="shared" si="1"/>
        <v>14845361.333333334</v>
      </c>
      <c r="C24" s="8">
        <f t="shared" si="1"/>
        <v>96601393.666666672</v>
      </c>
      <c r="D24" s="8"/>
      <c r="E24" s="8"/>
      <c r="F24" s="8"/>
    </row>
    <row r="25" spans="1:6">
      <c r="A25" t="str">
        <f t="shared" si="1"/>
        <v>u=10% k=2x10^9</v>
      </c>
      <c r="B25" s="8">
        <f t="shared" si="1"/>
        <v>83334201.333333328</v>
      </c>
      <c r="C25" s="8">
        <f t="shared" si="1"/>
        <v>110766010.66666667</v>
      </c>
      <c r="D25" s="8"/>
      <c r="E25" s="8"/>
      <c r="F25" s="8"/>
    </row>
    <row r="26" spans="1:6">
      <c r="A26" t="str">
        <f t="shared" ref="A26:C26" si="4">A11</f>
        <v>u=10% k=2x10^8</v>
      </c>
      <c r="B26" s="8">
        <f t="shared" si="4"/>
        <v>32751076.666666668</v>
      </c>
      <c r="C26" s="8">
        <f t="shared" si="4"/>
        <v>140140543</v>
      </c>
      <c r="D26" s="8"/>
    </row>
    <row r="27" spans="1:6">
      <c r="A27" t="str">
        <f t="shared" ref="A27:C27" si="5">A12</f>
        <v>u=10% k=2x10^7</v>
      </c>
      <c r="B27" s="8">
        <f t="shared" si="5"/>
        <v>31868253</v>
      </c>
      <c r="C27" s="8">
        <f t="shared" si="5"/>
        <v>183407620.33333334</v>
      </c>
      <c r="D27" s="8"/>
    </row>
    <row r="28" spans="1:6">
      <c r="A28" t="str">
        <f t="shared" ref="A28:C28" si="6">A13</f>
        <v>u=10% k=2x10^6</v>
      </c>
      <c r="B28" s="8">
        <f t="shared" si="6"/>
        <v>68943024</v>
      </c>
      <c r="C28" s="8">
        <f t="shared" si="6"/>
        <v>244319224</v>
      </c>
      <c r="D28" s="8"/>
    </row>
    <row r="29" spans="1:6">
      <c r="A29" t="str">
        <f t="shared" ref="A29:C29" si="7">A14</f>
        <v>u=1% k=2x10^9</v>
      </c>
      <c r="B29" s="8">
        <f t="shared" si="7"/>
        <v>145513769.66666666</v>
      </c>
      <c r="C29" s="8">
        <f t="shared" si="7"/>
        <v>145190895</v>
      </c>
      <c r="D29" s="8"/>
    </row>
    <row r="30" spans="1:6">
      <c r="A30" t="str">
        <f t="shared" ref="A30:C30" si="8">A15</f>
        <v>u=1% k=2x10^8</v>
      </c>
      <c r="B30" s="8">
        <f t="shared" si="8"/>
        <v>160606290.33333334</v>
      </c>
      <c r="C30" s="8">
        <f t="shared" si="8"/>
        <v>189829132.33333334</v>
      </c>
      <c r="D30" s="8"/>
    </row>
    <row r="31" spans="1:6">
      <c r="A31" t="str">
        <f t="shared" ref="A31:C31" si="9">A16</f>
        <v>u=1% k=2x10^7</v>
      </c>
      <c r="B31" s="8">
        <f t="shared" si="9"/>
        <v>172508973</v>
      </c>
      <c r="C31" s="8">
        <f t="shared" si="9"/>
        <v>250678484.66666666</v>
      </c>
      <c r="D31" s="8"/>
    </row>
    <row r="32" spans="1:6">
      <c r="A32" t="str">
        <f t="shared" ref="A32:C32" si="10">A17</f>
        <v>u=1% k=2x10^6</v>
      </c>
      <c r="B32" s="8">
        <f t="shared" si="10"/>
        <v>296242582.33333331</v>
      </c>
      <c r="C32" s="8">
        <f t="shared" si="10"/>
        <v>421984946</v>
      </c>
      <c r="D32" s="8"/>
    </row>
    <row r="33" spans="2:4">
      <c r="B33" s="8"/>
      <c r="C33" s="8"/>
      <c r="D33" s="8"/>
    </row>
    <row r="34" spans="2:4">
      <c r="B34" s="8"/>
      <c r="C34" s="8"/>
      <c r="D34" s="8"/>
    </row>
    <row r="35" spans="2:4">
      <c r="B35" s="8"/>
      <c r="C35" s="8"/>
      <c r="D35" s="8"/>
    </row>
    <row r="36" spans="2:4">
      <c r="B36" s="8"/>
      <c r="C36" s="8"/>
      <c r="D36" s="8"/>
    </row>
    <row r="37" spans="2:4">
      <c r="B37" s="8"/>
      <c r="C37" s="8"/>
      <c r="D37" s="8"/>
    </row>
    <row r="38" spans="2:4">
      <c r="B38" s="8"/>
      <c r="C38" s="8"/>
      <c r="D38" s="8"/>
    </row>
    <row r="39" spans="2:4">
      <c r="B39" s="8"/>
      <c r="C39" s="8"/>
      <c r="D39" s="8"/>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instructions</vt:lpstr>
      <vt:lpstr>data</vt:lpstr>
      <vt:lpstr>pivot</vt:lpstr>
      <vt:lpstr>data!ExternalData_11</vt:lpstr>
      <vt:lpstr>data!ExternalData_12</vt:lpstr>
      <vt:lpstr>data!ExternalData_13</vt:lpstr>
      <vt:lpstr>data!ExternalData_14</vt:lpstr>
      <vt:lpstr>data!ExternalData_15</vt:lpstr>
      <vt:lpstr>data!ExternalData_16</vt:lpstr>
      <vt:lpstr>data!ExternalData_17</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2019-06-18T17:53:44Z</dcterms:modified>
</cp:coreProperties>
</file>