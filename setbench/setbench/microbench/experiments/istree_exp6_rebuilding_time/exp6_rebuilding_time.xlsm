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35brown\Documents\bitbucket\setbench\microbench\experiments\istree_exp6_rebuilding_time\"/>
    </mc:Choice>
  </mc:AlternateContent>
  <bookViews>
    <workbookView xWindow="0" yWindow="0" windowWidth="28054" windowHeight="11811" activeTab="2"/>
  </bookViews>
  <sheets>
    <sheet name="instructions" sheetId="3" r:id="rId1"/>
    <sheet name="data" sheetId="2" r:id="rId2"/>
    <sheet name="time_breakdown" sheetId="4" r:id="rId3"/>
    <sheet name="rebuild_counts" sheetId="5" r:id="rId4"/>
  </sheets>
  <functionGroups builtInGroupCount="18"/>
  <definedNames>
    <definedName name="_xlnm._FilterDatabase" localSheetId="1" hidden="1">data!$A$1:$BC$44</definedName>
    <definedName name="ExternalData_11" localSheetId="1">data!$A$1:$AP$1307</definedName>
    <definedName name="ExternalData_12" localSheetId="1">data!$A$1:$BB$27</definedName>
    <definedName name="ExternalData_13" localSheetId="1">data!$A$1:$BB$80</definedName>
    <definedName name="ExternalData_14" localSheetId="1">data!$A$1:$BB$6</definedName>
    <definedName name="ExternalData_15" localSheetId="1">data!$A$1:$BB$40</definedName>
    <definedName name="ExternalData_18" localSheetId="1">data!$A$1:$BE$349</definedName>
    <definedName name="ExternalData_19" localSheetId="1">data!$A$1:$BE$349</definedName>
    <definedName name="ExternalData_20" localSheetId="1">data!$A$1:$BE$349</definedName>
    <definedName name="ExternalData_21" localSheetId="1">data!$A$1:$BE$349</definedName>
    <definedName name="ExternalData_23" localSheetId="1">data!$A$1:$BE$6</definedName>
    <definedName name="ExternalData_24" localSheetId="1">data!$A$1:$BE$6</definedName>
  </definedNames>
  <calcPr calcId="162913"/>
  <pivotCaches>
    <pivotCache cacheId="9" r:id="rId5"/>
    <pivotCache cacheId="1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365" i="2" l="1"/>
  <c r="BG365" i="2"/>
  <c r="BN365" i="2"/>
  <c r="BP365" i="2"/>
  <c r="BU365" i="2" s="1"/>
  <c r="BQ365" i="2"/>
  <c r="BR365" i="2"/>
  <c r="BS365" i="2"/>
  <c r="BT365" i="2"/>
  <c r="BF366" i="2"/>
  <c r="BG366" i="2"/>
  <c r="BN366" i="2"/>
  <c r="BP366" i="2"/>
  <c r="BQ366" i="2"/>
  <c r="BR366" i="2"/>
  <c r="BS366" i="2"/>
  <c r="BT366" i="2"/>
  <c r="BU366" i="2"/>
  <c r="BH366" i="2"/>
  <c r="BH365" i="2"/>
  <c r="BL365" i="2"/>
  <c r="BI365" i="2"/>
  <c r="BI366" i="2"/>
  <c r="BJ366" i="2"/>
  <c r="BJ365" i="2"/>
  <c r="BM365" i="2"/>
  <c r="BL366" i="2"/>
  <c r="BM366" i="2"/>
  <c r="BK365" i="2"/>
  <c r="BK366" i="2"/>
  <c r="BO365" i="2"/>
  <c r="BO366" i="2"/>
  <c r="BF360" i="2" l="1"/>
  <c r="BG360" i="2"/>
  <c r="BN360" i="2"/>
  <c r="BP360" i="2"/>
  <c r="BQ360" i="2"/>
  <c r="BR360" i="2"/>
  <c r="BS360" i="2"/>
  <c r="BT360" i="2"/>
  <c r="BF361" i="2"/>
  <c r="BU361" i="2" s="1"/>
  <c r="BG361" i="2"/>
  <c r="BN361" i="2"/>
  <c r="BP361" i="2"/>
  <c r="BQ361" i="2"/>
  <c r="BR361" i="2"/>
  <c r="BS361" i="2"/>
  <c r="BT361" i="2"/>
  <c r="BF362" i="2"/>
  <c r="BG362" i="2"/>
  <c r="BN362" i="2"/>
  <c r="BP362" i="2"/>
  <c r="BQ362" i="2"/>
  <c r="BR362" i="2"/>
  <c r="BS362" i="2"/>
  <c r="BT362" i="2"/>
  <c r="BF363" i="2"/>
  <c r="BG363" i="2"/>
  <c r="BN363" i="2"/>
  <c r="BP363" i="2"/>
  <c r="BQ363" i="2"/>
  <c r="BR363" i="2"/>
  <c r="BS363" i="2"/>
  <c r="BT363" i="2"/>
  <c r="BF364" i="2"/>
  <c r="BG364" i="2"/>
  <c r="BN364" i="2"/>
  <c r="BP364" i="2"/>
  <c r="BU364" i="2" s="1"/>
  <c r="BQ364" i="2"/>
  <c r="BR364" i="2"/>
  <c r="BS364" i="2"/>
  <c r="BT364" i="2"/>
  <c r="BM362" i="2"/>
  <c r="BM363" i="2"/>
  <c r="BJ364" i="2"/>
  <c r="BI363" i="2"/>
  <c r="BI364" i="2"/>
  <c r="BJ363" i="2"/>
  <c r="BK360" i="2"/>
  <c r="BK361" i="2"/>
  <c r="BL361" i="2"/>
  <c r="BH362" i="2"/>
  <c r="BK363" i="2"/>
  <c r="BK364" i="2"/>
  <c r="BH361" i="2"/>
  <c r="BM364" i="2"/>
  <c r="BL364" i="2"/>
  <c r="BK362" i="2"/>
  <c r="BL360" i="2"/>
  <c r="BH360" i="2"/>
  <c r="BI361" i="2"/>
  <c r="BJ360" i="2"/>
  <c r="BL362" i="2"/>
  <c r="BL363" i="2"/>
  <c r="BJ362" i="2"/>
  <c r="BJ361" i="2"/>
  <c r="BI362" i="2"/>
  <c r="BI360" i="2"/>
  <c r="BH363" i="2"/>
  <c r="BH364" i="2"/>
  <c r="BM361" i="2"/>
  <c r="BM360" i="2"/>
  <c r="BO362" i="2"/>
  <c r="BO360" i="2"/>
  <c r="BO361" i="2"/>
  <c r="BO364" i="2"/>
  <c r="BO363" i="2"/>
  <c r="BU362" i="2" l="1"/>
  <c r="BU360" i="2"/>
  <c r="BU363" i="2"/>
  <c r="BT359" i="2"/>
  <c r="BS359" i="2"/>
  <c r="BR359" i="2"/>
  <c r="BQ359" i="2"/>
  <c r="BP359" i="2"/>
  <c r="BN359" i="2"/>
  <c r="BG359" i="2"/>
  <c r="BF359" i="2"/>
  <c r="BT358" i="2"/>
  <c r="BS358" i="2"/>
  <c r="BR358" i="2"/>
  <c r="BQ358" i="2"/>
  <c r="BP358" i="2"/>
  <c r="BN358" i="2"/>
  <c r="BG358" i="2"/>
  <c r="BF358" i="2"/>
  <c r="BT357" i="2"/>
  <c r="BS357" i="2"/>
  <c r="BR357" i="2"/>
  <c r="BQ357" i="2"/>
  <c r="BP357" i="2"/>
  <c r="BN357" i="2"/>
  <c r="BG357" i="2"/>
  <c r="BF357" i="2"/>
  <c r="BU357" i="2" s="1"/>
  <c r="BT356" i="2"/>
  <c r="BS356" i="2"/>
  <c r="BR356" i="2"/>
  <c r="BQ356" i="2"/>
  <c r="BP356" i="2"/>
  <c r="BN356" i="2"/>
  <c r="BG356" i="2"/>
  <c r="BF356" i="2"/>
  <c r="BT355" i="2"/>
  <c r="BS355" i="2"/>
  <c r="BR355" i="2"/>
  <c r="BQ355" i="2"/>
  <c r="BP355" i="2"/>
  <c r="BN355" i="2"/>
  <c r="BG355" i="2"/>
  <c r="BF355" i="2"/>
  <c r="BT354" i="2"/>
  <c r="BS354" i="2"/>
  <c r="BR354" i="2"/>
  <c r="BQ354" i="2"/>
  <c r="BP354" i="2"/>
  <c r="BN354" i="2"/>
  <c r="BG354" i="2"/>
  <c r="BF354" i="2"/>
  <c r="BU354" i="2" s="1"/>
  <c r="BT353" i="2"/>
  <c r="BS353" i="2"/>
  <c r="BR353" i="2"/>
  <c r="BQ353" i="2"/>
  <c r="BP353" i="2"/>
  <c r="BN353" i="2"/>
  <c r="BG353" i="2"/>
  <c r="BF353" i="2"/>
  <c r="BU353" i="2" s="1"/>
  <c r="BT352" i="2"/>
  <c r="BS352" i="2"/>
  <c r="BR352" i="2"/>
  <c r="BQ352" i="2"/>
  <c r="BP352" i="2"/>
  <c r="BN352" i="2"/>
  <c r="BG352" i="2"/>
  <c r="BF352" i="2"/>
  <c r="BU352" i="2" s="1"/>
  <c r="BT351" i="2"/>
  <c r="BS351" i="2"/>
  <c r="BR351" i="2"/>
  <c r="BQ351" i="2"/>
  <c r="BP351" i="2"/>
  <c r="BN351" i="2"/>
  <c r="BG351" i="2"/>
  <c r="BF351" i="2"/>
  <c r="BU351" i="2" s="1"/>
  <c r="BT350" i="2"/>
  <c r="BS350" i="2"/>
  <c r="BR350" i="2"/>
  <c r="BQ350" i="2"/>
  <c r="BP350" i="2"/>
  <c r="BN350" i="2"/>
  <c r="BG350" i="2"/>
  <c r="BF350" i="2"/>
  <c r="BU350" i="2" s="1"/>
  <c r="BT349" i="2"/>
  <c r="BS349" i="2"/>
  <c r="BR349" i="2"/>
  <c r="BQ349" i="2"/>
  <c r="BP349" i="2"/>
  <c r="BN349" i="2"/>
  <c r="BG349" i="2"/>
  <c r="BF349" i="2"/>
  <c r="BU349" i="2" s="1"/>
  <c r="BT348" i="2"/>
  <c r="BS348" i="2"/>
  <c r="BR348" i="2"/>
  <c r="BQ348" i="2"/>
  <c r="BP348" i="2"/>
  <c r="BN348" i="2"/>
  <c r="BG348" i="2"/>
  <c r="BF348" i="2"/>
  <c r="BU348" i="2" s="1"/>
  <c r="BF343" i="2"/>
  <c r="BG343" i="2"/>
  <c r="BN343" i="2"/>
  <c r="BP343" i="2"/>
  <c r="BQ343" i="2"/>
  <c r="BR343" i="2"/>
  <c r="BS343" i="2"/>
  <c r="BT343" i="2"/>
  <c r="BF344" i="2"/>
  <c r="BG344" i="2"/>
  <c r="BN344" i="2"/>
  <c r="BP344" i="2"/>
  <c r="BQ344" i="2"/>
  <c r="BR344" i="2"/>
  <c r="BS344" i="2"/>
  <c r="BT344" i="2"/>
  <c r="BF345" i="2"/>
  <c r="BG345" i="2"/>
  <c r="BN345" i="2"/>
  <c r="BP345" i="2"/>
  <c r="BQ345" i="2"/>
  <c r="BR345" i="2"/>
  <c r="BS345" i="2"/>
  <c r="BT345" i="2"/>
  <c r="BF346" i="2"/>
  <c r="BG346" i="2"/>
  <c r="BN346" i="2"/>
  <c r="BP346" i="2"/>
  <c r="BQ346" i="2"/>
  <c r="BR346" i="2"/>
  <c r="BS346" i="2"/>
  <c r="BT346" i="2"/>
  <c r="BF347" i="2"/>
  <c r="BG347" i="2"/>
  <c r="BN347" i="2"/>
  <c r="BP347" i="2"/>
  <c r="BQ347" i="2"/>
  <c r="BR347" i="2"/>
  <c r="BS347" i="2"/>
  <c r="BT347" i="2"/>
  <c r="BI353" i="2"/>
  <c r="BM352" i="2"/>
  <c r="BI350" i="2"/>
  <c r="BM349" i="2"/>
  <c r="BJ352" i="2"/>
  <c r="BJ348" i="2"/>
  <c r="BI351" i="2"/>
  <c r="BK350" i="2"/>
  <c r="BH353" i="2"/>
  <c r="BL352" i="2"/>
  <c r="BH350" i="2"/>
  <c r="BL349" i="2"/>
  <c r="BJ349" i="2"/>
  <c r="BK352" i="2"/>
  <c r="BK349" i="2"/>
  <c r="BJ353" i="2"/>
  <c r="BM354" i="2"/>
  <c r="BI352" i="2"/>
  <c r="BM351" i="2"/>
  <c r="BI349" i="2"/>
  <c r="BM348" i="2"/>
  <c r="BJ354" i="2"/>
  <c r="BJ350" i="2"/>
  <c r="BL354" i="2"/>
  <c r="BH352" i="2"/>
  <c r="BL351" i="2"/>
  <c r="BH349" i="2"/>
  <c r="BL348" i="2"/>
  <c r="BK354" i="2"/>
  <c r="BK351" i="2"/>
  <c r="BK348" i="2"/>
  <c r="BJ351" i="2"/>
  <c r="BI348" i="2"/>
  <c r="BI354" i="2"/>
  <c r="BM353" i="2"/>
  <c r="BM350" i="2"/>
  <c r="BH354" i="2"/>
  <c r="BL353" i="2"/>
  <c r="BH351" i="2"/>
  <c r="BL350" i="2"/>
  <c r="BH348" i="2"/>
  <c r="BK353" i="2"/>
  <c r="BO354" i="2"/>
  <c r="BO352" i="2"/>
  <c r="BO349" i="2"/>
  <c r="BO350" i="2"/>
  <c r="BO353" i="2"/>
  <c r="BO351" i="2"/>
  <c r="BO348" i="2"/>
  <c r="BK345" i="2"/>
  <c r="BL345" i="2"/>
  <c r="BH346" i="2"/>
  <c r="BL347" i="2"/>
  <c r="BH343" i="2"/>
  <c r="BI343" i="2"/>
  <c r="BM345" i="2"/>
  <c r="BI346" i="2"/>
  <c r="BJ346" i="2"/>
  <c r="BK344" i="2"/>
  <c r="BJ343" i="2"/>
  <c r="BK343" i="2"/>
  <c r="BK346" i="2"/>
  <c r="BJ344" i="2"/>
  <c r="BJ347" i="2"/>
  <c r="BK347" i="2"/>
  <c r="BJ345" i="2"/>
  <c r="BL343" i="2"/>
  <c r="BH344" i="2"/>
  <c r="BL346" i="2"/>
  <c r="BH347" i="2"/>
  <c r="BM343" i="2"/>
  <c r="BI344" i="2"/>
  <c r="BM346" i="2"/>
  <c r="BI347" i="2"/>
  <c r="BL344" i="2"/>
  <c r="BH345" i="2"/>
  <c r="BM344" i="2"/>
  <c r="BI345" i="2"/>
  <c r="BM347" i="2"/>
  <c r="BO343" i="2"/>
  <c r="BO344" i="2"/>
  <c r="BO347" i="2"/>
  <c r="BO345" i="2"/>
  <c r="BO346" i="2"/>
  <c r="BI355" i="2"/>
  <c r="BM359" i="2"/>
  <c r="BI357" i="2"/>
  <c r="BK358" i="2"/>
  <c r="BM356" i="2"/>
  <c r="BK356" i="2"/>
  <c r="BI358" i="2"/>
  <c r="BK355" i="2"/>
  <c r="BO358" i="2"/>
  <c r="BM357" i="2"/>
  <c r="BI359" i="2"/>
  <c r="BJ356" i="2"/>
  <c r="BK357" i="2"/>
  <c r="BM358" i="2"/>
  <c r="BH359" i="2"/>
  <c r="BK359" i="2"/>
  <c r="BI356" i="2"/>
  <c r="BL358" i="2"/>
  <c r="BJ359" i="2"/>
  <c r="BL359" i="2"/>
  <c r="BJ355" i="2"/>
  <c r="BJ357" i="2"/>
  <c r="BM355" i="2"/>
  <c r="BH356" i="2"/>
  <c r="BJ358" i="2"/>
  <c r="BH357" i="2"/>
  <c r="BL355" i="2"/>
  <c r="BH358" i="2"/>
  <c r="BL356" i="2"/>
  <c r="BL357" i="2"/>
  <c r="BH355" i="2"/>
  <c r="BO359" i="2"/>
  <c r="BO356" i="2"/>
  <c r="BO355" i="2"/>
  <c r="BO357" i="2"/>
  <c r="BU356" i="2" l="1"/>
  <c r="BU359" i="2"/>
  <c r="BU355" i="2"/>
  <c r="BU358" i="2"/>
  <c r="BU344" i="2"/>
  <c r="BU346" i="2"/>
  <c r="BU347" i="2"/>
  <c r="BU343" i="2"/>
  <c r="BU345" i="2"/>
  <c r="G33" i="5"/>
  <c r="F33" i="5"/>
  <c r="E33" i="5"/>
  <c r="D33" i="5"/>
  <c r="C33" i="5"/>
  <c r="C24" i="5"/>
  <c r="D24" i="5"/>
  <c r="E24" i="5"/>
  <c r="F24" i="5"/>
  <c r="G24" i="5"/>
  <c r="C25" i="5"/>
  <c r="D25" i="5"/>
  <c r="E25" i="5"/>
  <c r="F25" i="5"/>
  <c r="G25" i="5"/>
  <c r="C26" i="5"/>
  <c r="D26" i="5"/>
  <c r="E26" i="5"/>
  <c r="F26" i="5"/>
  <c r="G26" i="5"/>
  <c r="C27" i="5"/>
  <c r="D27" i="5"/>
  <c r="E27" i="5"/>
  <c r="F27" i="5"/>
  <c r="G27" i="5"/>
  <c r="C28" i="5"/>
  <c r="D28" i="5"/>
  <c r="E28" i="5"/>
  <c r="F28" i="5"/>
  <c r="G28" i="5"/>
  <c r="C29" i="5"/>
  <c r="D29" i="5"/>
  <c r="E29" i="5"/>
  <c r="F29" i="5"/>
  <c r="G29" i="5"/>
  <c r="C30" i="5"/>
  <c r="D30" i="5"/>
  <c r="E30" i="5"/>
  <c r="F30" i="5"/>
  <c r="G30" i="5"/>
  <c r="C31" i="5"/>
  <c r="D31" i="5"/>
  <c r="E31" i="5"/>
  <c r="F31" i="5"/>
  <c r="G31" i="5"/>
  <c r="C32" i="5"/>
  <c r="D32" i="5"/>
  <c r="E32" i="5"/>
  <c r="F32" i="5"/>
  <c r="G32" i="5"/>
  <c r="G23" i="5"/>
  <c r="F23" i="5"/>
  <c r="E23" i="5"/>
  <c r="D23" i="5"/>
  <c r="G22" i="5"/>
  <c r="F22" i="5"/>
  <c r="E22" i="5"/>
  <c r="D22" i="5"/>
  <c r="C23" i="5"/>
  <c r="C22" i="5"/>
  <c r="B33" i="5"/>
  <c r="B32" i="5"/>
  <c r="B31" i="5"/>
  <c r="B30" i="5"/>
  <c r="B29" i="5"/>
  <c r="B28" i="5"/>
  <c r="B27" i="5"/>
  <c r="B26" i="5"/>
  <c r="B25" i="5"/>
  <c r="B24" i="5"/>
  <c r="B23" i="5"/>
  <c r="B22" i="5"/>
  <c r="B22" i="4"/>
  <c r="C22" i="4"/>
  <c r="D22" i="4"/>
  <c r="E22" i="4"/>
  <c r="F22" i="4"/>
  <c r="G22" i="4"/>
  <c r="B23" i="4"/>
  <c r="C23" i="4"/>
  <c r="D23" i="4"/>
  <c r="E23" i="4"/>
  <c r="F23" i="4"/>
  <c r="G23" i="4"/>
  <c r="B24" i="4"/>
  <c r="C24" i="4"/>
  <c r="D24" i="4"/>
  <c r="E24" i="4"/>
  <c r="F24" i="4"/>
  <c r="G24" i="4"/>
  <c r="B25" i="4"/>
  <c r="C25" i="4"/>
  <c r="D25" i="4"/>
  <c r="E25" i="4"/>
  <c r="F25" i="4"/>
  <c r="G25" i="4"/>
  <c r="C21" i="4"/>
  <c r="D21" i="4"/>
  <c r="E21" i="4"/>
  <c r="F21" i="4"/>
  <c r="G21" i="4"/>
  <c r="B21" i="4"/>
  <c r="BF229" i="2"/>
  <c r="BG229" i="2"/>
  <c r="BN229" i="2"/>
  <c r="BP229" i="2"/>
  <c r="BQ229" i="2"/>
  <c r="BR229" i="2"/>
  <c r="BS229" i="2"/>
  <c r="BT229" i="2"/>
  <c r="BF230" i="2"/>
  <c r="BG230" i="2"/>
  <c r="BN230" i="2"/>
  <c r="BP230" i="2"/>
  <c r="BQ230" i="2"/>
  <c r="BR230" i="2"/>
  <c r="BS230" i="2"/>
  <c r="BT230" i="2"/>
  <c r="BF231" i="2"/>
  <c r="BG231" i="2"/>
  <c r="BN231" i="2"/>
  <c r="BP231" i="2"/>
  <c r="BQ231" i="2"/>
  <c r="BR231" i="2"/>
  <c r="BS231" i="2"/>
  <c r="BT231" i="2"/>
  <c r="BF232" i="2"/>
  <c r="BG232" i="2"/>
  <c r="BN232" i="2"/>
  <c r="BP232" i="2"/>
  <c r="BQ232" i="2"/>
  <c r="BR232" i="2"/>
  <c r="BS232" i="2"/>
  <c r="BT232" i="2"/>
  <c r="BF233" i="2"/>
  <c r="BG233" i="2"/>
  <c r="BN233" i="2"/>
  <c r="BP233" i="2"/>
  <c r="BQ233" i="2"/>
  <c r="BR233" i="2"/>
  <c r="BS233" i="2"/>
  <c r="BT233" i="2"/>
  <c r="BF234" i="2"/>
  <c r="BG234" i="2"/>
  <c r="BN234" i="2"/>
  <c r="BP234" i="2"/>
  <c r="BQ234" i="2"/>
  <c r="BR234" i="2"/>
  <c r="BS234" i="2"/>
  <c r="BT234" i="2"/>
  <c r="BF235" i="2"/>
  <c r="BG235" i="2"/>
  <c r="BN235" i="2"/>
  <c r="BP235" i="2"/>
  <c r="BQ235" i="2"/>
  <c r="BR235" i="2"/>
  <c r="BS235" i="2"/>
  <c r="BT235" i="2"/>
  <c r="BF236" i="2"/>
  <c r="BG236" i="2"/>
  <c r="BN236" i="2"/>
  <c r="BP236" i="2"/>
  <c r="BQ236" i="2"/>
  <c r="BR236" i="2"/>
  <c r="BS236" i="2"/>
  <c r="BT236" i="2"/>
  <c r="BF237" i="2"/>
  <c r="BG237" i="2"/>
  <c r="BN237" i="2"/>
  <c r="BP237" i="2"/>
  <c r="BQ237" i="2"/>
  <c r="BR237" i="2"/>
  <c r="BS237" i="2"/>
  <c r="BT237" i="2"/>
  <c r="BF238" i="2"/>
  <c r="BG238" i="2"/>
  <c r="BN238" i="2"/>
  <c r="BP238" i="2"/>
  <c r="BQ238" i="2"/>
  <c r="BR238" i="2"/>
  <c r="BS238" i="2"/>
  <c r="BT238" i="2"/>
  <c r="BF239" i="2"/>
  <c r="BG239" i="2"/>
  <c r="BN239" i="2"/>
  <c r="BP239" i="2"/>
  <c r="BQ239" i="2"/>
  <c r="BR239" i="2"/>
  <c r="BS239" i="2"/>
  <c r="BT239" i="2"/>
  <c r="BF240" i="2"/>
  <c r="BG240" i="2"/>
  <c r="BN240" i="2"/>
  <c r="BP240" i="2"/>
  <c r="BQ240" i="2"/>
  <c r="BR240" i="2"/>
  <c r="BS240" i="2"/>
  <c r="BT240" i="2"/>
  <c r="BF241" i="2"/>
  <c r="BG241" i="2"/>
  <c r="BN241" i="2"/>
  <c r="BP241" i="2"/>
  <c r="BQ241" i="2"/>
  <c r="BR241" i="2"/>
  <c r="BS241" i="2"/>
  <c r="BT241" i="2"/>
  <c r="BF242" i="2"/>
  <c r="BG242" i="2"/>
  <c r="BN242" i="2"/>
  <c r="BP242" i="2"/>
  <c r="BQ242" i="2"/>
  <c r="BR242" i="2"/>
  <c r="BS242" i="2"/>
  <c r="BT242" i="2"/>
  <c r="BF243" i="2"/>
  <c r="BG243" i="2"/>
  <c r="BN243" i="2"/>
  <c r="BP243" i="2"/>
  <c r="BQ243" i="2"/>
  <c r="BR243" i="2"/>
  <c r="BS243" i="2"/>
  <c r="BT243" i="2"/>
  <c r="BF244" i="2"/>
  <c r="BG244" i="2"/>
  <c r="BN244" i="2"/>
  <c r="BP244" i="2"/>
  <c r="BQ244" i="2"/>
  <c r="BR244" i="2"/>
  <c r="BS244" i="2"/>
  <c r="BT244" i="2"/>
  <c r="BF245" i="2"/>
  <c r="BG245" i="2"/>
  <c r="BN245" i="2"/>
  <c r="BP245" i="2"/>
  <c r="BQ245" i="2"/>
  <c r="BR245" i="2"/>
  <c r="BS245" i="2"/>
  <c r="BT245" i="2"/>
  <c r="BF246" i="2"/>
  <c r="BG246" i="2"/>
  <c r="BN246" i="2"/>
  <c r="BP246" i="2"/>
  <c r="BQ246" i="2"/>
  <c r="BR246" i="2"/>
  <c r="BS246" i="2"/>
  <c r="BT246" i="2"/>
  <c r="BF247" i="2"/>
  <c r="BG247" i="2"/>
  <c r="BN247" i="2"/>
  <c r="BP247" i="2"/>
  <c r="BQ247" i="2"/>
  <c r="BR247" i="2"/>
  <c r="BS247" i="2"/>
  <c r="BT247" i="2"/>
  <c r="BF248" i="2"/>
  <c r="BG248" i="2"/>
  <c r="BN248" i="2"/>
  <c r="BP248" i="2"/>
  <c r="BQ248" i="2"/>
  <c r="BR248" i="2"/>
  <c r="BS248" i="2"/>
  <c r="BT248" i="2"/>
  <c r="BF249" i="2"/>
  <c r="BG249" i="2"/>
  <c r="BN249" i="2"/>
  <c r="BP249" i="2"/>
  <c r="BQ249" i="2"/>
  <c r="BR249" i="2"/>
  <c r="BS249" i="2"/>
  <c r="BT249" i="2"/>
  <c r="BF250" i="2"/>
  <c r="BG250" i="2"/>
  <c r="BN250" i="2"/>
  <c r="BP250" i="2"/>
  <c r="BQ250" i="2"/>
  <c r="BR250" i="2"/>
  <c r="BS250" i="2"/>
  <c r="BT250" i="2"/>
  <c r="BF251" i="2"/>
  <c r="BG251" i="2"/>
  <c r="BN251" i="2"/>
  <c r="BP251" i="2"/>
  <c r="BQ251" i="2"/>
  <c r="BR251" i="2"/>
  <c r="BS251" i="2"/>
  <c r="BT251" i="2"/>
  <c r="BF252" i="2"/>
  <c r="BG252" i="2"/>
  <c r="BN252" i="2"/>
  <c r="BP252" i="2"/>
  <c r="BQ252" i="2"/>
  <c r="BR252" i="2"/>
  <c r="BS252" i="2"/>
  <c r="BT252" i="2"/>
  <c r="BF253" i="2"/>
  <c r="BG253" i="2"/>
  <c r="BN253" i="2"/>
  <c r="BP253" i="2"/>
  <c r="BQ253" i="2"/>
  <c r="BR253" i="2"/>
  <c r="BS253" i="2"/>
  <c r="BT253" i="2"/>
  <c r="BF254" i="2"/>
  <c r="BG254" i="2"/>
  <c r="BN254" i="2"/>
  <c r="BP254" i="2"/>
  <c r="BQ254" i="2"/>
  <c r="BR254" i="2"/>
  <c r="BS254" i="2"/>
  <c r="BT254" i="2"/>
  <c r="BF255" i="2"/>
  <c r="BG255" i="2"/>
  <c r="BN255" i="2"/>
  <c r="BP255" i="2"/>
  <c r="BQ255" i="2"/>
  <c r="BR255" i="2"/>
  <c r="BS255" i="2"/>
  <c r="BT255" i="2"/>
  <c r="BF256" i="2"/>
  <c r="BG256" i="2"/>
  <c r="BN256" i="2"/>
  <c r="BP256" i="2"/>
  <c r="BQ256" i="2"/>
  <c r="BR256" i="2"/>
  <c r="BS256" i="2"/>
  <c r="BT256" i="2"/>
  <c r="BF257" i="2"/>
  <c r="BG257" i="2"/>
  <c r="BN257" i="2"/>
  <c r="BP257" i="2"/>
  <c r="BQ257" i="2"/>
  <c r="BR257" i="2"/>
  <c r="BS257" i="2"/>
  <c r="BT257" i="2"/>
  <c r="BF258" i="2"/>
  <c r="BG258" i="2"/>
  <c r="BN258" i="2"/>
  <c r="BP258" i="2"/>
  <c r="BQ258" i="2"/>
  <c r="BR258" i="2"/>
  <c r="BS258" i="2"/>
  <c r="BT258" i="2"/>
  <c r="BF259" i="2"/>
  <c r="BG259" i="2"/>
  <c r="BN259" i="2"/>
  <c r="BP259" i="2"/>
  <c r="BQ259" i="2"/>
  <c r="BR259" i="2"/>
  <c r="BS259" i="2"/>
  <c r="BT259" i="2"/>
  <c r="BF260" i="2"/>
  <c r="BG260" i="2"/>
  <c r="BN260" i="2"/>
  <c r="BP260" i="2"/>
  <c r="BQ260" i="2"/>
  <c r="BR260" i="2"/>
  <c r="BS260" i="2"/>
  <c r="BT260" i="2"/>
  <c r="BF261" i="2"/>
  <c r="BG261" i="2"/>
  <c r="BN261" i="2"/>
  <c r="BP261" i="2"/>
  <c r="BQ261" i="2"/>
  <c r="BR261" i="2"/>
  <c r="BS261" i="2"/>
  <c r="BT261" i="2"/>
  <c r="BF262" i="2"/>
  <c r="BG262" i="2"/>
  <c r="BN262" i="2"/>
  <c r="BP262" i="2"/>
  <c r="BQ262" i="2"/>
  <c r="BR262" i="2"/>
  <c r="BS262" i="2"/>
  <c r="BT262" i="2"/>
  <c r="BF263" i="2"/>
  <c r="BG263" i="2"/>
  <c r="BN263" i="2"/>
  <c r="BP263" i="2"/>
  <c r="BQ263" i="2"/>
  <c r="BR263" i="2"/>
  <c r="BS263" i="2"/>
  <c r="BT263" i="2"/>
  <c r="BF264" i="2"/>
  <c r="BG264" i="2"/>
  <c r="BN264" i="2"/>
  <c r="BP264" i="2"/>
  <c r="BQ264" i="2"/>
  <c r="BR264" i="2"/>
  <c r="BS264" i="2"/>
  <c r="BT264" i="2"/>
  <c r="BF265" i="2"/>
  <c r="BG265" i="2"/>
  <c r="BN265" i="2"/>
  <c r="BP265" i="2"/>
  <c r="BQ265" i="2"/>
  <c r="BR265" i="2"/>
  <c r="BS265" i="2"/>
  <c r="BT265" i="2"/>
  <c r="BF266" i="2"/>
  <c r="BG266" i="2"/>
  <c r="BN266" i="2"/>
  <c r="BP266" i="2"/>
  <c r="BQ266" i="2"/>
  <c r="BR266" i="2"/>
  <c r="BS266" i="2"/>
  <c r="BT266" i="2"/>
  <c r="BF267" i="2"/>
  <c r="BG267" i="2"/>
  <c r="BN267" i="2"/>
  <c r="BP267" i="2"/>
  <c r="BQ267" i="2"/>
  <c r="BR267" i="2"/>
  <c r="BS267" i="2"/>
  <c r="BT267" i="2"/>
  <c r="BF268" i="2"/>
  <c r="BG268" i="2"/>
  <c r="BN268" i="2"/>
  <c r="BP268" i="2"/>
  <c r="BQ268" i="2"/>
  <c r="BR268" i="2"/>
  <c r="BS268" i="2"/>
  <c r="BT268" i="2"/>
  <c r="BF269" i="2"/>
  <c r="BG269" i="2"/>
  <c r="BN269" i="2"/>
  <c r="BP269" i="2"/>
  <c r="BQ269" i="2"/>
  <c r="BR269" i="2"/>
  <c r="BS269" i="2"/>
  <c r="BT269" i="2"/>
  <c r="BF270" i="2"/>
  <c r="BG270" i="2"/>
  <c r="BN270" i="2"/>
  <c r="BP270" i="2"/>
  <c r="BQ270" i="2"/>
  <c r="BR270" i="2"/>
  <c r="BS270" i="2"/>
  <c r="BT270" i="2"/>
  <c r="BF271" i="2"/>
  <c r="BG271" i="2"/>
  <c r="BN271" i="2"/>
  <c r="BP271" i="2"/>
  <c r="BQ271" i="2"/>
  <c r="BR271" i="2"/>
  <c r="BS271" i="2"/>
  <c r="BT271" i="2"/>
  <c r="BF272" i="2"/>
  <c r="BG272" i="2"/>
  <c r="BN272" i="2"/>
  <c r="BP272" i="2"/>
  <c r="BQ272" i="2"/>
  <c r="BR272" i="2"/>
  <c r="BS272" i="2"/>
  <c r="BT272" i="2"/>
  <c r="BF273" i="2"/>
  <c r="BG273" i="2"/>
  <c r="BN273" i="2"/>
  <c r="BP273" i="2"/>
  <c r="BQ273" i="2"/>
  <c r="BR273" i="2"/>
  <c r="BS273" i="2"/>
  <c r="BT273" i="2"/>
  <c r="BF274" i="2"/>
  <c r="BG274" i="2"/>
  <c r="BN274" i="2"/>
  <c r="BP274" i="2"/>
  <c r="BQ274" i="2"/>
  <c r="BR274" i="2"/>
  <c r="BS274" i="2"/>
  <c r="BT274" i="2"/>
  <c r="BF275" i="2"/>
  <c r="BG275" i="2"/>
  <c r="BN275" i="2"/>
  <c r="BP275" i="2"/>
  <c r="BQ275" i="2"/>
  <c r="BR275" i="2"/>
  <c r="BS275" i="2"/>
  <c r="BT275" i="2"/>
  <c r="BF276" i="2"/>
  <c r="BG276" i="2"/>
  <c r="BN276" i="2"/>
  <c r="BP276" i="2"/>
  <c r="BQ276" i="2"/>
  <c r="BR276" i="2"/>
  <c r="BS276" i="2"/>
  <c r="BT276" i="2"/>
  <c r="BF277" i="2"/>
  <c r="BG277" i="2"/>
  <c r="BN277" i="2"/>
  <c r="BP277" i="2"/>
  <c r="BQ277" i="2"/>
  <c r="BR277" i="2"/>
  <c r="BS277" i="2"/>
  <c r="BT277" i="2"/>
  <c r="BF278" i="2"/>
  <c r="BG278" i="2"/>
  <c r="BN278" i="2"/>
  <c r="BP278" i="2"/>
  <c r="BQ278" i="2"/>
  <c r="BR278" i="2"/>
  <c r="BS278" i="2"/>
  <c r="BT278" i="2"/>
  <c r="BF279" i="2"/>
  <c r="BG279" i="2"/>
  <c r="BN279" i="2"/>
  <c r="BP279" i="2"/>
  <c r="BQ279" i="2"/>
  <c r="BR279" i="2"/>
  <c r="BS279" i="2"/>
  <c r="BT279" i="2"/>
  <c r="BF280" i="2"/>
  <c r="BG280" i="2"/>
  <c r="BN280" i="2"/>
  <c r="BP280" i="2"/>
  <c r="BQ280" i="2"/>
  <c r="BR280" i="2"/>
  <c r="BS280" i="2"/>
  <c r="BT280" i="2"/>
  <c r="BF281" i="2"/>
  <c r="BG281" i="2"/>
  <c r="BN281" i="2"/>
  <c r="BP281" i="2"/>
  <c r="BQ281" i="2"/>
  <c r="BR281" i="2"/>
  <c r="BS281" i="2"/>
  <c r="BT281" i="2"/>
  <c r="BF282" i="2"/>
  <c r="BG282" i="2"/>
  <c r="BN282" i="2"/>
  <c r="BP282" i="2"/>
  <c r="BQ282" i="2"/>
  <c r="BR282" i="2"/>
  <c r="BS282" i="2"/>
  <c r="BT282" i="2"/>
  <c r="BF283" i="2"/>
  <c r="BG283" i="2"/>
  <c r="BN283" i="2"/>
  <c r="BP283" i="2"/>
  <c r="BQ283" i="2"/>
  <c r="BR283" i="2"/>
  <c r="BS283" i="2"/>
  <c r="BT283" i="2"/>
  <c r="BF284" i="2"/>
  <c r="BG284" i="2"/>
  <c r="BN284" i="2"/>
  <c r="BP284" i="2"/>
  <c r="BQ284" i="2"/>
  <c r="BR284" i="2"/>
  <c r="BS284" i="2"/>
  <c r="BT284" i="2"/>
  <c r="BF285" i="2"/>
  <c r="BG285" i="2"/>
  <c r="BN285" i="2"/>
  <c r="BP285" i="2"/>
  <c r="BQ285" i="2"/>
  <c r="BR285" i="2"/>
  <c r="BS285" i="2"/>
  <c r="BT285" i="2"/>
  <c r="BF286" i="2"/>
  <c r="BG286" i="2"/>
  <c r="BN286" i="2"/>
  <c r="BP286" i="2"/>
  <c r="BQ286" i="2"/>
  <c r="BR286" i="2"/>
  <c r="BS286" i="2"/>
  <c r="BT286" i="2"/>
  <c r="BF287" i="2"/>
  <c r="BG287" i="2"/>
  <c r="BN287" i="2"/>
  <c r="BP287" i="2"/>
  <c r="BQ287" i="2"/>
  <c r="BR287" i="2"/>
  <c r="BS287" i="2"/>
  <c r="BT287" i="2"/>
  <c r="BF288" i="2"/>
  <c r="BG288" i="2"/>
  <c r="BN288" i="2"/>
  <c r="BP288" i="2"/>
  <c r="BQ288" i="2"/>
  <c r="BR288" i="2"/>
  <c r="BS288" i="2"/>
  <c r="BT288" i="2"/>
  <c r="BF289" i="2"/>
  <c r="BG289" i="2"/>
  <c r="BN289" i="2"/>
  <c r="BP289" i="2"/>
  <c r="BQ289" i="2"/>
  <c r="BR289" i="2"/>
  <c r="BS289" i="2"/>
  <c r="BT289" i="2"/>
  <c r="BF290" i="2"/>
  <c r="BG290" i="2"/>
  <c r="BN290" i="2"/>
  <c r="BP290" i="2"/>
  <c r="BQ290" i="2"/>
  <c r="BR290" i="2"/>
  <c r="BS290" i="2"/>
  <c r="BT290" i="2"/>
  <c r="BF291" i="2"/>
  <c r="BG291" i="2"/>
  <c r="BN291" i="2"/>
  <c r="BP291" i="2"/>
  <c r="BQ291" i="2"/>
  <c r="BR291" i="2"/>
  <c r="BS291" i="2"/>
  <c r="BT291" i="2"/>
  <c r="BF292" i="2"/>
  <c r="BG292" i="2"/>
  <c r="BN292" i="2"/>
  <c r="BP292" i="2"/>
  <c r="BQ292" i="2"/>
  <c r="BR292" i="2"/>
  <c r="BS292" i="2"/>
  <c r="BT292" i="2"/>
  <c r="BF293" i="2"/>
  <c r="BG293" i="2"/>
  <c r="BN293" i="2"/>
  <c r="BP293" i="2"/>
  <c r="BQ293" i="2"/>
  <c r="BR293" i="2"/>
  <c r="BS293" i="2"/>
  <c r="BT293" i="2"/>
  <c r="BF294" i="2"/>
  <c r="BG294" i="2"/>
  <c r="BN294" i="2"/>
  <c r="BP294" i="2"/>
  <c r="BQ294" i="2"/>
  <c r="BR294" i="2"/>
  <c r="BS294" i="2"/>
  <c r="BT294" i="2"/>
  <c r="BF295" i="2"/>
  <c r="BG295" i="2"/>
  <c r="BN295" i="2"/>
  <c r="BP295" i="2"/>
  <c r="BQ295" i="2"/>
  <c r="BR295" i="2"/>
  <c r="BS295" i="2"/>
  <c r="BT295" i="2"/>
  <c r="BF296" i="2"/>
  <c r="BG296" i="2"/>
  <c r="BN296" i="2"/>
  <c r="BP296" i="2"/>
  <c r="BQ296" i="2"/>
  <c r="BR296" i="2"/>
  <c r="BS296" i="2"/>
  <c r="BT296" i="2"/>
  <c r="BF297" i="2"/>
  <c r="BG297" i="2"/>
  <c r="BN297" i="2"/>
  <c r="BP297" i="2"/>
  <c r="BQ297" i="2"/>
  <c r="BR297" i="2"/>
  <c r="BS297" i="2"/>
  <c r="BT297" i="2"/>
  <c r="BF298" i="2"/>
  <c r="BG298" i="2"/>
  <c r="BN298" i="2"/>
  <c r="BP298" i="2"/>
  <c r="BQ298" i="2"/>
  <c r="BR298" i="2"/>
  <c r="BS298" i="2"/>
  <c r="BT298" i="2"/>
  <c r="BF299" i="2"/>
  <c r="BG299" i="2"/>
  <c r="BN299" i="2"/>
  <c r="BP299" i="2"/>
  <c r="BQ299" i="2"/>
  <c r="BR299" i="2"/>
  <c r="BS299" i="2"/>
  <c r="BT299" i="2"/>
  <c r="BF300" i="2"/>
  <c r="BG300" i="2"/>
  <c r="BN300" i="2"/>
  <c r="BP300" i="2"/>
  <c r="BQ300" i="2"/>
  <c r="BR300" i="2"/>
  <c r="BS300" i="2"/>
  <c r="BT300" i="2"/>
  <c r="BF301" i="2"/>
  <c r="BG301" i="2"/>
  <c r="BN301" i="2"/>
  <c r="BP301" i="2"/>
  <c r="BQ301" i="2"/>
  <c r="BR301" i="2"/>
  <c r="BS301" i="2"/>
  <c r="BT301" i="2"/>
  <c r="BF302" i="2"/>
  <c r="BG302" i="2"/>
  <c r="BN302" i="2"/>
  <c r="BP302" i="2"/>
  <c r="BQ302" i="2"/>
  <c r="BR302" i="2"/>
  <c r="BS302" i="2"/>
  <c r="BT302" i="2"/>
  <c r="BF303" i="2"/>
  <c r="BG303" i="2"/>
  <c r="BN303" i="2"/>
  <c r="BP303" i="2"/>
  <c r="BQ303" i="2"/>
  <c r="BR303" i="2"/>
  <c r="BS303" i="2"/>
  <c r="BT303" i="2"/>
  <c r="BF304" i="2"/>
  <c r="BG304" i="2"/>
  <c r="BN304" i="2"/>
  <c r="BP304" i="2"/>
  <c r="BQ304" i="2"/>
  <c r="BR304" i="2"/>
  <c r="BS304" i="2"/>
  <c r="BT304" i="2"/>
  <c r="BF305" i="2"/>
  <c r="BG305" i="2"/>
  <c r="BN305" i="2"/>
  <c r="BP305" i="2"/>
  <c r="BQ305" i="2"/>
  <c r="BR305" i="2"/>
  <c r="BS305" i="2"/>
  <c r="BT305" i="2"/>
  <c r="BF306" i="2"/>
  <c r="BG306" i="2"/>
  <c r="BN306" i="2"/>
  <c r="BP306" i="2"/>
  <c r="BQ306" i="2"/>
  <c r="BR306" i="2"/>
  <c r="BS306" i="2"/>
  <c r="BT306" i="2"/>
  <c r="BF307" i="2"/>
  <c r="BG307" i="2"/>
  <c r="BN307" i="2"/>
  <c r="BP307" i="2"/>
  <c r="BQ307" i="2"/>
  <c r="BR307" i="2"/>
  <c r="BS307" i="2"/>
  <c r="BT307" i="2"/>
  <c r="BF308" i="2"/>
  <c r="BG308" i="2"/>
  <c r="BN308" i="2"/>
  <c r="BP308" i="2"/>
  <c r="BQ308" i="2"/>
  <c r="BR308" i="2"/>
  <c r="BS308" i="2"/>
  <c r="BT308" i="2"/>
  <c r="BF309" i="2"/>
  <c r="BG309" i="2"/>
  <c r="BN309" i="2"/>
  <c r="BP309" i="2"/>
  <c r="BQ309" i="2"/>
  <c r="BR309" i="2"/>
  <c r="BS309" i="2"/>
  <c r="BT309" i="2"/>
  <c r="BF310" i="2"/>
  <c r="BG310" i="2"/>
  <c r="BN310" i="2"/>
  <c r="BP310" i="2"/>
  <c r="BQ310" i="2"/>
  <c r="BR310" i="2"/>
  <c r="BS310" i="2"/>
  <c r="BT310" i="2"/>
  <c r="BF311" i="2"/>
  <c r="BG311" i="2"/>
  <c r="BN311" i="2"/>
  <c r="BP311" i="2"/>
  <c r="BQ311" i="2"/>
  <c r="BR311" i="2"/>
  <c r="BS311" i="2"/>
  <c r="BT311" i="2"/>
  <c r="BF312" i="2"/>
  <c r="BG312" i="2"/>
  <c r="BN312" i="2"/>
  <c r="BP312" i="2"/>
  <c r="BQ312" i="2"/>
  <c r="BR312" i="2"/>
  <c r="BS312" i="2"/>
  <c r="BT312" i="2"/>
  <c r="BF313" i="2"/>
  <c r="BG313" i="2"/>
  <c r="BN313" i="2"/>
  <c r="BP313" i="2"/>
  <c r="BQ313" i="2"/>
  <c r="BR313" i="2"/>
  <c r="BS313" i="2"/>
  <c r="BT313" i="2"/>
  <c r="BF314" i="2"/>
  <c r="BG314" i="2"/>
  <c r="BN314" i="2"/>
  <c r="BP314" i="2"/>
  <c r="BQ314" i="2"/>
  <c r="BR314" i="2"/>
  <c r="BS314" i="2"/>
  <c r="BT314" i="2"/>
  <c r="BF315" i="2"/>
  <c r="BG315" i="2"/>
  <c r="BN315" i="2"/>
  <c r="BP315" i="2"/>
  <c r="BQ315" i="2"/>
  <c r="BR315" i="2"/>
  <c r="BS315" i="2"/>
  <c r="BT315" i="2"/>
  <c r="BF316" i="2"/>
  <c r="BG316" i="2"/>
  <c r="BN316" i="2"/>
  <c r="BP316" i="2"/>
  <c r="BQ316" i="2"/>
  <c r="BR316" i="2"/>
  <c r="BS316" i="2"/>
  <c r="BT316" i="2"/>
  <c r="BF317" i="2"/>
  <c r="BG317" i="2"/>
  <c r="BN317" i="2"/>
  <c r="BP317" i="2"/>
  <c r="BQ317" i="2"/>
  <c r="BR317" i="2"/>
  <c r="BS317" i="2"/>
  <c r="BT317" i="2"/>
  <c r="BF318" i="2"/>
  <c r="BG318" i="2"/>
  <c r="BN318" i="2"/>
  <c r="BP318" i="2"/>
  <c r="BQ318" i="2"/>
  <c r="BR318" i="2"/>
  <c r="BS318" i="2"/>
  <c r="BT318" i="2"/>
  <c r="BF319" i="2"/>
  <c r="BG319" i="2"/>
  <c r="BN319" i="2"/>
  <c r="BP319" i="2"/>
  <c r="BQ319" i="2"/>
  <c r="BR319" i="2"/>
  <c r="BS319" i="2"/>
  <c r="BT319" i="2"/>
  <c r="BF320" i="2"/>
  <c r="BG320" i="2"/>
  <c r="BN320" i="2"/>
  <c r="BP320" i="2"/>
  <c r="BQ320" i="2"/>
  <c r="BR320" i="2"/>
  <c r="BS320" i="2"/>
  <c r="BT320" i="2"/>
  <c r="BF321" i="2"/>
  <c r="BG321" i="2"/>
  <c r="BN321" i="2"/>
  <c r="BP321" i="2"/>
  <c r="BQ321" i="2"/>
  <c r="BR321" i="2"/>
  <c r="BS321" i="2"/>
  <c r="BT321" i="2"/>
  <c r="BF322" i="2"/>
  <c r="BG322" i="2"/>
  <c r="BN322" i="2"/>
  <c r="BP322" i="2"/>
  <c r="BQ322" i="2"/>
  <c r="BR322" i="2"/>
  <c r="BS322" i="2"/>
  <c r="BT322" i="2"/>
  <c r="BF323" i="2"/>
  <c r="BG323" i="2"/>
  <c r="BN323" i="2"/>
  <c r="BP323" i="2"/>
  <c r="BQ323" i="2"/>
  <c r="BR323" i="2"/>
  <c r="BS323" i="2"/>
  <c r="BT323" i="2"/>
  <c r="BF324" i="2"/>
  <c r="BG324" i="2"/>
  <c r="BN324" i="2"/>
  <c r="BP324" i="2"/>
  <c r="BQ324" i="2"/>
  <c r="BR324" i="2"/>
  <c r="BS324" i="2"/>
  <c r="BT324" i="2"/>
  <c r="BF325" i="2"/>
  <c r="BG325" i="2"/>
  <c r="BN325" i="2"/>
  <c r="BP325" i="2"/>
  <c r="BQ325" i="2"/>
  <c r="BR325" i="2"/>
  <c r="BS325" i="2"/>
  <c r="BT325" i="2"/>
  <c r="BF326" i="2"/>
  <c r="BG326" i="2"/>
  <c r="BN326" i="2"/>
  <c r="BP326" i="2"/>
  <c r="BQ326" i="2"/>
  <c r="BR326" i="2"/>
  <c r="BS326" i="2"/>
  <c r="BT326" i="2"/>
  <c r="BF327" i="2"/>
  <c r="BG327" i="2"/>
  <c r="BN327" i="2"/>
  <c r="BP327" i="2"/>
  <c r="BQ327" i="2"/>
  <c r="BR327" i="2"/>
  <c r="BS327" i="2"/>
  <c r="BT327" i="2"/>
  <c r="BF328" i="2"/>
  <c r="BG328" i="2"/>
  <c r="BN328" i="2"/>
  <c r="BP328" i="2"/>
  <c r="BQ328" i="2"/>
  <c r="BR328" i="2"/>
  <c r="BS328" i="2"/>
  <c r="BT328" i="2"/>
  <c r="BF329" i="2"/>
  <c r="BG329" i="2"/>
  <c r="BN329" i="2"/>
  <c r="BP329" i="2"/>
  <c r="BQ329" i="2"/>
  <c r="BR329" i="2"/>
  <c r="BS329" i="2"/>
  <c r="BT329" i="2"/>
  <c r="BF330" i="2"/>
  <c r="BG330" i="2"/>
  <c r="BN330" i="2"/>
  <c r="BP330" i="2"/>
  <c r="BQ330" i="2"/>
  <c r="BR330" i="2"/>
  <c r="BS330" i="2"/>
  <c r="BT330" i="2"/>
  <c r="BF331" i="2"/>
  <c r="BG331" i="2"/>
  <c r="BN331" i="2"/>
  <c r="BP331" i="2"/>
  <c r="BQ331" i="2"/>
  <c r="BR331" i="2"/>
  <c r="BS331" i="2"/>
  <c r="BT331" i="2"/>
  <c r="BF332" i="2"/>
  <c r="BG332" i="2"/>
  <c r="BN332" i="2"/>
  <c r="BP332" i="2"/>
  <c r="BQ332" i="2"/>
  <c r="BR332" i="2"/>
  <c r="BS332" i="2"/>
  <c r="BT332" i="2"/>
  <c r="BF333" i="2"/>
  <c r="BG333" i="2"/>
  <c r="BN333" i="2"/>
  <c r="BP333" i="2"/>
  <c r="BQ333" i="2"/>
  <c r="BR333" i="2"/>
  <c r="BS333" i="2"/>
  <c r="BT333" i="2"/>
  <c r="BF334" i="2"/>
  <c r="BG334" i="2"/>
  <c r="BN334" i="2"/>
  <c r="BP334" i="2"/>
  <c r="BQ334" i="2"/>
  <c r="BR334" i="2"/>
  <c r="BS334" i="2"/>
  <c r="BT334" i="2"/>
  <c r="BF335" i="2"/>
  <c r="BG335" i="2"/>
  <c r="BN335" i="2"/>
  <c r="BP335" i="2"/>
  <c r="BQ335" i="2"/>
  <c r="BR335" i="2"/>
  <c r="BS335" i="2"/>
  <c r="BT335" i="2"/>
  <c r="BF336" i="2"/>
  <c r="BG336" i="2"/>
  <c r="BN336" i="2"/>
  <c r="BP336" i="2"/>
  <c r="BQ336" i="2"/>
  <c r="BR336" i="2"/>
  <c r="BS336" i="2"/>
  <c r="BT336" i="2"/>
  <c r="BF337" i="2"/>
  <c r="BG337" i="2"/>
  <c r="BN337" i="2"/>
  <c r="BP337" i="2"/>
  <c r="BQ337" i="2"/>
  <c r="BR337" i="2"/>
  <c r="BS337" i="2"/>
  <c r="BT337" i="2"/>
  <c r="BF338" i="2"/>
  <c r="BG338" i="2"/>
  <c r="BN338" i="2"/>
  <c r="BP338" i="2"/>
  <c r="BQ338" i="2"/>
  <c r="BR338" i="2"/>
  <c r="BS338" i="2"/>
  <c r="BT338" i="2"/>
  <c r="BF339" i="2"/>
  <c r="BG339" i="2"/>
  <c r="BN339" i="2"/>
  <c r="BP339" i="2"/>
  <c r="BQ339" i="2"/>
  <c r="BR339" i="2"/>
  <c r="BS339" i="2"/>
  <c r="BT339" i="2"/>
  <c r="BF340" i="2"/>
  <c r="BG340" i="2"/>
  <c r="BN340" i="2"/>
  <c r="BP340" i="2"/>
  <c r="BQ340" i="2"/>
  <c r="BR340" i="2"/>
  <c r="BS340" i="2"/>
  <c r="BT340" i="2"/>
  <c r="BF341" i="2"/>
  <c r="BG341" i="2"/>
  <c r="BN341" i="2"/>
  <c r="BP341" i="2"/>
  <c r="BQ341" i="2"/>
  <c r="BR341" i="2"/>
  <c r="BS341" i="2"/>
  <c r="BT341" i="2"/>
  <c r="BF342" i="2"/>
  <c r="BG342" i="2"/>
  <c r="BN342" i="2"/>
  <c r="BP342" i="2"/>
  <c r="BQ342" i="2"/>
  <c r="BR342" i="2"/>
  <c r="BS342" i="2"/>
  <c r="BT342" i="2"/>
  <c r="BJ249" i="2"/>
  <c r="BK231" i="2"/>
  <c r="BK299" i="2"/>
  <c r="BL231" i="2"/>
  <c r="BL249" i="2"/>
  <c r="BL284" i="2"/>
  <c r="BL299" i="2"/>
  <c r="BL317" i="2"/>
  <c r="BM237" i="2"/>
  <c r="BM255" i="2"/>
  <c r="BM272" i="2"/>
  <c r="BM305" i="2"/>
  <c r="BI323" i="2"/>
  <c r="BJ244" i="2"/>
  <c r="BJ279" i="2"/>
  <c r="BJ312" i="2"/>
  <c r="BK241" i="2"/>
  <c r="BK259" i="2"/>
  <c r="BK276" i="2"/>
  <c r="BK291" i="2"/>
  <c r="BL232" i="2"/>
  <c r="BL250" i="2"/>
  <c r="BL267" i="2"/>
  <c r="BL285" i="2"/>
  <c r="BL300" i="2"/>
  <c r="BL318" i="2"/>
  <c r="BL335" i="2"/>
  <c r="BM235" i="2"/>
  <c r="BM253" i="2"/>
  <c r="BM270" i="2"/>
  <c r="BM288" i="2"/>
  <c r="BM303" i="2"/>
  <c r="BJ254" i="2"/>
  <c r="BJ289" i="2"/>
  <c r="BK254" i="2"/>
  <c r="BK289" i="2"/>
  <c r="BK322" i="2"/>
  <c r="BL236" i="2"/>
  <c r="BL254" i="2"/>
  <c r="BL271" i="2"/>
  <c r="BL289" i="2"/>
  <c r="BL304" i="2"/>
  <c r="BL322" i="2"/>
  <c r="BL341" i="2"/>
  <c r="BO307" i="2"/>
  <c r="BI341" i="2"/>
  <c r="BO320" i="2"/>
  <c r="BJ290" i="2"/>
  <c r="BK340" i="2"/>
  <c r="BO266" i="2"/>
  <c r="BJ336" i="2"/>
  <c r="BM304" i="2"/>
  <c r="BI327" i="2"/>
  <c r="BO304" i="2"/>
  <c r="BO277" i="2"/>
  <c r="BJ328" i="2"/>
  <c r="BO329" i="2"/>
  <c r="BI322" i="2"/>
  <c r="BI338" i="2"/>
  <c r="BI264" i="2"/>
  <c r="BM326" i="2"/>
  <c r="BO276" i="2"/>
  <c r="BM323" i="2"/>
  <c r="BI246" i="2"/>
  <c r="BO336" i="2"/>
  <c r="BO232" i="2"/>
  <c r="BI296" i="2"/>
  <c r="BH282" i="2"/>
  <c r="BO240" i="2"/>
  <c r="BH333" i="2"/>
  <c r="BK319" i="2"/>
  <c r="BO301" i="2"/>
  <c r="BJ327" i="2"/>
  <c r="BM242" i="2"/>
  <c r="BJ252" i="2"/>
  <c r="BK234" i="2"/>
  <c r="BK269" i="2"/>
  <c r="BK302" i="2"/>
  <c r="BH232" i="2"/>
  <c r="BH250" i="2"/>
  <c r="BH267" i="2"/>
  <c r="BH285" i="2"/>
  <c r="BH300" i="2"/>
  <c r="BH318" i="2"/>
  <c r="BI238" i="2"/>
  <c r="BI256" i="2"/>
  <c r="BI273" i="2"/>
  <c r="BI306" i="2"/>
  <c r="BM325" i="2"/>
  <c r="BJ247" i="2"/>
  <c r="BJ282" i="2"/>
  <c r="BJ315" i="2"/>
  <c r="BO243" i="2"/>
  <c r="BO261" i="2"/>
  <c r="BO278" i="2"/>
  <c r="BO293" i="2"/>
  <c r="BH233" i="2"/>
  <c r="BH251" i="2"/>
  <c r="BH268" i="2"/>
  <c r="BH286" i="2"/>
  <c r="BH301" i="2"/>
  <c r="BH319" i="2"/>
  <c r="BH336" i="2"/>
  <c r="BI236" i="2"/>
  <c r="BI254" i="2"/>
  <c r="BI271" i="2"/>
  <c r="BI289" i="2"/>
  <c r="BI304" i="2"/>
  <c r="BJ257" i="2"/>
  <c r="BK257" i="2"/>
  <c r="BK324" i="2"/>
  <c r="BH237" i="2"/>
  <c r="BH255" i="2"/>
  <c r="BH272" i="2"/>
  <c r="BH305" i="2"/>
  <c r="BL324" i="2"/>
  <c r="BH342" i="2"/>
  <c r="BI316" i="2"/>
  <c r="BI258" i="2"/>
  <c r="BO333" i="2"/>
  <c r="BO295" i="2"/>
  <c r="BO233" i="2"/>
  <c r="BI299" i="2"/>
  <c r="BO274" i="2"/>
  <c r="BI337" i="2"/>
  <c r="BJ310" i="2"/>
  <c r="BO335" i="2"/>
  <c r="BM310" i="2"/>
  <c r="BI281" i="2"/>
  <c r="BH329" i="2"/>
  <c r="BI231" i="2"/>
  <c r="BJ323" i="2"/>
  <c r="BM342" i="2"/>
  <c r="BI272" i="2"/>
  <c r="BO327" i="2"/>
  <c r="BO280" i="2"/>
  <c r="BO324" i="2"/>
  <c r="BM254" i="2"/>
  <c r="BO341" i="2"/>
  <c r="BK266" i="2"/>
  <c r="BL260" i="2"/>
  <c r="BH328" i="2"/>
  <c r="BI342" i="2"/>
  <c r="BJ299" i="2"/>
  <c r="BK337" i="2"/>
  <c r="BM251" i="2"/>
  <c r="BL331" i="2"/>
  <c r="BH247" i="2"/>
  <c r="BI288" i="2"/>
  <c r="BH230" i="2"/>
  <c r="BI233" i="2"/>
  <c r="BH252" i="2"/>
  <c r="BO319" i="2"/>
  <c r="BK309" i="2"/>
  <c r="BJ255" i="2"/>
  <c r="BK237" i="2"/>
  <c r="BK272" i="2"/>
  <c r="BK305" i="2"/>
  <c r="BL234" i="2"/>
  <c r="BL252" i="2"/>
  <c r="BL269" i="2"/>
  <c r="BL287" i="2"/>
  <c r="BL302" i="2"/>
  <c r="BL320" i="2"/>
  <c r="BM240" i="2"/>
  <c r="BM258" i="2"/>
  <c r="BM275" i="2"/>
  <c r="BM290" i="2"/>
  <c r="BM308" i="2"/>
  <c r="BI326" i="2"/>
  <c r="BJ250" i="2"/>
  <c r="BJ285" i="2"/>
  <c r="BJ318" i="2"/>
  <c r="BK244" i="2"/>
  <c r="BK262" i="2"/>
  <c r="BK279" i="2"/>
  <c r="BK294" i="2"/>
  <c r="BL235" i="2"/>
  <c r="BL253" i="2"/>
  <c r="BL270" i="2"/>
  <c r="BL288" i="2"/>
  <c r="BL303" i="2"/>
  <c r="BL321" i="2"/>
  <c r="BL338" i="2"/>
  <c r="BM238" i="2"/>
  <c r="BM256" i="2"/>
  <c r="BM273" i="2"/>
  <c r="BI307" i="2"/>
  <c r="BJ260" i="2"/>
  <c r="BJ292" i="2"/>
  <c r="BK260" i="2"/>
  <c r="BK292" i="2"/>
  <c r="BK327" i="2"/>
  <c r="BL239" i="2"/>
  <c r="BL257" i="2"/>
  <c r="BL274" i="2"/>
  <c r="BL307" i="2"/>
  <c r="BH325" i="2"/>
  <c r="BO238" i="2"/>
  <c r="BI317" i="2"/>
  <c r="BH335" i="2"/>
  <c r="BO300" i="2"/>
  <c r="BO241" i="2"/>
  <c r="BJ305" i="2"/>
  <c r="BJ287" i="2"/>
  <c r="BJ341" i="2"/>
  <c r="BJ311" i="2"/>
  <c r="BK342" i="2"/>
  <c r="BO312" i="2"/>
  <c r="BO286" i="2"/>
  <c r="BI330" i="2"/>
  <c r="BM239" i="2"/>
  <c r="BJ324" i="2"/>
  <c r="BI339" i="2"/>
  <c r="BM280" i="2"/>
  <c r="BK329" i="2"/>
  <c r="BO285" i="2"/>
  <c r="BO326" i="2"/>
  <c r="BM263" i="2"/>
  <c r="BO325" i="2"/>
  <c r="BJ325" i="2"/>
  <c r="BM289" i="2"/>
  <c r="BO267" i="2"/>
  <c r="BL306" i="2"/>
  <c r="BJ266" i="2"/>
  <c r="BK333" i="2"/>
  <c r="BL292" i="2"/>
  <c r="BM319" i="2"/>
  <c r="BO306" i="2"/>
  <c r="BO313" i="2"/>
  <c r="BK326" i="2"/>
  <c r="BO330" i="2"/>
  <c r="BH229" i="2"/>
  <c r="BI321" i="2"/>
  <c r="BH283" i="2"/>
  <c r="BI286" i="2"/>
  <c r="BH287" i="2"/>
  <c r="BI335" i="2"/>
  <c r="BM321" i="2"/>
  <c r="BO342" i="2"/>
  <c r="BJ258" i="2"/>
  <c r="BK240" i="2"/>
  <c r="BK275" i="2"/>
  <c r="BK308" i="2"/>
  <c r="BH235" i="2"/>
  <c r="BH253" i="2"/>
  <c r="BH270" i="2"/>
  <c r="BH288" i="2"/>
  <c r="BH303" i="2"/>
  <c r="BH321" i="2"/>
  <c r="BI241" i="2"/>
  <c r="BI259" i="2"/>
  <c r="BI276" i="2"/>
  <c r="BI291" i="2"/>
  <c r="BI309" i="2"/>
  <c r="BM328" i="2"/>
  <c r="BJ253" i="2"/>
  <c r="BJ288" i="2"/>
  <c r="BJ321" i="2"/>
  <c r="BO246" i="2"/>
  <c r="BO264" i="2"/>
  <c r="BO281" i="2"/>
  <c r="BO296" i="2"/>
  <c r="BH236" i="2"/>
  <c r="BH254" i="2"/>
  <c r="BH271" i="2"/>
  <c r="BH289" i="2"/>
  <c r="BH304" i="2"/>
  <c r="BH322" i="2"/>
  <c r="BH339" i="2"/>
  <c r="BI239" i="2"/>
  <c r="BI257" i="2"/>
  <c r="BI274" i="2"/>
  <c r="BI310" i="2"/>
  <c r="BJ263" i="2"/>
  <c r="BJ295" i="2"/>
  <c r="BK263" i="2"/>
  <c r="BK295" i="2"/>
  <c r="BK330" i="2"/>
  <c r="BH240" i="2"/>
  <c r="BH258" i="2"/>
  <c r="BH275" i="2"/>
  <c r="BH290" i="2"/>
  <c r="BH308" i="2"/>
  <c r="BL327" i="2"/>
  <c r="BO242" i="2"/>
  <c r="BK318" i="2"/>
  <c r="BO279" i="2"/>
  <c r="BH340" i="2"/>
  <c r="BI305" i="2"/>
  <c r="BO245" i="2"/>
  <c r="BJ313" i="2"/>
  <c r="BM236" i="2"/>
  <c r="BM312" i="2"/>
  <c r="BO322" i="2"/>
  <c r="BI328" i="2"/>
  <c r="BI331" i="2"/>
  <c r="BI243" i="2"/>
  <c r="BM307" i="2"/>
  <c r="BM330" i="2"/>
  <c r="BM329" i="2"/>
  <c r="BO337" i="2"/>
  <c r="BL323" i="2"/>
  <c r="BL242" i="2"/>
  <c r="BL310" i="2"/>
  <c r="BM283" i="2"/>
  <c r="BJ314" i="2"/>
  <c r="BI240" i="2"/>
  <c r="BL337" i="2"/>
  <c r="BJ319" i="2"/>
  <c r="BI284" i="2"/>
  <c r="BJ276" i="2"/>
  <c r="BM298" i="2"/>
  <c r="BJ261" i="2"/>
  <c r="BK243" i="2"/>
  <c r="BK278" i="2"/>
  <c r="BK311" i="2"/>
  <c r="BL237" i="2"/>
  <c r="BL255" i="2"/>
  <c r="BL272" i="2"/>
  <c r="BL305" i="2"/>
  <c r="BH323" i="2"/>
  <c r="BM243" i="2"/>
  <c r="BM261" i="2"/>
  <c r="BM278" i="2"/>
  <c r="BM293" i="2"/>
  <c r="BM311" i="2"/>
  <c r="BI329" i="2"/>
  <c r="BJ256" i="2"/>
  <c r="BK229" i="2"/>
  <c r="BK247" i="2"/>
  <c r="BK265" i="2"/>
  <c r="BK282" i="2"/>
  <c r="BK297" i="2"/>
  <c r="BL238" i="2"/>
  <c r="BL256" i="2"/>
  <c r="BL273" i="2"/>
  <c r="BL340" i="2"/>
  <c r="BM241" i="2"/>
  <c r="BM259" i="2"/>
  <c r="BM276" i="2"/>
  <c r="BM291" i="2"/>
  <c r="BJ230" i="2"/>
  <c r="BK230" i="2"/>
  <c r="BK298" i="2"/>
  <c r="BL277" i="2"/>
  <c r="BO250" i="2"/>
  <c r="BO253" i="2"/>
  <c r="BJ293" i="2"/>
  <c r="BO292" i="2"/>
  <c r="BH265" i="2"/>
  <c r="BJ241" i="2"/>
  <c r="BH298" i="2"/>
  <c r="BJ251" i="2"/>
  <c r="BH302" i="2"/>
  <c r="BK335" i="2"/>
  <c r="BM337" i="2"/>
  <c r="BJ264" i="2"/>
  <c r="BK246" i="2"/>
  <c r="BK281" i="2"/>
  <c r="BK314" i="2"/>
  <c r="BH238" i="2"/>
  <c r="BH256" i="2"/>
  <c r="BH273" i="2"/>
  <c r="BH306" i="2"/>
  <c r="BL325" i="2"/>
  <c r="BI244" i="2"/>
  <c r="BI262" i="2"/>
  <c r="BI279" i="2"/>
  <c r="BI294" i="2"/>
  <c r="BI312" i="2"/>
  <c r="BM331" i="2"/>
  <c r="BJ259" i="2"/>
  <c r="BJ291" i="2"/>
  <c r="BO231" i="2"/>
  <c r="BO249" i="2"/>
  <c r="BO284" i="2"/>
  <c r="BO299" i="2"/>
  <c r="BH239" i="2"/>
  <c r="BH257" i="2"/>
  <c r="BH274" i="2"/>
  <c r="BH307" i="2"/>
  <c r="BH324" i="2"/>
  <c r="BH341" i="2"/>
  <c r="BI242" i="2"/>
  <c r="BI260" i="2"/>
  <c r="BI277" i="2"/>
  <c r="BI292" i="2"/>
  <c r="BJ233" i="2"/>
  <c r="BJ268" i="2"/>
  <c r="BK233" i="2"/>
  <c r="BK268" i="2"/>
  <c r="BK301" i="2"/>
  <c r="BK336" i="2"/>
  <c r="BH243" i="2"/>
  <c r="BH261" i="2"/>
  <c r="BH278" i="2"/>
  <c r="BH293" i="2"/>
  <c r="BH311" i="2"/>
  <c r="BL330" i="2"/>
  <c r="BO254" i="2"/>
  <c r="BO321" i="2"/>
  <c r="BI290" i="2"/>
  <c r="BO229" i="2"/>
  <c r="BI313" i="2"/>
  <c r="BM257" i="2"/>
  <c r="BM315" i="2"/>
  <c r="BJ304" i="2"/>
  <c r="BM248" i="2"/>
  <c r="BO314" i="2"/>
  <c r="BO236" i="2"/>
  <c r="BO340" i="2"/>
  <c r="BO298" i="2"/>
  <c r="BH338" i="2"/>
  <c r="BO260" i="2"/>
  <c r="BM327" i="2"/>
  <c r="BO331" i="2"/>
  <c r="BO297" i="2"/>
  <c r="BJ332" i="2"/>
  <c r="BJ301" i="2"/>
  <c r="BK332" i="2"/>
  <c r="BM301" i="2"/>
  <c r="BL230" i="2"/>
  <c r="BJ335" i="2"/>
  <c r="BI324" i="2"/>
  <c r="BO309" i="2"/>
  <c r="BH297" i="2"/>
  <c r="BJ309" i="2"/>
  <c r="BH316" i="2"/>
  <c r="BK251" i="2"/>
  <c r="BL339" i="2"/>
  <c r="BJ342" i="2"/>
  <c r="BM230" i="2"/>
  <c r="BJ231" i="2"/>
  <c r="BK249" i="2"/>
  <c r="BK284" i="2"/>
  <c r="BK317" i="2"/>
  <c r="BL240" i="2"/>
  <c r="BL258" i="2"/>
  <c r="BL275" i="2"/>
  <c r="BL290" i="2"/>
  <c r="BL308" i="2"/>
  <c r="BH326" i="2"/>
  <c r="BM246" i="2"/>
  <c r="BM264" i="2"/>
  <c r="BM281" i="2"/>
  <c r="BM296" i="2"/>
  <c r="BM314" i="2"/>
  <c r="BI332" i="2"/>
  <c r="BJ262" i="2"/>
  <c r="BJ294" i="2"/>
  <c r="BK232" i="2"/>
  <c r="BK250" i="2"/>
  <c r="BK267" i="2"/>
  <c r="BK285" i="2"/>
  <c r="BK300" i="2"/>
  <c r="BL241" i="2"/>
  <c r="BL259" i="2"/>
  <c r="BL276" i="2"/>
  <c r="BL291" i="2"/>
  <c r="BL309" i="2"/>
  <c r="BL326" i="2"/>
  <c r="BM306" i="2"/>
  <c r="BM244" i="2"/>
  <c r="BM262" i="2"/>
  <c r="BM279" i="2"/>
  <c r="BM294" i="2"/>
  <c r="BJ236" i="2"/>
  <c r="BJ271" i="2"/>
  <c r="BK236" i="2"/>
  <c r="BK271" i="2"/>
  <c r="BK304" i="2"/>
  <c r="BK339" i="2"/>
  <c r="BL245" i="2"/>
  <c r="BL263" i="2"/>
  <c r="BL280" i="2"/>
  <c r="BL295" i="2"/>
  <c r="BL313" i="2"/>
  <c r="BH331" i="2"/>
  <c r="BO263" i="2"/>
  <c r="BO332" i="2"/>
  <c r="BM295" i="2"/>
  <c r="BM233" i="2"/>
  <c r="BI314" i="2"/>
  <c r="BO262" i="2"/>
  <c r="BO316" i="2"/>
  <c r="BI311" i="2"/>
  <c r="BI252" i="2"/>
  <c r="BM335" i="2"/>
  <c r="BO244" i="2"/>
  <c r="BO323" i="2"/>
  <c r="BO310" i="2"/>
  <c r="BL342" i="2"/>
  <c r="BO268" i="2"/>
  <c r="BL328" i="2"/>
  <c r="BM339" i="2"/>
  <c r="BI302" i="2"/>
  <c r="BI333" i="2"/>
  <c r="BJ302" i="2"/>
  <c r="BJ333" i="2"/>
  <c r="BO308" i="2"/>
  <c r="BJ277" i="2"/>
  <c r="BH334" i="2"/>
  <c r="BJ316" i="2"/>
  <c r="BM316" i="2"/>
  <c r="BM313" i="2"/>
  <c r="BM277" i="2"/>
  <c r="BI234" i="2"/>
  <c r="BO239" i="2"/>
  <c r="BK338" i="2"/>
  <c r="BK296" i="2"/>
  <c r="BI303" i="2"/>
  <c r="BH266" i="2"/>
  <c r="BI301" i="2"/>
  <c r="BH320" i="2"/>
  <c r="BJ298" i="2"/>
  <c r="BM324" i="2"/>
  <c r="BJ234" i="2"/>
  <c r="BJ269" i="2"/>
  <c r="BK252" i="2"/>
  <c r="BK287" i="2"/>
  <c r="BK320" i="2"/>
  <c r="BH241" i="2"/>
  <c r="BH259" i="2"/>
  <c r="BH276" i="2"/>
  <c r="BH291" i="2"/>
  <c r="BH309" i="2"/>
  <c r="BI229" i="2"/>
  <c r="BI247" i="2"/>
  <c r="BI265" i="2"/>
  <c r="BI282" i="2"/>
  <c r="BI297" i="2"/>
  <c r="BI315" i="2"/>
  <c r="BJ229" i="2"/>
  <c r="BJ265" i="2"/>
  <c r="BJ297" i="2"/>
  <c r="BO234" i="2"/>
  <c r="BO252" i="2"/>
  <c r="BO269" i="2"/>
  <c r="BO287" i="2"/>
  <c r="BO302" i="2"/>
  <c r="BH242" i="2"/>
  <c r="BH260" i="2"/>
  <c r="BH277" i="2"/>
  <c r="BH292" i="2"/>
  <c r="BH310" i="2"/>
  <c r="BH327" i="2"/>
  <c r="BM309" i="2"/>
  <c r="BI245" i="2"/>
  <c r="BI263" i="2"/>
  <c r="BI280" i="2"/>
  <c r="BI295" i="2"/>
  <c r="BJ239" i="2"/>
  <c r="BJ274" i="2"/>
  <c r="BK239" i="2"/>
  <c r="BK274" i="2"/>
  <c r="BK307" i="2"/>
  <c r="BK341" i="2"/>
  <c r="BH246" i="2"/>
  <c r="BH264" i="2"/>
  <c r="BH281" i="2"/>
  <c r="BH296" i="2"/>
  <c r="BH314" i="2"/>
  <c r="BL333" i="2"/>
  <c r="BO271" i="2"/>
  <c r="BK334" i="2"/>
  <c r="BK306" i="2"/>
  <c r="BI237" i="2"/>
  <c r="BK315" i="2"/>
  <c r="BM266" i="2"/>
  <c r="BO317" i="2"/>
  <c r="BK312" i="2"/>
  <c r="BI261" i="2"/>
  <c r="BM336" i="2"/>
  <c r="BO248" i="2"/>
  <c r="BO256" i="2"/>
  <c r="BO311" i="2"/>
  <c r="BJ338" i="2"/>
  <c r="BJ329" i="2"/>
  <c r="BO235" i="2"/>
  <c r="BJ308" i="2"/>
  <c r="BO259" i="2"/>
  <c r="BJ307" i="2"/>
  <c r="BI334" i="2"/>
  <c r="BJ320" i="2"/>
  <c r="BM229" i="2"/>
  <c r="BL316" i="2"/>
  <c r="BM245" i="2"/>
  <c r="BI269" i="2"/>
  <c r="BM260" i="2"/>
  <c r="BM292" i="2"/>
  <c r="BO289" i="2"/>
  <c r="BM332" i="2"/>
  <c r="BJ246" i="2"/>
  <c r="BI270" i="2"/>
  <c r="BH248" i="2"/>
  <c r="BI268" i="2"/>
  <c r="BH234" i="2"/>
  <c r="BI340" i="2"/>
  <c r="BO273" i="2"/>
  <c r="BJ237" i="2"/>
  <c r="BJ272" i="2"/>
  <c r="BK255" i="2"/>
  <c r="BK325" i="2"/>
  <c r="BL243" i="2"/>
  <c r="BL261" i="2"/>
  <c r="BL278" i="2"/>
  <c r="BL293" i="2"/>
  <c r="BL311" i="2"/>
  <c r="BM231" i="2"/>
  <c r="BM249" i="2"/>
  <c r="BM284" i="2"/>
  <c r="BM299" i="2"/>
  <c r="BM317" i="2"/>
  <c r="BJ232" i="2"/>
  <c r="BJ267" i="2"/>
  <c r="BJ300" i="2"/>
  <c r="BK235" i="2"/>
  <c r="BK253" i="2"/>
  <c r="BK270" i="2"/>
  <c r="BK288" i="2"/>
  <c r="BK303" i="2"/>
  <c r="BL244" i="2"/>
  <c r="BL262" i="2"/>
  <c r="BL279" i="2"/>
  <c r="BL294" i="2"/>
  <c r="BL312" i="2"/>
  <c r="BL329" i="2"/>
  <c r="BM247" i="2"/>
  <c r="BM265" i="2"/>
  <c r="BM282" i="2"/>
  <c r="BM297" i="2"/>
  <c r="BJ242" i="2"/>
  <c r="BK242" i="2"/>
  <c r="BK277" i="2"/>
  <c r="BK310" i="2"/>
  <c r="BL248" i="2"/>
  <c r="BL266" i="2"/>
  <c r="BL283" i="2"/>
  <c r="BL298" i="2"/>
  <c r="BI275" i="2"/>
  <c r="BO338" i="2"/>
  <c r="BO270" i="2"/>
  <c r="BJ337" i="2"/>
  <c r="BJ330" i="2"/>
  <c r="BI319" i="2"/>
  <c r="BK264" i="2"/>
  <c r="BI235" i="2"/>
  <c r="BO258" i="2"/>
  <c r="BI251" i="2"/>
  <c r="BH269" i="2"/>
  <c r="BO288" i="2"/>
  <c r="BI255" i="2"/>
  <c r="BJ240" i="2"/>
  <c r="BJ275" i="2"/>
  <c r="BK258" i="2"/>
  <c r="BK290" i="2"/>
  <c r="BK328" i="2"/>
  <c r="BH244" i="2"/>
  <c r="BH262" i="2"/>
  <c r="BH279" i="2"/>
  <c r="BH294" i="2"/>
  <c r="BH312" i="2"/>
  <c r="BI232" i="2"/>
  <c r="BI250" i="2"/>
  <c r="BI267" i="2"/>
  <c r="BI285" i="2"/>
  <c r="BI300" i="2"/>
  <c r="BI318" i="2"/>
  <c r="BJ235" i="2"/>
  <c r="BJ270" i="2"/>
  <c r="BJ303" i="2"/>
  <c r="BO237" i="2"/>
  <c r="BO255" i="2"/>
  <c r="BO272" i="2"/>
  <c r="BO305" i="2"/>
  <c r="BH245" i="2"/>
  <c r="BH263" i="2"/>
  <c r="BH280" i="2"/>
  <c r="BH295" i="2"/>
  <c r="BH313" i="2"/>
  <c r="BH330" i="2"/>
  <c r="BI230" i="2"/>
  <c r="BI248" i="2"/>
  <c r="BI266" i="2"/>
  <c r="BI283" i="2"/>
  <c r="BI298" i="2"/>
  <c r="BJ245" i="2"/>
  <c r="BJ280" i="2"/>
  <c r="BK245" i="2"/>
  <c r="BK280" i="2"/>
  <c r="BK313" i="2"/>
  <c r="BH231" i="2"/>
  <c r="BH249" i="2"/>
  <c r="BH284" i="2"/>
  <c r="BH299" i="2"/>
  <c r="BH317" i="2"/>
  <c r="BL336" i="2"/>
  <c r="BJ284" i="2"/>
  <c r="BL334" i="2"/>
  <c r="BJ317" i="2"/>
  <c r="BI249" i="2"/>
  <c r="BO318" i="2"/>
  <c r="BM274" i="2"/>
  <c r="BI336" i="2"/>
  <c r="BO315" i="2"/>
  <c r="BO282" i="2"/>
  <c r="BM340" i="2"/>
  <c r="BM286" i="2"/>
  <c r="BO265" i="2"/>
  <c r="BI325" i="2"/>
  <c r="BM271" i="2"/>
  <c r="BO303" i="2"/>
  <c r="BJ331" i="2"/>
  <c r="BO247" i="2"/>
  <c r="BJ322" i="2"/>
  <c r="BM333" i="2"/>
  <c r="BI320" i="2"/>
  <c r="BJ339" i="2"/>
  <c r="BJ334" i="2"/>
  <c r="BH315" i="2"/>
  <c r="BO275" i="2"/>
  <c r="BK286" i="2"/>
  <c r="BO257" i="2"/>
  <c r="BJ243" i="2"/>
  <c r="BJ278" i="2"/>
  <c r="BK261" i="2"/>
  <c r="BK293" i="2"/>
  <c r="BK331" i="2"/>
  <c r="BL246" i="2"/>
  <c r="BL264" i="2"/>
  <c r="BL281" i="2"/>
  <c r="BL296" i="2"/>
  <c r="BL314" i="2"/>
  <c r="BM234" i="2"/>
  <c r="BM252" i="2"/>
  <c r="BM269" i="2"/>
  <c r="BM287" i="2"/>
  <c r="BM302" i="2"/>
  <c r="BM320" i="2"/>
  <c r="BJ238" i="2"/>
  <c r="BJ273" i="2"/>
  <c r="BJ306" i="2"/>
  <c r="BK238" i="2"/>
  <c r="BK256" i="2"/>
  <c r="BK273" i="2"/>
  <c r="BL229" i="2"/>
  <c r="BL247" i="2"/>
  <c r="BL265" i="2"/>
  <c r="BL282" i="2"/>
  <c r="BL297" i="2"/>
  <c r="BL315" i="2"/>
  <c r="BL332" i="2"/>
  <c r="BM232" i="2"/>
  <c r="BM250" i="2"/>
  <c r="BM267" i="2"/>
  <c r="BM285" i="2"/>
  <c r="BM300" i="2"/>
  <c r="BJ248" i="2"/>
  <c r="BJ283" i="2"/>
  <c r="BK248" i="2"/>
  <c r="BK283" i="2"/>
  <c r="BK316" i="2"/>
  <c r="BL233" i="2"/>
  <c r="BL251" i="2"/>
  <c r="BL268" i="2"/>
  <c r="BL286" i="2"/>
  <c r="BL301" i="2"/>
  <c r="BL319" i="2"/>
  <c r="BH337" i="2"/>
  <c r="BO291" i="2"/>
  <c r="BO339" i="2"/>
  <c r="BM318" i="2"/>
  <c r="BO283" i="2"/>
  <c r="BM334" i="2"/>
  <c r="BI278" i="2"/>
  <c r="BJ340" i="2"/>
  <c r="BO334" i="2"/>
  <c r="BO294" i="2"/>
  <c r="BM341" i="2"/>
  <c r="BI293" i="2"/>
  <c r="BM268" i="2"/>
  <c r="BJ326" i="2"/>
  <c r="BJ296" i="2"/>
  <c r="BI308" i="2"/>
  <c r="BH332" i="2"/>
  <c r="BO251" i="2"/>
  <c r="BK323" i="2"/>
  <c r="BM338" i="2"/>
  <c r="BK321" i="2"/>
  <c r="BO230" i="2"/>
  <c r="BO328" i="2"/>
  <c r="BJ281" i="2"/>
  <c r="BI253" i="2"/>
  <c r="BO290" i="2"/>
  <c r="BJ286" i="2"/>
  <c r="BI287" i="2"/>
  <c r="BM322" i="2"/>
  <c r="BU342" i="2" l="1"/>
  <c r="BU289" i="2"/>
  <c r="BU283" i="2"/>
  <c r="BU280" i="2"/>
  <c r="BU271" i="2"/>
  <c r="BU266" i="2"/>
  <c r="BU263" i="2"/>
  <c r="BU260" i="2"/>
  <c r="BU257" i="2"/>
  <c r="BU254" i="2"/>
  <c r="BU296" i="2"/>
  <c r="BU337" i="2"/>
  <c r="BU328" i="2"/>
  <c r="BU290" i="2"/>
  <c r="BU269" i="2"/>
  <c r="BU252" i="2"/>
  <c r="BU319" i="2"/>
  <c r="BU341" i="2"/>
  <c r="BU314" i="2"/>
  <c r="BU299" i="2"/>
  <c r="BU230" i="2"/>
  <c r="BU287" i="2"/>
  <c r="BU284" i="2"/>
  <c r="BU281" i="2"/>
  <c r="BU278" i="2"/>
  <c r="BU272" i="2"/>
  <c r="BU246" i="2"/>
  <c r="BU234" i="2"/>
  <c r="BU231" i="2"/>
  <c r="BU340" i="2"/>
  <c r="BU264" i="2"/>
  <c r="BU261" i="2"/>
  <c r="BU258" i="2"/>
  <c r="BU255" i="2"/>
  <c r="BU268" i="2"/>
  <c r="BU249" i="2"/>
  <c r="BU243" i="2"/>
  <c r="BU240" i="2"/>
  <c r="BU237" i="2"/>
  <c r="BU301" i="2"/>
  <c r="BU270" i="2"/>
  <c r="BU293" i="2"/>
  <c r="BU248" i="2"/>
  <c r="BU275" i="2"/>
  <c r="BU253" i="2"/>
  <c r="BU325" i="2"/>
  <c r="BU313" i="2"/>
  <c r="BU292" i="2"/>
  <c r="BU336" i="2"/>
  <c r="BU251" i="2"/>
  <c r="BU335" i="2"/>
  <c r="BU245" i="2"/>
  <c r="BU333" i="2"/>
  <c r="BU330" i="2"/>
  <c r="BU316" i="2"/>
  <c r="BU311" i="2"/>
  <c r="BU308" i="2"/>
  <c r="BU305" i="2"/>
  <c r="BU302" i="2"/>
  <c r="BU286" i="2"/>
  <c r="BU242" i="2"/>
  <c r="BU324" i="2"/>
  <c r="BU244" i="2"/>
  <c r="BU239" i="2"/>
  <c r="BU315" i="2"/>
  <c r="BU310" i="2"/>
  <c r="BU307" i="2"/>
  <c r="BU304" i="2"/>
  <c r="BU241" i="2"/>
  <c r="BU236" i="2"/>
  <c r="BU233" i="2"/>
  <c r="BU229" i="2"/>
  <c r="BU322" i="2"/>
  <c r="BU331" i="2"/>
  <c r="BU327" i="2"/>
  <c r="BU312" i="2"/>
  <c r="BU306" i="2"/>
  <c r="BU298" i="2"/>
  <c r="BU282" i="2"/>
  <c r="BU262" i="2"/>
  <c r="BU332" i="2"/>
  <c r="BU320" i="2"/>
  <c r="BU317" i="2"/>
  <c r="BU295" i="2"/>
  <c r="BU277" i="2"/>
  <c r="BU232" i="2"/>
  <c r="BU339" i="2"/>
  <c r="BU279" i="2"/>
  <c r="BU274" i="2"/>
  <c r="BU338" i="2"/>
  <c r="BU334" i="2"/>
  <c r="BU294" i="2"/>
  <c r="BU318" i="2"/>
  <c r="BU291" i="2"/>
  <c r="BU250" i="2"/>
  <c r="BU238" i="2"/>
  <c r="BU267" i="2"/>
  <c r="BU259" i="2"/>
  <c r="BU321" i="2"/>
  <c r="BU285" i="2"/>
  <c r="BU276" i="2"/>
  <c r="BU297" i="2"/>
  <c r="BU247" i="2"/>
  <c r="BU235" i="2"/>
  <c r="BU323" i="2"/>
  <c r="BU309" i="2"/>
  <c r="BU303" i="2"/>
  <c r="BU329" i="2"/>
  <c r="BU326" i="2"/>
  <c r="BU273" i="2"/>
  <c r="BU265" i="2"/>
  <c r="BU256" i="2"/>
  <c r="BU300" i="2"/>
  <c r="BU288" i="2"/>
  <c r="BG3" i="2"/>
  <c r="BG4" i="2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G83" i="2"/>
  <c r="BG84" i="2"/>
  <c r="BG85" i="2"/>
  <c r="BG86" i="2"/>
  <c r="BG87" i="2"/>
  <c r="BG88" i="2"/>
  <c r="BG89" i="2"/>
  <c r="BG90" i="2"/>
  <c r="BG91" i="2"/>
  <c r="BG92" i="2"/>
  <c r="BG93" i="2"/>
  <c r="BG94" i="2"/>
  <c r="BG95" i="2"/>
  <c r="BG96" i="2"/>
  <c r="BG97" i="2"/>
  <c r="BG98" i="2"/>
  <c r="BG99" i="2"/>
  <c r="BG100" i="2"/>
  <c r="BG101" i="2"/>
  <c r="BG102" i="2"/>
  <c r="BG103" i="2"/>
  <c r="BG104" i="2"/>
  <c r="BG105" i="2"/>
  <c r="BG106" i="2"/>
  <c r="BG107" i="2"/>
  <c r="BG108" i="2"/>
  <c r="BG109" i="2"/>
  <c r="BG110" i="2"/>
  <c r="BG111" i="2"/>
  <c r="BG112" i="2"/>
  <c r="BG113" i="2"/>
  <c r="BG114" i="2"/>
  <c r="BG115" i="2"/>
  <c r="BG116" i="2"/>
  <c r="BG117" i="2"/>
  <c r="BG118" i="2"/>
  <c r="BG119" i="2"/>
  <c r="BG120" i="2"/>
  <c r="BG121" i="2"/>
  <c r="BG122" i="2"/>
  <c r="BG123" i="2"/>
  <c r="BG124" i="2"/>
  <c r="BG125" i="2"/>
  <c r="BG126" i="2"/>
  <c r="BG127" i="2"/>
  <c r="BG128" i="2"/>
  <c r="BG129" i="2"/>
  <c r="BG130" i="2"/>
  <c r="BG131" i="2"/>
  <c r="BG132" i="2"/>
  <c r="BG133" i="2"/>
  <c r="BG134" i="2"/>
  <c r="BG135" i="2"/>
  <c r="BG136" i="2"/>
  <c r="BG137" i="2"/>
  <c r="BG138" i="2"/>
  <c r="BG139" i="2"/>
  <c r="BG140" i="2"/>
  <c r="BG141" i="2"/>
  <c r="BG142" i="2"/>
  <c r="BG143" i="2"/>
  <c r="BG144" i="2"/>
  <c r="BG145" i="2"/>
  <c r="BG146" i="2"/>
  <c r="BG147" i="2"/>
  <c r="BG148" i="2"/>
  <c r="BG149" i="2"/>
  <c r="BG150" i="2"/>
  <c r="BG151" i="2"/>
  <c r="BG152" i="2"/>
  <c r="BG153" i="2"/>
  <c r="BG154" i="2"/>
  <c r="BG155" i="2"/>
  <c r="BG156" i="2"/>
  <c r="BG157" i="2"/>
  <c r="BG158" i="2"/>
  <c r="BG159" i="2"/>
  <c r="BG160" i="2"/>
  <c r="BG161" i="2"/>
  <c r="BG162" i="2"/>
  <c r="BG163" i="2"/>
  <c r="BG164" i="2"/>
  <c r="BG165" i="2"/>
  <c r="BG166" i="2"/>
  <c r="BG167" i="2"/>
  <c r="BG168" i="2"/>
  <c r="BG169" i="2"/>
  <c r="BG170" i="2"/>
  <c r="BG171" i="2"/>
  <c r="BG172" i="2"/>
  <c r="BG173" i="2"/>
  <c r="BG174" i="2"/>
  <c r="BG175" i="2"/>
  <c r="BG176" i="2"/>
  <c r="BG177" i="2"/>
  <c r="BG178" i="2"/>
  <c r="BG179" i="2"/>
  <c r="BG180" i="2"/>
  <c r="BG181" i="2"/>
  <c r="BG182" i="2"/>
  <c r="BG183" i="2"/>
  <c r="BG184" i="2"/>
  <c r="BG185" i="2"/>
  <c r="BG186" i="2"/>
  <c r="BG187" i="2"/>
  <c r="BG188" i="2"/>
  <c r="BG189" i="2"/>
  <c r="BG190" i="2"/>
  <c r="BG191" i="2"/>
  <c r="BG192" i="2"/>
  <c r="BG193" i="2"/>
  <c r="BG194" i="2"/>
  <c r="BG195" i="2"/>
  <c r="BG196" i="2"/>
  <c r="BG197" i="2"/>
  <c r="BG198" i="2"/>
  <c r="BG199" i="2"/>
  <c r="BG200" i="2"/>
  <c r="BG201" i="2"/>
  <c r="BG202" i="2"/>
  <c r="BG203" i="2"/>
  <c r="BG204" i="2"/>
  <c r="BG205" i="2"/>
  <c r="BG206" i="2"/>
  <c r="BG207" i="2"/>
  <c r="BG208" i="2"/>
  <c r="BG209" i="2"/>
  <c r="BG210" i="2"/>
  <c r="BG211" i="2"/>
  <c r="BG212" i="2"/>
  <c r="BG213" i="2"/>
  <c r="BG214" i="2"/>
  <c r="BG215" i="2"/>
  <c r="BG216" i="2"/>
  <c r="BG217" i="2"/>
  <c r="BG218" i="2"/>
  <c r="BG219" i="2"/>
  <c r="BG220" i="2"/>
  <c r="BG221" i="2"/>
  <c r="BG222" i="2"/>
  <c r="BG223" i="2"/>
  <c r="BG224" i="2"/>
  <c r="BG225" i="2"/>
  <c r="BG226" i="2"/>
  <c r="BG227" i="2"/>
  <c r="BG228" i="2"/>
  <c r="BG2" i="2"/>
  <c r="BF228" i="2"/>
  <c r="BF227" i="2"/>
  <c r="BF226" i="2"/>
  <c r="BF225" i="2"/>
  <c r="BF224" i="2"/>
  <c r="BF223" i="2"/>
  <c r="BF222" i="2"/>
  <c r="BF221" i="2"/>
  <c r="BF220" i="2"/>
  <c r="BF219" i="2"/>
  <c r="BF218" i="2"/>
  <c r="BF217" i="2"/>
  <c r="BF216" i="2"/>
  <c r="BF215" i="2"/>
  <c r="BF214" i="2"/>
  <c r="BF213" i="2"/>
  <c r="BF212" i="2"/>
  <c r="BF211" i="2"/>
  <c r="BF210" i="2"/>
  <c r="BF209" i="2"/>
  <c r="BF208" i="2"/>
  <c r="BF207" i="2"/>
  <c r="BF206" i="2"/>
  <c r="BF205" i="2"/>
  <c r="BF204" i="2"/>
  <c r="BF203" i="2"/>
  <c r="BF202" i="2"/>
  <c r="BF201" i="2"/>
  <c r="BF200" i="2"/>
  <c r="BF199" i="2"/>
  <c r="BF198" i="2"/>
  <c r="BF197" i="2"/>
  <c r="BF196" i="2"/>
  <c r="BF195" i="2"/>
  <c r="BF194" i="2"/>
  <c r="BF193" i="2"/>
  <c r="BF192" i="2"/>
  <c r="BF191" i="2"/>
  <c r="BF190" i="2"/>
  <c r="BF189" i="2"/>
  <c r="BF188" i="2"/>
  <c r="BF187" i="2"/>
  <c r="BF186" i="2"/>
  <c r="BF185" i="2"/>
  <c r="BF184" i="2"/>
  <c r="BF183" i="2"/>
  <c r="BF182" i="2"/>
  <c r="BF181" i="2"/>
  <c r="BF180" i="2"/>
  <c r="BF179" i="2"/>
  <c r="BF178" i="2"/>
  <c r="BF177" i="2"/>
  <c r="BF176" i="2"/>
  <c r="BF175" i="2"/>
  <c r="BF174" i="2"/>
  <c r="BF173" i="2"/>
  <c r="BF172" i="2"/>
  <c r="BF171" i="2"/>
  <c r="BF170" i="2"/>
  <c r="BF169" i="2"/>
  <c r="BF168" i="2"/>
  <c r="BF167" i="2"/>
  <c r="BF166" i="2"/>
  <c r="BF165" i="2"/>
  <c r="BF164" i="2"/>
  <c r="BF163" i="2"/>
  <c r="BF162" i="2"/>
  <c r="BF161" i="2"/>
  <c r="BF160" i="2"/>
  <c r="BF159" i="2"/>
  <c r="BF158" i="2"/>
  <c r="BF157" i="2"/>
  <c r="BF156" i="2"/>
  <c r="BF155" i="2"/>
  <c r="BF154" i="2"/>
  <c r="BF153" i="2"/>
  <c r="BF152" i="2"/>
  <c r="BF151" i="2"/>
  <c r="BF150" i="2"/>
  <c r="BF149" i="2"/>
  <c r="BF148" i="2"/>
  <c r="BF147" i="2"/>
  <c r="BF146" i="2"/>
  <c r="BF145" i="2"/>
  <c r="BF144" i="2"/>
  <c r="BF143" i="2"/>
  <c r="BF142" i="2"/>
  <c r="BF141" i="2"/>
  <c r="BF140" i="2"/>
  <c r="BF139" i="2"/>
  <c r="BF138" i="2"/>
  <c r="BF137" i="2"/>
  <c r="BF136" i="2"/>
  <c r="BF135" i="2"/>
  <c r="BF134" i="2"/>
  <c r="BF133" i="2"/>
  <c r="BF132" i="2"/>
  <c r="BF131" i="2"/>
  <c r="BF130" i="2"/>
  <c r="BF129" i="2"/>
  <c r="BF128" i="2"/>
  <c r="BF127" i="2"/>
  <c r="BF126" i="2"/>
  <c r="BF125" i="2"/>
  <c r="BF124" i="2"/>
  <c r="BF123" i="2"/>
  <c r="BF122" i="2"/>
  <c r="BF121" i="2"/>
  <c r="BF120" i="2"/>
  <c r="BF119" i="2"/>
  <c r="BF118" i="2"/>
  <c r="BF117" i="2"/>
  <c r="BF116" i="2"/>
  <c r="BF115" i="2"/>
  <c r="BF114" i="2"/>
  <c r="BF113" i="2"/>
  <c r="BF112" i="2"/>
  <c r="BF111" i="2"/>
  <c r="BF110" i="2"/>
  <c r="BF109" i="2"/>
  <c r="BF108" i="2"/>
  <c r="BF107" i="2"/>
  <c r="BF106" i="2"/>
  <c r="BF105" i="2"/>
  <c r="BF104" i="2"/>
  <c r="BF103" i="2"/>
  <c r="BF102" i="2"/>
  <c r="BF101" i="2"/>
  <c r="BF100" i="2"/>
  <c r="BF99" i="2"/>
  <c r="BF98" i="2"/>
  <c r="BF97" i="2"/>
  <c r="BF96" i="2"/>
  <c r="BF95" i="2"/>
  <c r="BF94" i="2"/>
  <c r="BF93" i="2"/>
  <c r="BF92" i="2"/>
  <c r="BF91" i="2"/>
  <c r="BF90" i="2"/>
  <c r="BF89" i="2"/>
  <c r="BF88" i="2"/>
  <c r="BF87" i="2"/>
  <c r="BF86" i="2"/>
  <c r="BF85" i="2"/>
  <c r="BF84" i="2"/>
  <c r="BF83" i="2"/>
  <c r="BF82" i="2"/>
  <c r="BF81" i="2"/>
  <c r="BF80" i="2"/>
  <c r="BF79" i="2"/>
  <c r="BF78" i="2"/>
  <c r="BF77" i="2"/>
  <c r="BF76" i="2"/>
  <c r="BF75" i="2"/>
  <c r="BF74" i="2"/>
  <c r="BF73" i="2"/>
  <c r="BF72" i="2"/>
  <c r="BF71" i="2"/>
  <c r="BF70" i="2"/>
  <c r="BF69" i="2"/>
  <c r="BF68" i="2"/>
  <c r="BF67" i="2"/>
  <c r="BF66" i="2"/>
  <c r="BF65" i="2"/>
  <c r="BF64" i="2"/>
  <c r="BF63" i="2"/>
  <c r="BF62" i="2"/>
  <c r="BF61" i="2"/>
  <c r="BF60" i="2"/>
  <c r="BF59" i="2"/>
  <c r="BF58" i="2"/>
  <c r="BF57" i="2"/>
  <c r="BF56" i="2"/>
  <c r="BF55" i="2"/>
  <c r="BF54" i="2"/>
  <c r="BF53" i="2"/>
  <c r="BF52" i="2"/>
  <c r="BF51" i="2"/>
  <c r="BF50" i="2"/>
  <c r="BF49" i="2"/>
  <c r="BF48" i="2"/>
  <c r="BF47" i="2"/>
  <c r="BF46" i="2"/>
  <c r="BF45" i="2"/>
  <c r="BF44" i="2"/>
  <c r="BF43" i="2"/>
  <c r="BF42" i="2"/>
  <c r="BF41" i="2"/>
  <c r="BF40" i="2"/>
  <c r="BF39" i="2"/>
  <c r="BF38" i="2"/>
  <c r="BF37" i="2"/>
  <c r="BF36" i="2"/>
  <c r="BF35" i="2"/>
  <c r="BF34" i="2"/>
  <c r="BF33" i="2"/>
  <c r="BF32" i="2"/>
  <c r="BF31" i="2"/>
  <c r="BF30" i="2"/>
  <c r="BF29" i="2"/>
  <c r="BF28" i="2"/>
  <c r="BF27" i="2"/>
  <c r="BF26" i="2"/>
  <c r="BF25" i="2"/>
  <c r="BF24" i="2"/>
  <c r="BF23" i="2"/>
  <c r="BF22" i="2"/>
  <c r="BF21" i="2"/>
  <c r="BF20" i="2"/>
  <c r="BF19" i="2"/>
  <c r="BF18" i="2"/>
  <c r="BF17" i="2"/>
  <c r="BF16" i="2"/>
  <c r="BF15" i="2"/>
  <c r="BF14" i="2"/>
  <c r="BF13" i="2"/>
  <c r="BF12" i="2"/>
  <c r="BF11" i="2"/>
  <c r="BF10" i="2"/>
  <c r="BF9" i="2"/>
  <c r="BF8" i="2"/>
  <c r="BF7" i="2"/>
  <c r="BF6" i="2"/>
  <c r="BF5" i="2"/>
  <c r="BF4" i="2"/>
  <c r="BF3" i="2"/>
  <c r="BF2" i="2"/>
  <c r="BT228" i="2"/>
  <c r="BS228" i="2"/>
  <c r="BR228" i="2"/>
  <c r="BQ228" i="2"/>
  <c r="BT227" i="2"/>
  <c r="BS227" i="2"/>
  <c r="BR227" i="2"/>
  <c r="BQ227" i="2"/>
  <c r="BT226" i="2"/>
  <c r="BS226" i="2"/>
  <c r="BR226" i="2"/>
  <c r="BQ226" i="2"/>
  <c r="BT225" i="2"/>
  <c r="BS225" i="2"/>
  <c r="BR225" i="2"/>
  <c r="BQ225" i="2"/>
  <c r="BT224" i="2"/>
  <c r="BS224" i="2"/>
  <c r="BR224" i="2"/>
  <c r="BQ224" i="2"/>
  <c r="BT223" i="2"/>
  <c r="BS223" i="2"/>
  <c r="BR223" i="2"/>
  <c r="BQ223" i="2"/>
  <c r="BT222" i="2"/>
  <c r="BS222" i="2"/>
  <c r="BR222" i="2"/>
  <c r="BQ222" i="2"/>
  <c r="BT221" i="2"/>
  <c r="BS221" i="2"/>
  <c r="BR221" i="2"/>
  <c r="BQ221" i="2"/>
  <c r="BT220" i="2"/>
  <c r="BS220" i="2"/>
  <c r="BR220" i="2"/>
  <c r="BQ220" i="2"/>
  <c r="BT219" i="2"/>
  <c r="BS219" i="2"/>
  <c r="BR219" i="2"/>
  <c r="BQ219" i="2"/>
  <c r="BT218" i="2"/>
  <c r="BS218" i="2"/>
  <c r="BR218" i="2"/>
  <c r="BQ218" i="2"/>
  <c r="BT217" i="2"/>
  <c r="BS217" i="2"/>
  <c r="BR217" i="2"/>
  <c r="BQ217" i="2"/>
  <c r="BT216" i="2"/>
  <c r="BS216" i="2"/>
  <c r="BR216" i="2"/>
  <c r="BQ216" i="2"/>
  <c r="BT215" i="2"/>
  <c r="BS215" i="2"/>
  <c r="BR215" i="2"/>
  <c r="BQ215" i="2"/>
  <c r="BT214" i="2"/>
  <c r="BS214" i="2"/>
  <c r="BR214" i="2"/>
  <c r="BQ214" i="2"/>
  <c r="BT213" i="2"/>
  <c r="BS213" i="2"/>
  <c r="BR213" i="2"/>
  <c r="BQ213" i="2"/>
  <c r="BT212" i="2"/>
  <c r="BS212" i="2"/>
  <c r="BR212" i="2"/>
  <c r="BQ212" i="2"/>
  <c r="BT211" i="2"/>
  <c r="BS211" i="2"/>
  <c r="BR211" i="2"/>
  <c r="BQ211" i="2"/>
  <c r="BT210" i="2"/>
  <c r="BS210" i="2"/>
  <c r="BR210" i="2"/>
  <c r="BQ210" i="2"/>
  <c r="BT209" i="2"/>
  <c r="BS209" i="2"/>
  <c r="BR209" i="2"/>
  <c r="BQ209" i="2"/>
  <c r="BT208" i="2"/>
  <c r="BS208" i="2"/>
  <c r="BR208" i="2"/>
  <c r="BQ208" i="2"/>
  <c r="BT207" i="2"/>
  <c r="BS207" i="2"/>
  <c r="BR207" i="2"/>
  <c r="BQ207" i="2"/>
  <c r="BT206" i="2"/>
  <c r="BS206" i="2"/>
  <c r="BR206" i="2"/>
  <c r="BQ206" i="2"/>
  <c r="BT205" i="2"/>
  <c r="BS205" i="2"/>
  <c r="BR205" i="2"/>
  <c r="BQ205" i="2"/>
  <c r="BT204" i="2"/>
  <c r="BS204" i="2"/>
  <c r="BR204" i="2"/>
  <c r="BQ204" i="2"/>
  <c r="BT203" i="2"/>
  <c r="BS203" i="2"/>
  <c r="BR203" i="2"/>
  <c r="BQ203" i="2"/>
  <c r="BT202" i="2"/>
  <c r="BS202" i="2"/>
  <c r="BR202" i="2"/>
  <c r="BQ202" i="2"/>
  <c r="BT201" i="2"/>
  <c r="BS201" i="2"/>
  <c r="BR201" i="2"/>
  <c r="BQ201" i="2"/>
  <c r="BT200" i="2"/>
  <c r="BS200" i="2"/>
  <c r="BR200" i="2"/>
  <c r="BQ200" i="2"/>
  <c r="BT199" i="2"/>
  <c r="BS199" i="2"/>
  <c r="BR199" i="2"/>
  <c r="BQ199" i="2"/>
  <c r="BT198" i="2"/>
  <c r="BS198" i="2"/>
  <c r="BR198" i="2"/>
  <c r="BQ198" i="2"/>
  <c r="BT197" i="2"/>
  <c r="BS197" i="2"/>
  <c r="BR197" i="2"/>
  <c r="BQ197" i="2"/>
  <c r="BT196" i="2"/>
  <c r="BS196" i="2"/>
  <c r="BR196" i="2"/>
  <c r="BQ196" i="2"/>
  <c r="BT195" i="2"/>
  <c r="BS195" i="2"/>
  <c r="BR195" i="2"/>
  <c r="BQ195" i="2"/>
  <c r="BT194" i="2"/>
  <c r="BS194" i="2"/>
  <c r="BR194" i="2"/>
  <c r="BQ194" i="2"/>
  <c r="BT193" i="2"/>
  <c r="BS193" i="2"/>
  <c r="BR193" i="2"/>
  <c r="BQ193" i="2"/>
  <c r="BT192" i="2"/>
  <c r="BS192" i="2"/>
  <c r="BR192" i="2"/>
  <c r="BQ192" i="2"/>
  <c r="BT191" i="2"/>
  <c r="BS191" i="2"/>
  <c r="BR191" i="2"/>
  <c r="BQ191" i="2"/>
  <c r="BT190" i="2"/>
  <c r="BS190" i="2"/>
  <c r="BR190" i="2"/>
  <c r="BQ190" i="2"/>
  <c r="BT189" i="2"/>
  <c r="BS189" i="2"/>
  <c r="BR189" i="2"/>
  <c r="BQ189" i="2"/>
  <c r="BT188" i="2"/>
  <c r="BS188" i="2"/>
  <c r="BR188" i="2"/>
  <c r="BQ188" i="2"/>
  <c r="BT187" i="2"/>
  <c r="BS187" i="2"/>
  <c r="BR187" i="2"/>
  <c r="BQ187" i="2"/>
  <c r="BT186" i="2"/>
  <c r="BS186" i="2"/>
  <c r="BR186" i="2"/>
  <c r="BQ186" i="2"/>
  <c r="BT185" i="2"/>
  <c r="BS185" i="2"/>
  <c r="BR185" i="2"/>
  <c r="BQ185" i="2"/>
  <c r="BT184" i="2"/>
  <c r="BS184" i="2"/>
  <c r="BR184" i="2"/>
  <c r="BQ184" i="2"/>
  <c r="BT183" i="2"/>
  <c r="BS183" i="2"/>
  <c r="BR183" i="2"/>
  <c r="BQ183" i="2"/>
  <c r="BT182" i="2"/>
  <c r="BS182" i="2"/>
  <c r="BR182" i="2"/>
  <c r="BQ182" i="2"/>
  <c r="BT181" i="2"/>
  <c r="BS181" i="2"/>
  <c r="BR181" i="2"/>
  <c r="BQ181" i="2"/>
  <c r="BT180" i="2"/>
  <c r="BS180" i="2"/>
  <c r="BR180" i="2"/>
  <c r="BQ180" i="2"/>
  <c r="BT179" i="2"/>
  <c r="BS179" i="2"/>
  <c r="BR179" i="2"/>
  <c r="BQ179" i="2"/>
  <c r="BT178" i="2"/>
  <c r="BS178" i="2"/>
  <c r="BR178" i="2"/>
  <c r="BQ178" i="2"/>
  <c r="BT177" i="2"/>
  <c r="BS177" i="2"/>
  <c r="BR177" i="2"/>
  <c r="BQ177" i="2"/>
  <c r="BT176" i="2"/>
  <c r="BS176" i="2"/>
  <c r="BR176" i="2"/>
  <c r="BQ176" i="2"/>
  <c r="BT175" i="2"/>
  <c r="BS175" i="2"/>
  <c r="BR175" i="2"/>
  <c r="BQ175" i="2"/>
  <c r="BT174" i="2"/>
  <c r="BS174" i="2"/>
  <c r="BR174" i="2"/>
  <c r="BQ174" i="2"/>
  <c r="BT173" i="2"/>
  <c r="BS173" i="2"/>
  <c r="BR173" i="2"/>
  <c r="BQ173" i="2"/>
  <c r="BT172" i="2"/>
  <c r="BS172" i="2"/>
  <c r="BR172" i="2"/>
  <c r="BQ172" i="2"/>
  <c r="BT171" i="2"/>
  <c r="BS171" i="2"/>
  <c r="BR171" i="2"/>
  <c r="BQ171" i="2"/>
  <c r="BT170" i="2"/>
  <c r="BS170" i="2"/>
  <c r="BR170" i="2"/>
  <c r="BQ170" i="2"/>
  <c r="BT169" i="2"/>
  <c r="BS169" i="2"/>
  <c r="BR169" i="2"/>
  <c r="BQ169" i="2"/>
  <c r="BT168" i="2"/>
  <c r="BS168" i="2"/>
  <c r="BR168" i="2"/>
  <c r="BQ168" i="2"/>
  <c r="BT167" i="2"/>
  <c r="BS167" i="2"/>
  <c r="BR167" i="2"/>
  <c r="BQ167" i="2"/>
  <c r="BT166" i="2"/>
  <c r="BS166" i="2"/>
  <c r="BR166" i="2"/>
  <c r="BQ166" i="2"/>
  <c r="BT165" i="2"/>
  <c r="BS165" i="2"/>
  <c r="BR165" i="2"/>
  <c r="BQ165" i="2"/>
  <c r="BT164" i="2"/>
  <c r="BS164" i="2"/>
  <c r="BR164" i="2"/>
  <c r="BQ164" i="2"/>
  <c r="BT163" i="2"/>
  <c r="BS163" i="2"/>
  <c r="BR163" i="2"/>
  <c r="BQ163" i="2"/>
  <c r="BT162" i="2"/>
  <c r="BS162" i="2"/>
  <c r="BR162" i="2"/>
  <c r="BQ162" i="2"/>
  <c r="BT161" i="2"/>
  <c r="BS161" i="2"/>
  <c r="BR161" i="2"/>
  <c r="BQ161" i="2"/>
  <c r="BT160" i="2"/>
  <c r="BS160" i="2"/>
  <c r="BR160" i="2"/>
  <c r="BQ160" i="2"/>
  <c r="BT159" i="2"/>
  <c r="BS159" i="2"/>
  <c r="BR159" i="2"/>
  <c r="BQ159" i="2"/>
  <c r="BT158" i="2"/>
  <c r="BS158" i="2"/>
  <c r="BR158" i="2"/>
  <c r="BQ158" i="2"/>
  <c r="BT157" i="2"/>
  <c r="BS157" i="2"/>
  <c r="BR157" i="2"/>
  <c r="BQ157" i="2"/>
  <c r="BT156" i="2"/>
  <c r="BS156" i="2"/>
  <c r="BR156" i="2"/>
  <c r="BQ156" i="2"/>
  <c r="BT155" i="2"/>
  <c r="BS155" i="2"/>
  <c r="BR155" i="2"/>
  <c r="BQ155" i="2"/>
  <c r="BT154" i="2"/>
  <c r="BS154" i="2"/>
  <c r="BR154" i="2"/>
  <c r="BQ154" i="2"/>
  <c r="BT153" i="2"/>
  <c r="BS153" i="2"/>
  <c r="BR153" i="2"/>
  <c r="BQ153" i="2"/>
  <c r="BT152" i="2"/>
  <c r="BS152" i="2"/>
  <c r="BR152" i="2"/>
  <c r="BQ152" i="2"/>
  <c r="BT151" i="2"/>
  <c r="BS151" i="2"/>
  <c r="BR151" i="2"/>
  <c r="BQ151" i="2"/>
  <c r="BT150" i="2"/>
  <c r="BS150" i="2"/>
  <c r="BR150" i="2"/>
  <c r="BQ150" i="2"/>
  <c r="BT149" i="2"/>
  <c r="BS149" i="2"/>
  <c r="BR149" i="2"/>
  <c r="BQ149" i="2"/>
  <c r="BT148" i="2"/>
  <c r="BS148" i="2"/>
  <c r="BR148" i="2"/>
  <c r="BQ148" i="2"/>
  <c r="BT147" i="2"/>
  <c r="BS147" i="2"/>
  <c r="BR147" i="2"/>
  <c r="BQ147" i="2"/>
  <c r="BT146" i="2"/>
  <c r="BS146" i="2"/>
  <c r="BR146" i="2"/>
  <c r="BQ146" i="2"/>
  <c r="BT145" i="2"/>
  <c r="BS145" i="2"/>
  <c r="BR145" i="2"/>
  <c r="BQ145" i="2"/>
  <c r="BT144" i="2"/>
  <c r="BS144" i="2"/>
  <c r="BR144" i="2"/>
  <c r="BQ144" i="2"/>
  <c r="BT143" i="2"/>
  <c r="BS143" i="2"/>
  <c r="BR143" i="2"/>
  <c r="BQ143" i="2"/>
  <c r="BT142" i="2"/>
  <c r="BS142" i="2"/>
  <c r="BR142" i="2"/>
  <c r="BQ142" i="2"/>
  <c r="BT141" i="2"/>
  <c r="BS141" i="2"/>
  <c r="BR141" i="2"/>
  <c r="BQ141" i="2"/>
  <c r="BT140" i="2"/>
  <c r="BS140" i="2"/>
  <c r="BR140" i="2"/>
  <c r="BQ140" i="2"/>
  <c r="BT139" i="2"/>
  <c r="BS139" i="2"/>
  <c r="BR139" i="2"/>
  <c r="BQ139" i="2"/>
  <c r="BT138" i="2"/>
  <c r="BS138" i="2"/>
  <c r="BR138" i="2"/>
  <c r="BQ138" i="2"/>
  <c r="BT137" i="2"/>
  <c r="BS137" i="2"/>
  <c r="BR137" i="2"/>
  <c r="BQ137" i="2"/>
  <c r="BT136" i="2"/>
  <c r="BS136" i="2"/>
  <c r="BR136" i="2"/>
  <c r="BQ136" i="2"/>
  <c r="BT135" i="2"/>
  <c r="BS135" i="2"/>
  <c r="BR135" i="2"/>
  <c r="BQ135" i="2"/>
  <c r="BT134" i="2"/>
  <c r="BS134" i="2"/>
  <c r="BR134" i="2"/>
  <c r="BQ134" i="2"/>
  <c r="BT133" i="2"/>
  <c r="BS133" i="2"/>
  <c r="BR133" i="2"/>
  <c r="BQ133" i="2"/>
  <c r="BT132" i="2"/>
  <c r="BS132" i="2"/>
  <c r="BR132" i="2"/>
  <c r="BQ132" i="2"/>
  <c r="BT131" i="2"/>
  <c r="BS131" i="2"/>
  <c r="BR131" i="2"/>
  <c r="BQ131" i="2"/>
  <c r="BT130" i="2"/>
  <c r="BS130" i="2"/>
  <c r="BR130" i="2"/>
  <c r="BQ130" i="2"/>
  <c r="BT129" i="2"/>
  <c r="BS129" i="2"/>
  <c r="BR129" i="2"/>
  <c r="BQ129" i="2"/>
  <c r="BT128" i="2"/>
  <c r="BS128" i="2"/>
  <c r="BR128" i="2"/>
  <c r="BQ128" i="2"/>
  <c r="BT127" i="2"/>
  <c r="BS127" i="2"/>
  <c r="BR127" i="2"/>
  <c r="BQ127" i="2"/>
  <c r="BT126" i="2"/>
  <c r="BS126" i="2"/>
  <c r="BR126" i="2"/>
  <c r="BQ126" i="2"/>
  <c r="BT125" i="2"/>
  <c r="BS125" i="2"/>
  <c r="BR125" i="2"/>
  <c r="BQ125" i="2"/>
  <c r="BT124" i="2"/>
  <c r="BS124" i="2"/>
  <c r="BR124" i="2"/>
  <c r="BQ124" i="2"/>
  <c r="BT123" i="2"/>
  <c r="BS123" i="2"/>
  <c r="BR123" i="2"/>
  <c r="BQ123" i="2"/>
  <c r="BT122" i="2"/>
  <c r="BS122" i="2"/>
  <c r="BR122" i="2"/>
  <c r="BQ122" i="2"/>
  <c r="BT121" i="2"/>
  <c r="BS121" i="2"/>
  <c r="BR121" i="2"/>
  <c r="BQ121" i="2"/>
  <c r="BT120" i="2"/>
  <c r="BS120" i="2"/>
  <c r="BR120" i="2"/>
  <c r="BQ120" i="2"/>
  <c r="BT119" i="2"/>
  <c r="BS119" i="2"/>
  <c r="BR119" i="2"/>
  <c r="BQ119" i="2"/>
  <c r="BT118" i="2"/>
  <c r="BS118" i="2"/>
  <c r="BR118" i="2"/>
  <c r="BQ118" i="2"/>
  <c r="BT117" i="2"/>
  <c r="BS117" i="2"/>
  <c r="BR117" i="2"/>
  <c r="BQ117" i="2"/>
  <c r="BT116" i="2"/>
  <c r="BS116" i="2"/>
  <c r="BR116" i="2"/>
  <c r="BQ116" i="2"/>
  <c r="BT115" i="2"/>
  <c r="BS115" i="2"/>
  <c r="BR115" i="2"/>
  <c r="BQ115" i="2"/>
  <c r="BT114" i="2"/>
  <c r="BS114" i="2"/>
  <c r="BR114" i="2"/>
  <c r="BQ114" i="2"/>
  <c r="BT113" i="2"/>
  <c r="BS113" i="2"/>
  <c r="BR113" i="2"/>
  <c r="BQ113" i="2"/>
  <c r="BT112" i="2"/>
  <c r="BS112" i="2"/>
  <c r="BR112" i="2"/>
  <c r="BQ112" i="2"/>
  <c r="BT111" i="2"/>
  <c r="BS111" i="2"/>
  <c r="BR111" i="2"/>
  <c r="BQ111" i="2"/>
  <c r="BT110" i="2"/>
  <c r="BS110" i="2"/>
  <c r="BR110" i="2"/>
  <c r="BQ110" i="2"/>
  <c r="BT109" i="2"/>
  <c r="BS109" i="2"/>
  <c r="BR109" i="2"/>
  <c r="BQ109" i="2"/>
  <c r="BT108" i="2"/>
  <c r="BS108" i="2"/>
  <c r="BR108" i="2"/>
  <c r="BQ108" i="2"/>
  <c r="BT107" i="2"/>
  <c r="BS107" i="2"/>
  <c r="BR107" i="2"/>
  <c r="BQ107" i="2"/>
  <c r="BT106" i="2"/>
  <c r="BS106" i="2"/>
  <c r="BR106" i="2"/>
  <c r="BQ106" i="2"/>
  <c r="BT105" i="2"/>
  <c r="BS105" i="2"/>
  <c r="BR105" i="2"/>
  <c r="BQ105" i="2"/>
  <c r="BT104" i="2"/>
  <c r="BS104" i="2"/>
  <c r="BR104" i="2"/>
  <c r="BQ104" i="2"/>
  <c r="BT103" i="2"/>
  <c r="BS103" i="2"/>
  <c r="BR103" i="2"/>
  <c r="BQ103" i="2"/>
  <c r="BT102" i="2"/>
  <c r="BS102" i="2"/>
  <c r="BR102" i="2"/>
  <c r="BQ102" i="2"/>
  <c r="BT101" i="2"/>
  <c r="BS101" i="2"/>
  <c r="BR101" i="2"/>
  <c r="BQ101" i="2"/>
  <c r="BT100" i="2"/>
  <c r="BS100" i="2"/>
  <c r="BR100" i="2"/>
  <c r="BQ100" i="2"/>
  <c r="BT99" i="2"/>
  <c r="BS99" i="2"/>
  <c r="BR99" i="2"/>
  <c r="BQ99" i="2"/>
  <c r="BT98" i="2"/>
  <c r="BS98" i="2"/>
  <c r="BR98" i="2"/>
  <c r="BQ98" i="2"/>
  <c r="BT97" i="2"/>
  <c r="BS97" i="2"/>
  <c r="BR97" i="2"/>
  <c r="BQ97" i="2"/>
  <c r="BT96" i="2"/>
  <c r="BS96" i="2"/>
  <c r="BR96" i="2"/>
  <c r="BQ96" i="2"/>
  <c r="BT95" i="2"/>
  <c r="BS95" i="2"/>
  <c r="BR95" i="2"/>
  <c r="BQ95" i="2"/>
  <c r="BT94" i="2"/>
  <c r="BS94" i="2"/>
  <c r="BR94" i="2"/>
  <c r="BQ94" i="2"/>
  <c r="BT93" i="2"/>
  <c r="BS93" i="2"/>
  <c r="BR93" i="2"/>
  <c r="BQ93" i="2"/>
  <c r="BT92" i="2"/>
  <c r="BS92" i="2"/>
  <c r="BR92" i="2"/>
  <c r="BQ92" i="2"/>
  <c r="BT91" i="2"/>
  <c r="BS91" i="2"/>
  <c r="BR91" i="2"/>
  <c r="BQ91" i="2"/>
  <c r="BT90" i="2"/>
  <c r="BS90" i="2"/>
  <c r="BR90" i="2"/>
  <c r="BQ90" i="2"/>
  <c r="BT89" i="2"/>
  <c r="BS89" i="2"/>
  <c r="BR89" i="2"/>
  <c r="BQ89" i="2"/>
  <c r="BT88" i="2"/>
  <c r="BS88" i="2"/>
  <c r="BR88" i="2"/>
  <c r="BQ88" i="2"/>
  <c r="BT87" i="2"/>
  <c r="BS87" i="2"/>
  <c r="BR87" i="2"/>
  <c r="BQ87" i="2"/>
  <c r="BT86" i="2"/>
  <c r="BS86" i="2"/>
  <c r="BR86" i="2"/>
  <c r="BQ86" i="2"/>
  <c r="BT85" i="2"/>
  <c r="BS85" i="2"/>
  <c r="BR85" i="2"/>
  <c r="BQ85" i="2"/>
  <c r="BT84" i="2"/>
  <c r="BS84" i="2"/>
  <c r="BR84" i="2"/>
  <c r="BQ84" i="2"/>
  <c r="BT83" i="2"/>
  <c r="BS83" i="2"/>
  <c r="BR83" i="2"/>
  <c r="BQ83" i="2"/>
  <c r="BT82" i="2"/>
  <c r="BS82" i="2"/>
  <c r="BR82" i="2"/>
  <c r="BQ82" i="2"/>
  <c r="BT81" i="2"/>
  <c r="BS81" i="2"/>
  <c r="BR81" i="2"/>
  <c r="BQ81" i="2"/>
  <c r="BT80" i="2"/>
  <c r="BS80" i="2"/>
  <c r="BR80" i="2"/>
  <c r="BQ80" i="2"/>
  <c r="BT79" i="2"/>
  <c r="BS79" i="2"/>
  <c r="BR79" i="2"/>
  <c r="BQ79" i="2"/>
  <c r="BT78" i="2"/>
  <c r="BS78" i="2"/>
  <c r="BR78" i="2"/>
  <c r="BQ78" i="2"/>
  <c r="BT77" i="2"/>
  <c r="BS77" i="2"/>
  <c r="BR77" i="2"/>
  <c r="BQ77" i="2"/>
  <c r="BT76" i="2"/>
  <c r="BS76" i="2"/>
  <c r="BR76" i="2"/>
  <c r="BQ76" i="2"/>
  <c r="BT75" i="2"/>
  <c r="BS75" i="2"/>
  <c r="BR75" i="2"/>
  <c r="BQ75" i="2"/>
  <c r="BT74" i="2"/>
  <c r="BS74" i="2"/>
  <c r="BR74" i="2"/>
  <c r="BQ74" i="2"/>
  <c r="BT73" i="2"/>
  <c r="BS73" i="2"/>
  <c r="BR73" i="2"/>
  <c r="BQ73" i="2"/>
  <c r="BT72" i="2"/>
  <c r="BS72" i="2"/>
  <c r="BR72" i="2"/>
  <c r="BQ72" i="2"/>
  <c r="BT71" i="2"/>
  <c r="BS71" i="2"/>
  <c r="BR71" i="2"/>
  <c r="BQ71" i="2"/>
  <c r="BT70" i="2"/>
  <c r="BS70" i="2"/>
  <c r="BR70" i="2"/>
  <c r="BQ70" i="2"/>
  <c r="BT69" i="2"/>
  <c r="BS69" i="2"/>
  <c r="BR69" i="2"/>
  <c r="BQ69" i="2"/>
  <c r="BT68" i="2"/>
  <c r="BS68" i="2"/>
  <c r="BR68" i="2"/>
  <c r="BQ68" i="2"/>
  <c r="BT67" i="2"/>
  <c r="BS67" i="2"/>
  <c r="BR67" i="2"/>
  <c r="BQ67" i="2"/>
  <c r="BT66" i="2"/>
  <c r="BS66" i="2"/>
  <c r="BR66" i="2"/>
  <c r="BQ66" i="2"/>
  <c r="BT65" i="2"/>
  <c r="BS65" i="2"/>
  <c r="BR65" i="2"/>
  <c r="BQ65" i="2"/>
  <c r="BT64" i="2"/>
  <c r="BS64" i="2"/>
  <c r="BR64" i="2"/>
  <c r="BQ64" i="2"/>
  <c r="BT63" i="2"/>
  <c r="BS63" i="2"/>
  <c r="BR63" i="2"/>
  <c r="BQ63" i="2"/>
  <c r="BT62" i="2"/>
  <c r="BS62" i="2"/>
  <c r="BR62" i="2"/>
  <c r="BQ62" i="2"/>
  <c r="BT61" i="2"/>
  <c r="BS61" i="2"/>
  <c r="BR61" i="2"/>
  <c r="BQ61" i="2"/>
  <c r="BT60" i="2"/>
  <c r="BS60" i="2"/>
  <c r="BR60" i="2"/>
  <c r="BQ60" i="2"/>
  <c r="BT59" i="2"/>
  <c r="BS59" i="2"/>
  <c r="BR59" i="2"/>
  <c r="BQ59" i="2"/>
  <c r="BT58" i="2"/>
  <c r="BS58" i="2"/>
  <c r="BR58" i="2"/>
  <c r="BQ58" i="2"/>
  <c r="BT57" i="2"/>
  <c r="BS57" i="2"/>
  <c r="BR57" i="2"/>
  <c r="BQ57" i="2"/>
  <c r="BT56" i="2"/>
  <c r="BS56" i="2"/>
  <c r="BR56" i="2"/>
  <c r="BQ56" i="2"/>
  <c r="BT55" i="2"/>
  <c r="BS55" i="2"/>
  <c r="BR55" i="2"/>
  <c r="BQ55" i="2"/>
  <c r="BT54" i="2"/>
  <c r="BS54" i="2"/>
  <c r="BR54" i="2"/>
  <c r="BQ54" i="2"/>
  <c r="BT53" i="2"/>
  <c r="BS53" i="2"/>
  <c r="BR53" i="2"/>
  <c r="BQ53" i="2"/>
  <c r="BT52" i="2"/>
  <c r="BS52" i="2"/>
  <c r="BR52" i="2"/>
  <c r="BQ52" i="2"/>
  <c r="BT51" i="2"/>
  <c r="BS51" i="2"/>
  <c r="BR51" i="2"/>
  <c r="BQ51" i="2"/>
  <c r="BT50" i="2"/>
  <c r="BS50" i="2"/>
  <c r="BR50" i="2"/>
  <c r="BQ50" i="2"/>
  <c r="BT49" i="2"/>
  <c r="BS49" i="2"/>
  <c r="BR49" i="2"/>
  <c r="BQ49" i="2"/>
  <c r="BT48" i="2"/>
  <c r="BS48" i="2"/>
  <c r="BR48" i="2"/>
  <c r="BQ48" i="2"/>
  <c r="BT47" i="2"/>
  <c r="BS47" i="2"/>
  <c r="BR47" i="2"/>
  <c r="BQ47" i="2"/>
  <c r="BT46" i="2"/>
  <c r="BS46" i="2"/>
  <c r="BR46" i="2"/>
  <c r="BQ46" i="2"/>
  <c r="BT45" i="2"/>
  <c r="BS45" i="2"/>
  <c r="BR45" i="2"/>
  <c r="BQ45" i="2"/>
  <c r="BT44" i="2"/>
  <c r="BS44" i="2"/>
  <c r="BR44" i="2"/>
  <c r="BQ44" i="2"/>
  <c r="BT43" i="2"/>
  <c r="BS43" i="2"/>
  <c r="BR43" i="2"/>
  <c r="BQ43" i="2"/>
  <c r="BT42" i="2"/>
  <c r="BS42" i="2"/>
  <c r="BR42" i="2"/>
  <c r="BQ42" i="2"/>
  <c r="BT41" i="2"/>
  <c r="BS41" i="2"/>
  <c r="BR41" i="2"/>
  <c r="BQ41" i="2"/>
  <c r="BT40" i="2"/>
  <c r="BS40" i="2"/>
  <c r="BR40" i="2"/>
  <c r="BQ40" i="2"/>
  <c r="BT39" i="2"/>
  <c r="BS39" i="2"/>
  <c r="BR39" i="2"/>
  <c r="BQ39" i="2"/>
  <c r="BT38" i="2"/>
  <c r="BS38" i="2"/>
  <c r="BR38" i="2"/>
  <c r="BQ38" i="2"/>
  <c r="BT37" i="2"/>
  <c r="BS37" i="2"/>
  <c r="BR37" i="2"/>
  <c r="BQ37" i="2"/>
  <c r="BT36" i="2"/>
  <c r="BS36" i="2"/>
  <c r="BR36" i="2"/>
  <c r="BQ36" i="2"/>
  <c r="BT35" i="2"/>
  <c r="BS35" i="2"/>
  <c r="BR35" i="2"/>
  <c r="BQ35" i="2"/>
  <c r="BT34" i="2"/>
  <c r="BS34" i="2"/>
  <c r="BR34" i="2"/>
  <c r="BQ34" i="2"/>
  <c r="BT33" i="2"/>
  <c r="BS33" i="2"/>
  <c r="BR33" i="2"/>
  <c r="BQ33" i="2"/>
  <c r="BT32" i="2"/>
  <c r="BS32" i="2"/>
  <c r="BR32" i="2"/>
  <c r="BQ32" i="2"/>
  <c r="BT31" i="2"/>
  <c r="BS31" i="2"/>
  <c r="BR31" i="2"/>
  <c r="BQ31" i="2"/>
  <c r="BT30" i="2"/>
  <c r="BS30" i="2"/>
  <c r="BR30" i="2"/>
  <c r="BQ30" i="2"/>
  <c r="BT29" i="2"/>
  <c r="BS29" i="2"/>
  <c r="BR29" i="2"/>
  <c r="BQ29" i="2"/>
  <c r="BT28" i="2"/>
  <c r="BS28" i="2"/>
  <c r="BR28" i="2"/>
  <c r="BQ28" i="2"/>
  <c r="BT27" i="2"/>
  <c r="BS27" i="2"/>
  <c r="BR27" i="2"/>
  <c r="BQ27" i="2"/>
  <c r="BT26" i="2"/>
  <c r="BS26" i="2"/>
  <c r="BR26" i="2"/>
  <c r="BQ26" i="2"/>
  <c r="BT25" i="2"/>
  <c r="BS25" i="2"/>
  <c r="BR25" i="2"/>
  <c r="BQ25" i="2"/>
  <c r="BT24" i="2"/>
  <c r="BS24" i="2"/>
  <c r="BR24" i="2"/>
  <c r="BQ24" i="2"/>
  <c r="BT23" i="2"/>
  <c r="BS23" i="2"/>
  <c r="BR23" i="2"/>
  <c r="BQ23" i="2"/>
  <c r="BT22" i="2"/>
  <c r="BS22" i="2"/>
  <c r="BR22" i="2"/>
  <c r="BQ22" i="2"/>
  <c r="BT21" i="2"/>
  <c r="BS21" i="2"/>
  <c r="BR21" i="2"/>
  <c r="BQ21" i="2"/>
  <c r="BT20" i="2"/>
  <c r="BS20" i="2"/>
  <c r="BR20" i="2"/>
  <c r="BQ20" i="2"/>
  <c r="BT19" i="2"/>
  <c r="BS19" i="2"/>
  <c r="BR19" i="2"/>
  <c r="BQ19" i="2"/>
  <c r="BT18" i="2"/>
  <c r="BS18" i="2"/>
  <c r="BR18" i="2"/>
  <c r="BQ18" i="2"/>
  <c r="BT17" i="2"/>
  <c r="BS17" i="2"/>
  <c r="BR17" i="2"/>
  <c r="BQ17" i="2"/>
  <c r="BT16" i="2"/>
  <c r="BS16" i="2"/>
  <c r="BR16" i="2"/>
  <c r="BQ16" i="2"/>
  <c r="BT15" i="2"/>
  <c r="BS15" i="2"/>
  <c r="BR15" i="2"/>
  <c r="BQ15" i="2"/>
  <c r="BT14" i="2"/>
  <c r="BS14" i="2"/>
  <c r="BR14" i="2"/>
  <c r="BQ14" i="2"/>
  <c r="BT13" i="2"/>
  <c r="BS13" i="2"/>
  <c r="BR13" i="2"/>
  <c r="BQ13" i="2"/>
  <c r="BT12" i="2"/>
  <c r="BS12" i="2"/>
  <c r="BR12" i="2"/>
  <c r="BQ12" i="2"/>
  <c r="BT11" i="2"/>
  <c r="BS11" i="2"/>
  <c r="BR11" i="2"/>
  <c r="BQ11" i="2"/>
  <c r="BT10" i="2"/>
  <c r="BS10" i="2"/>
  <c r="BR10" i="2"/>
  <c r="BQ10" i="2"/>
  <c r="BT9" i="2"/>
  <c r="BS9" i="2"/>
  <c r="BR9" i="2"/>
  <c r="BQ9" i="2"/>
  <c r="BT8" i="2"/>
  <c r="BS8" i="2"/>
  <c r="BR8" i="2"/>
  <c r="BQ8" i="2"/>
  <c r="BT7" i="2"/>
  <c r="BS7" i="2"/>
  <c r="BR7" i="2"/>
  <c r="BQ7" i="2"/>
  <c r="BT6" i="2"/>
  <c r="BS6" i="2"/>
  <c r="BR6" i="2"/>
  <c r="BQ6" i="2"/>
  <c r="BT5" i="2"/>
  <c r="BS5" i="2"/>
  <c r="BR5" i="2"/>
  <c r="BQ5" i="2"/>
  <c r="BT4" i="2"/>
  <c r="BS4" i="2"/>
  <c r="BR4" i="2"/>
  <c r="BQ4" i="2"/>
  <c r="BT3" i="2"/>
  <c r="BS3" i="2"/>
  <c r="BR3" i="2"/>
  <c r="BQ3" i="2"/>
  <c r="BT2" i="2"/>
  <c r="BS2" i="2"/>
  <c r="BR2" i="2"/>
  <c r="BQ2" i="2"/>
  <c r="BP3" i="2"/>
  <c r="BP4" i="2"/>
  <c r="BP5" i="2"/>
  <c r="BP6" i="2"/>
  <c r="BP7" i="2"/>
  <c r="BP8" i="2"/>
  <c r="BP9" i="2"/>
  <c r="BP10" i="2"/>
  <c r="BP11" i="2"/>
  <c r="BP12" i="2"/>
  <c r="BP13" i="2"/>
  <c r="BP14" i="2"/>
  <c r="BP15" i="2"/>
  <c r="BP16" i="2"/>
  <c r="BP17" i="2"/>
  <c r="BP18" i="2"/>
  <c r="BP19" i="2"/>
  <c r="BP20" i="2"/>
  <c r="BP21" i="2"/>
  <c r="BP22" i="2"/>
  <c r="BP23" i="2"/>
  <c r="BP24" i="2"/>
  <c r="BP25" i="2"/>
  <c r="BP26" i="2"/>
  <c r="BP27" i="2"/>
  <c r="BP28" i="2"/>
  <c r="BP29" i="2"/>
  <c r="BP30" i="2"/>
  <c r="BP31" i="2"/>
  <c r="BP32" i="2"/>
  <c r="BP33" i="2"/>
  <c r="BP34" i="2"/>
  <c r="BP35" i="2"/>
  <c r="BP36" i="2"/>
  <c r="BP37" i="2"/>
  <c r="BP38" i="2"/>
  <c r="BP39" i="2"/>
  <c r="BP40" i="2"/>
  <c r="BP41" i="2"/>
  <c r="BP42" i="2"/>
  <c r="BP43" i="2"/>
  <c r="BP44" i="2"/>
  <c r="BP45" i="2"/>
  <c r="BP46" i="2"/>
  <c r="BP47" i="2"/>
  <c r="BP48" i="2"/>
  <c r="BP49" i="2"/>
  <c r="BP50" i="2"/>
  <c r="BP51" i="2"/>
  <c r="BP52" i="2"/>
  <c r="BP53" i="2"/>
  <c r="BP54" i="2"/>
  <c r="BP55" i="2"/>
  <c r="BP56" i="2"/>
  <c r="BP57" i="2"/>
  <c r="BP58" i="2"/>
  <c r="BP59" i="2"/>
  <c r="BP60" i="2"/>
  <c r="BP61" i="2"/>
  <c r="BP62" i="2"/>
  <c r="BP63" i="2"/>
  <c r="BP64" i="2"/>
  <c r="BP65" i="2"/>
  <c r="BP66" i="2"/>
  <c r="BP67" i="2"/>
  <c r="BP68" i="2"/>
  <c r="BP69" i="2"/>
  <c r="BP70" i="2"/>
  <c r="BP71" i="2"/>
  <c r="BP72" i="2"/>
  <c r="BP73" i="2"/>
  <c r="BP74" i="2"/>
  <c r="BP75" i="2"/>
  <c r="BP76" i="2"/>
  <c r="BP77" i="2"/>
  <c r="BP78" i="2"/>
  <c r="BP79" i="2"/>
  <c r="BP80" i="2"/>
  <c r="BP81" i="2"/>
  <c r="BP82" i="2"/>
  <c r="BP83" i="2"/>
  <c r="BP84" i="2"/>
  <c r="BP85" i="2"/>
  <c r="BP86" i="2"/>
  <c r="BP87" i="2"/>
  <c r="BP88" i="2"/>
  <c r="BP89" i="2"/>
  <c r="BP90" i="2"/>
  <c r="BP91" i="2"/>
  <c r="BP92" i="2"/>
  <c r="BP93" i="2"/>
  <c r="BP94" i="2"/>
  <c r="BP95" i="2"/>
  <c r="BP96" i="2"/>
  <c r="BP97" i="2"/>
  <c r="BP98" i="2"/>
  <c r="BP99" i="2"/>
  <c r="BP100" i="2"/>
  <c r="BP101" i="2"/>
  <c r="BP102" i="2"/>
  <c r="BP103" i="2"/>
  <c r="BP104" i="2"/>
  <c r="BP105" i="2"/>
  <c r="BP106" i="2"/>
  <c r="BP107" i="2"/>
  <c r="BP108" i="2"/>
  <c r="BP109" i="2"/>
  <c r="BP110" i="2"/>
  <c r="BP111" i="2"/>
  <c r="BP112" i="2"/>
  <c r="BP113" i="2"/>
  <c r="BP114" i="2"/>
  <c r="BP115" i="2"/>
  <c r="BP116" i="2"/>
  <c r="BP117" i="2"/>
  <c r="BP118" i="2"/>
  <c r="BP119" i="2"/>
  <c r="BP120" i="2"/>
  <c r="BP121" i="2"/>
  <c r="BP122" i="2"/>
  <c r="BP123" i="2"/>
  <c r="BP124" i="2"/>
  <c r="BP125" i="2"/>
  <c r="BP126" i="2"/>
  <c r="BP127" i="2"/>
  <c r="BP128" i="2"/>
  <c r="BP129" i="2"/>
  <c r="BP130" i="2"/>
  <c r="BP131" i="2"/>
  <c r="BP132" i="2"/>
  <c r="BP133" i="2"/>
  <c r="BP134" i="2"/>
  <c r="BP135" i="2"/>
  <c r="BP136" i="2"/>
  <c r="BP137" i="2"/>
  <c r="BP138" i="2"/>
  <c r="BP139" i="2"/>
  <c r="BP140" i="2"/>
  <c r="BP141" i="2"/>
  <c r="BP142" i="2"/>
  <c r="BP143" i="2"/>
  <c r="BP144" i="2"/>
  <c r="BP145" i="2"/>
  <c r="BP146" i="2"/>
  <c r="BP147" i="2"/>
  <c r="BP148" i="2"/>
  <c r="BP149" i="2"/>
  <c r="BP150" i="2"/>
  <c r="BP151" i="2"/>
  <c r="BP152" i="2"/>
  <c r="BP153" i="2"/>
  <c r="BP154" i="2"/>
  <c r="BP155" i="2"/>
  <c r="BP156" i="2"/>
  <c r="BP157" i="2"/>
  <c r="BP158" i="2"/>
  <c r="BP159" i="2"/>
  <c r="BP160" i="2"/>
  <c r="BP161" i="2"/>
  <c r="BP162" i="2"/>
  <c r="BP163" i="2"/>
  <c r="BP164" i="2"/>
  <c r="BP165" i="2"/>
  <c r="BP166" i="2"/>
  <c r="BP167" i="2"/>
  <c r="BP168" i="2"/>
  <c r="BP169" i="2"/>
  <c r="BP170" i="2"/>
  <c r="BP171" i="2"/>
  <c r="BP172" i="2"/>
  <c r="BP173" i="2"/>
  <c r="BP174" i="2"/>
  <c r="BP175" i="2"/>
  <c r="BP176" i="2"/>
  <c r="BP177" i="2"/>
  <c r="BP178" i="2"/>
  <c r="BP179" i="2"/>
  <c r="BP180" i="2"/>
  <c r="BP181" i="2"/>
  <c r="BP182" i="2"/>
  <c r="BP183" i="2"/>
  <c r="BP184" i="2"/>
  <c r="BP185" i="2"/>
  <c r="BP186" i="2"/>
  <c r="BP187" i="2"/>
  <c r="BP188" i="2"/>
  <c r="BP189" i="2"/>
  <c r="BP190" i="2"/>
  <c r="BP191" i="2"/>
  <c r="BP192" i="2"/>
  <c r="BP193" i="2"/>
  <c r="BP194" i="2"/>
  <c r="BP195" i="2"/>
  <c r="BP196" i="2"/>
  <c r="BP197" i="2"/>
  <c r="BP198" i="2"/>
  <c r="BP199" i="2"/>
  <c r="BP200" i="2"/>
  <c r="BP201" i="2"/>
  <c r="BP202" i="2"/>
  <c r="BP203" i="2"/>
  <c r="BP204" i="2"/>
  <c r="BP205" i="2"/>
  <c r="BP206" i="2"/>
  <c r="BP207" i="2"/>
  <c r="BP208" i="2"/>
  <c r="BP209" i="2"/>
  <c r="BP210" i="2"/>
  <c r="BP211" i="2"/>
  <c r="BP212" i="2"/>
  <c r="BP213" i="2"/>
  <c r="BP214" i="2"/>
  <c r="BP215" i="2"/>
  <c r="BP216" i="2"/>
  <c r="BU216" i="2" s="1"/>
  <c r="BP217" i="2"/>
  <c r="BP218" i="2"/>
  <c r="BP219" i="2"/>
  <c r="BP220" i="2"/>
  <c r="BP221" i="2"/>
  <c r="BP222" i="2"/>
  <c r="BP223" i="2"/>
  <c r="BP224" i="2"/>
  <c r="BP225" i="2"/>
  <c r="BP226" i="2"/>
  <c r="BP227" i="2"/>
  <c r="BP228" i="2"/>
  <c r="BU228" i="2" s="1"/>
  <c r="BP2" i="2"/>
  <c r="BH40" i="2"/>
  <c r="BI85" i="2"/>
  <c r="BJ128" i="2"/>
  <c r="BL219" i="2"/>
  <c r="BH41" i="2"/>
  <c r="BI76" i="2"/>
  <c r="BJ135" i="2"/>
  <c r="BH63" i="2"/>
  <c r="BI109" i="2"/>
  <c r="BJ153" i="2"/>
  <c r="BK198" i="2"/>
  <c r="BM15" i="2"/>
  <c r="BH64" i="2"/>
  <c r="BI100" i="2"/>
  <c r="BJ160" i="2"/>
  <c r="BH65" i="2"/>
  <c r="BI111" i="2"/>
  <c r="BJ155" i="2"/>
  <c r="BK200" i="2"/>
  <c r="BM17" i="2"/>
  <c r="BH66" i="2"/>
  <c r="BI149" i="2"/>
  <c r="BH159" i="2"/>
  <c r="BI204" i="2"/>
  <c r="BK21" i="2"/>
  <c r="BL65" i="2"/>
  <c r="BM109" i="2"/>
  <c r="BH181" i="2"/>
  <c r="BH206" i="2"/>
  <c r="BJ23" i="2"/>
  <c r="BK67" i="2"/>
  <c r="BL112" i="2"/>
  <c r="BM157" i="2"/>
  <c r="BH207" i="2"/>
  <c r="BH208" i="2"/>
  <c r="BJ25" i="2"/>
  <c r="BK69" i="2"/>
  <c r="BL114" i="2"/>
  <c r="BM159" i="2"/>
  <c r="BI18" i="2"/>
  <c r="BJ55" i="2"/>
  <c r="BK86" i="2"/>
  <c r="BI5" i="2"/>
  <c r="BJ50" i="2"/>
  <c r="BK94" i="2"/>
  <c r="BL140" i="2"/>
  <c r="BM182" i="2"/>
  <c r="BM51" i="2"/>
  <c r="BJ34" i="2"/>
  <c r="BH75" i="2"/>
  <c r="BI120" i="2"/>
  <c r="BJ165" i="2"/>
  <c r="BK209" i="2"/>
  <c r="BM27" i="2"/>
  <c r="BH76" i="2"/>
  <c r="BI135" i="2"/>
  <c r="BJ193" i="2"/>
  <c r="BH122" i="2"/>
  <c r="BI169" i="2"/>
  <c r="BJ211" i="2"/>
  <c r="BL31" i="2"/>
  <c r="BM73" i="2"/>
  <c r="BH123" i="2"/>
  <c r="BI181" i="2"/>
  <c r="BJ218" i="2"/>
  <c r="BH148" i="2"/>
  <c r="BI192" i="2"/>
  <c r="BK9" i="2"/>
  <c r="BL56" i="2"/>
  <c r="BM97" i="2"/>
  <c r="BH149" i="2"/>
  <c r="BI183" i="2"/>
  <c r="BH194" i="2"/>
  <c r="BJ11" i="2"/>
  <c r="BL101" i="2"/>
  <c r="BM146" i="2"/>
  <c r="BH195" i="2"/>
  <c r="BJ41" i="2"/>
  <c r="BK72" i="2"/>
  <c r="BJ162" i="2"/>
  <c r="BL60" i="2"/>
  <c r="BM152" i="2"/>
  <c r="BI127" i="2"/>
  <c r="BK212" i="2"/>
  <c r="BM14" i="2"/>
  <c r="BL22" i="2"/>
  <c r="BL217" i="2"/>
  <c r="BK147" i="2"/>
  <c r="BL177" i="2"/>
  <c r="BJ117" i="2"/>
  <c r="BI53" i="2"/>
  <c r="BM192" i="2"/>
  <c r="BJ177" i="2"/>
  <c r="BL68" i="2"/>
  <c r="BM156" i="2"/>
  <c r="BH106" i="2"/>
  <c r="BL207" i="2"/>
  <c r="BH128" i="2"/>
  <c r="BM45" i="2"/>
  <c r="BL117" i="2"/>
  <c r="BJ84" i="2"/>
  <c r="BM218" i="2"/>
  <c r="BH152" i="2"/>
  <c r="BL119" i="2"/>
  <c r="BJ49" i="2"/>
  <c r="BL8" i="2"/>
  <c r="BK16" i="2"/>
  <c r="BJ39" i="2"/>
  <c r="BL10" i="2"/>
  <c r="BM28" i="2"/>
  <c r="BL80" i="2"/>
  <c r="BJ36" i="2"/>
  <c r="BK183" i="2"/>
  <c r="BJ156" i="2"/>
  <c r="BH61" i="2"/>
  <c r="BI107" i="2"/>
  <c r="BJ151" i="2"/>
  <c r="BK196" i="2"/>
  <c r="BM13" i="2"/>
  <c r="BH62" i="2"/>
  <c r="BI98" i="2"/>
  <c r="BJ158" i="2"/>
  <c r="BH87" i="2"/>
  <c r="BI132" i="2"/>
  <c r="BJ174" i="2"/>
  <c r="BK221" i="2"/>
  <c r="BM38" i="2"/>
  <c r="BH88" i="2"/>
  <c r="BI123" i="2"/>
  <c r="BJ181" i="2"/>
  <c r="BH89" i="2"/>
  <c r="BI134" i="2"/>
  <c r="BJ176" i="2"/>
  <c r="BK223" i="2"/>
  <c r="BM40" i="2"/>
  <c r="BH90" i="2"/>
  <c r="BI172" i="2"/>
  <c r="BH180" i="2"/>
  <c r="BI226" i="2"/>
  <c r="BK44" i="2"/>
  <c r="BL89" i="2"/>
  <c r="BM132" i="2"/>
  <c r="BH205" i="2"/>
  <c r="BH228" i="2"/>
  <c r="BJ46" i="2"/>
  <c r="BK91" i="2"/>
  <c r="BL136" i="2"/>
  <c r="BM178" i="2"/>
  <c r="BM10" i="2"/>
  <c r="BI3" i="2"/>
  <c r="BJ48" i="2"/>
  <c r="BK92" i="2"/>
  <c r="BL138" i="2"/>
  <c r="BM180" i="2"/>
  <c r="BI41" i="2"/>
  <c r="BJ76" i="2"/>
  <c r="BI29" i="2"/>
  <c r="BJ71" i="2"/>
  <c r="BL163" i="2"/>
  <c r="BM206" i="2"/>
  <c r="BI20" i="2"/>
  <c r="BJ57" i="2"/>
  <c r="BH97" i="2"/>
  <c r="BI144" i="2"/>
  <c r="BJ186" i="2"/>
  <c r="BL5" i="2"/>
  <c r="BM50" i="2"/>
  <c r="BH98" i="2"/>
  <c r="BI158" i="2"/>
  <c r="BJ216" i="2"/>
  <c r="BH146" i="2"/>
  <c r="BI190" i="2"/>
  <c r="BK7" i="2"/>
  <c r="BL54" i="2"/>
  <c r="BM95" i="2"/>
  <c r="BH85" i="2"/>
  <c r="BI130" i="2"/>
  <c r="BK219" i="2"/>
  <c r="BM36" i="2"/>
  <c r="BH86" i="2"/>
  <c r="BI121" i="2"/>
  <c r="BJ179" i="2"/>
  <c r="BH109" i="2"/>
  <c r="BI155" i="2"/>
  <c r="BJ198" i="2"/>
  <c r="BL17" i="2"/>
  <c r="BM59" i="2"/>
  <c r="BH110" i="2"/>
  <c r="BI147" i="2"/>
  <c r="BJ205" i="2"/>
  <c r="BH111" i="2"/>
  <c r="BI157" i="2"/>
  <c r="BJ200" i="2"/>
  <c r="BL19" i="2"/>
  <c r="BM61" i="2"/>
  <c r="BH135" i="2"/>
  <c r="BI193" i="2"/>
  <c r="BH204" i="2"/>
  <c r="BJ21" i="2"/>
  <c r="BK65" i="2"/>
  <c r="BL111" i="2"/>
  <c r="BM155" i="2"/>
  <c r="BH227" i="2"/>
  <c r="BI25" i="2"/>
  <c r="BJ67" i="2"/>
  <c r="BK112" i="2"/>
  <c r="BL159" i="2"/>
  <c r="BM202" i="2"/>
  <c r="BI16" i="2"/>
  <c r="BI27" i="2"/>
  <c r="BJ69" i="2"/>
  <c r="BK114" i="2"/>
  <c r="BL161" i="2"/>
  <c r="BM204" i="2"/>
  <c r="BI62" i="2"/>
  <c r="BJ98" i="2"/>
  <c r="BH5" i="2"/>
  <c r="BI52" i="2"/>
  <c r="BJ94" i="2"/>
  <c r="BK140" i="2"/>
  <c r="BL184" i="2"/>
  <c r="BH6" i="2"/>
  <c r="BI43" i="2"/>
  <c r="BJ78" i="2"/>
  <c r="BH120" i="2"/>
  <c r="BI167" i="2"/>
  <c r="BJ209" i="2"/>
  <c r="BL29" i="2"/>
  <c r="BM71" i="2"/>
  <c r="BH121" i="2"/>
  <c r="BI179" i="2"/>
  <c r="BM55" i="2"/>
  <c r="BH169" i="2"/>
  <c r="BI213" i="2"/>
  <c r="BK31" i="2"/>
  <c r="BL75" i="2"/>
  <c r="BM118" i="2"/>
  <c r="BH170" i="2"/>
  <c r="BI227" i="2"/>
  <c r="BK24" i="2"/>
  <c r="BH192" i="2"/>
  <c r="BJ9" i="2"/>
  <c r="BK56" i="2"/>
  <c r="BL99" i="2"/>
  <c r="BM144" i="2"/>
  <c r="BH193" i="2"/>
  <c r="BM12" i="2"/>
  <c r="BI13" i="2"/>
  <c r="BK101" i="2"/>
  <c r="BL148" i="2"/>
  <c r="BM190" i="2"/>
  <c r="BI4" i="2"/>
  <c r="BJ86" i="2"/>
  <c r="BI38" i="2"/>
  <c r="BK20" i="2"/>
  <c r="BL106" i="2"/>
  <c r="BM158" i="2"/>
  <c r="BJ53" i="2"/>
  <c r="BL18" i="2"/>
  <c r="BM170" i="2"/>
  <c r="BL135" i="2"/>
  <c r="BI39" i="2"/>
  <c r="BK191" i="2"/>
  <c r="BL224" i="2"/>
  <c r="BK149" i="2"/>
  <c r="BM53" i="2"/>
  <c r="BI128" i="2"/>
  <c r="BK37" i="2"/>
  <c r="BL137" i="2"/>
  <c r="BI6" i="2"/>
  <c r="BI152" i="2"/>
  <c r="BK220" i="2"/>
  <c r="BM185" i="2"/>
  <c r="BJ217" i="2"/>
  <c r="BK88" i="2"/>
  <c r="BL164" i="2"/>
  <c r="BK93" i="2"/>
  <c r="BL212" i="2"/>
  <c r="BH107" i="2"/>
  <c r="BI153" i="2"/>
  <c r="BJ196" i="2"/>
  <c r="BL15" i="2"/>
  <c r="BH108" i="2"/>
  <c r="BI145" i="2"/>
  <c r="BJ203" i="2"/>
  <c r="BH132" i="2"/>
  <c r="BI176" i="2"/>
  <c r="BJ221" i="2"/>
  <c r="BL40" i="2"/>
  <c r="BM83" i="2"/>
  <c r="BH133" i="2"/>
  <c r="BI170" i="2"/>
  <c r="BJ227" i="2"/>
  <c r="BH134" i="2"/>
  <c r="BI178" i="2"/>
  <c r="BJ223" i="2"/>
  <c r="BL42" i="2"/>
  <c r="BM85" i="2"/>
  <c r="BH158" i="2"/>
  <c r="BI216" i="2"/>
  <c r="BH226" i="2"/>
  <c r="BJ44" i="2"/>
  <c r="BK89" i="2"/>
  <c r="BL134" i="2"/>
  <c r="BM176" i="2"/>
  <c r="BI14" i="2"/>
  <c r="BI48" i="2"/>
  <c r="BJ91" i="2"/>
  <c r="BK136" i="2"/>
  <c r="BL180" i="2"/>
  <c r="BM225" i="2"/>
  <c r="BH3" i="2"/>
  <c r="BI50" i="2"/>
  <c r="BJ92" i="2"/>
  <c r="BK138" i="2"/>
  <c r="BL182" i="2"/>
  <c r="BH4" i="2"/>
  <c r="BI86" i="2"/>
  <c r="BJ121" i="2"/>
  <c r="BH29" i="2"/>
  <c r="BI73" i="2"/>
  <c r="BJ116" i="2"/>
  <c r="BK163" i="2"/>
  <c r="BL208" i="2"/>
  <c r="BH30" i="2"/>
  <c r="BI64" i="2"/>
  <c r="BJ100" i="2"/>
  <c r="BH144" i="2"/>
  <c r="BI188" i="2"/>
  <c r="BK5" i="2"/>
  <c r="BL52" i="2"/>
  <c r="BM94" i="2"/>
  <c r="BH145" i="2"/>
  <c r="BI203" i="2"/>
  <c r="BK22" i="2"/>
  <c r="BH190" i="2"/>
  <c r="BJ7" i="2"/>
  <c r="BK54" i="2"/>
  <c r="BL97" i="2"/>
  <c r="BM142" i="2"/>
  <c r="BH191" i="2"/>
  <c r="BJ14" i="2"/>
  <c r="BK47" i="2"/>
  <c r="BH215" i="2"/>
  <c r="BJ33" i="2"/>
  <c r="BK77" i="2"/>
  <c r="BL122" i="2"/>
  <c r="BM167" i="2"/>
  <c r="BH216" i="2"/>
  <c r="BJ16" i="2"/>
  <c r="BI36" i="2"/>
  <c r="BJ79" i="2"/>
  <c r="BK124" i="2"/>
  <c r="BL171" i="2"/>
  <c r="BM213" i="2"/>
  <c r="BI28" i="2"/>
  <c r="BJ108" i="2"/>
  <c r="BJ81" i="2"/>
  <c r="BK64" i="2"/>
  <c r="BL129" i="2"/>
  <c r="BM2" i="2"/>
  <c r="BJ110" i="2"/>
  <c r="BL41" i="2"/>
  <c r="BM43" i="2"/>
  <c r="BL203" i="2"/>
  <c r="BI129" i="2"/>
  <c r="BK214" i="2"/>
  <c r="BM117" i="2"/>
  <c r="BK216" i="2"/>
  <c r="BJ64" i="2"/>
  <c r="BJ173" i="2"/>
  <c r="BK82" i="2"/>
  <c r="BL160" i="2"/>
  <c r="BK185" i="2"/>
  <c r="BJ6" i="2"/>
  <c r="BM84" i="2"/>
  <c r="BM121" i="2"/>
  <c r="BL36" i="2"/>
  <c r="BK131" i="2"/>
  <c r="BL185" i="2"/>
  <c r="BK156" i="2"/>
  <c r="BM189" i="2"/>
  <c r="BJ28" i="2"/>
  <c r="BM16" i="2"/>
  <c r="BJ141" i="2"/>
  <c r="BL76" i="2"/>
  <c r="BM222" i="2"/>
  <c r="BJ201" i="2"/>
  <c r="BL78" i="2"/>
  <c r="BM175" i="2"/>
  <c r="BL216" i="2"/>
  <c r="BM171" i="2"/>
  <c r="BL45" i="2"/>
  <c r="BL82" i="2"/>
  <c r="BL26" i="2"/>
  <c r="BM79" i="2"/>
  <c r="BM18" i="2"/>
  <c r="BM154" i="2"/>
  <c r="BJ139" i="2"/>
  <c r="BM123" i="2"/>
  <c r="BL98" i="2"/>
  <c r="BH130" i="2"/>
  <c r="BI174" i="2"/>
  <c r="BJ219" i="2"/>
  <c r="BL38" i="2"/>
  <c r="BM81" i="2"/>
  <c r="BH131" i="2"/>
  <c r="BI168" i="2"/>
  <c r="BK8" i="2"/>
  <c r="BH155" i="2"/>
  <c r="BI200" i="2"/>
  <c r="BK17" i="2"/>
  <c r="BL61" i="2"/>
  <c r="BM105" i="2"/>
  <c r="BH156" i="2"/>
  <c r="BI191" i="2"/>
  <c r="BK10" i="2"/>
  <c r="BH157" i="2"/>
  <c r="BI202" i="2"/>
  <c r="BK19" i="2"/>
  <c r="BL63" i="2"/>
  <c r="BM107" i="2"/>
  <c r="BH179" i="2"/>
  <c r="BM80" i="2"/>
  <c r="BI23" i="2"/>
  <c r="BJ65" i="2"/>
  <c r="BK111" i="2"/>
  <c r="BL157" i="2"/>
  <c r="BM200" i="2"/>
  <c r="BH25" i="2"/>
  <c r="BI69" i="2"/>
  <c r="BJ112" i="2"/>
  <c r="BK159" i="2"/>
  <c r="BL204" i="2"/>
  <c r="BH26" i="2"/>
  <c r="BH27" i="2"/>
  <c r="BI71" i="2"/>
  <c r="BJ114" i="2"/>
  <c r="BK161" i="2"/>
  <c r="BL206" i="2"/>
  <c r="BH28" i="2"/>
  <c r="BI108" i="2"/>
  <c r="BJ145" i="2"/>
  <c r="BH52" i="2"/>
  <c r="BI95" i="2"/>
  <c r="BJ140" i="2"/>
  <c r="BK184" i="2"/>
  <c r="BM226" i="2"/>
  <c r="BH53" i="2"/>
  <c r="BI88" i="2"/>
  <c r="BJ123" i="2"/>
  <c r="BH167" i="2"/>
  <c r="BI211" i="2"/>
  <c r="BK29" i="2"/>
  <c r="BL73" i="2"/>
  <c r="BM116" i="2"/>
  <c r="BH168" i="2"/>
  <c r="BJ12" i="2"/>
  <c r="BK45" i="2"/>
  <c r="BH213" i="2"/>
  <c r="BJ31" i="2"/>
  <c r="BK75" i="2"/>
  <c r="BL120" i="2"/>
  <c r="BM165" i="2"/>
  <c r="BH214" i="2"/>
  <c r="BJ37" i="2"/>
  <c r="BK68" i="2"/>
  <c r="BI11" i="2"/>
  <c r="BJ56" i="2"/>
  <c r="BK99" i="2"/>
  <c r="BL146" i="2"/>
  <c r="BM188" i="2"/>
  <c r="BM76" i="2"/>
  <c r="BH13" i="2"/>
  <c r="BJ101" i="2"/>
  <c r="BK148" i="2"/>
  <c r="BL192" i="2"/>
  <c r="BH14" i="2"/>
  <c r="BI51" i="2"/>
  <c r="BJ131" i="2"/>
  <c r="BK126" i="2"/>
  <c r="BK110" i="2"/>
  <c r="BL152" i="2"/>
  <c r="BK141" i="2"/>
  <c r="BJ164" i="2"/>
  <c r="BL62" i="2"/>
  <c r="BM24" i="2"/>
  <c r="BI220" i="2"/>
  <c r="BM57" i="2"/>
  <c r="BM212" i="2"/>
  <c r="BK217" i="2"/>
  <c r="BK127" i="2"/>
  <c r="BL181" i="2"/>
  <c r="BJ72" i="2"/>
  <c r="BM32" i="2"/>
  <c r="BK154" i="2"/>
  <c r="BK201" i="2"/>
  <c r="BM125" i="2"/>
  <c r="BJ197" i="2"/>
  <c r="BH153" i="2"/>
  <c r="BI198" i="2"/>
  <c r="BK15" i="2"/>
  <c r="BL59" i="2"/>
  <c r="BM103" i="2"/>
  <c r="BH154" i="2"/>
  <c r="BI189" i="2"/>
  <c r="BK32" i="2"/>
  <c r="BH176" i="2"/>
  <c r="BI223" i="2"/>
  <c r="BK40" i="2"/>
  <c r="BL85" i="2"/>
  <c r="BM128" i="2"/>
  <c r="BH177" i="2"/>
  <c r="BI214" i="2"/>
  <c r="BK34" i="2"/>
  <c r="BH178" i="2"/>
  <c r="BI225" i="2"/>
  <c r="BK42" i="2"/>
  <c r="BL87" i="2"/>
  <c r="BM130" i="2"/>
  <c r="BH203" i="2"/>
  <c r="BJ26" i="2"/>
  <c r="BI46" i="2"/>
  <c r="BJ89" i="2"/>
  <c r="BK134" i="2"/>
  <c r="BL178" i="2"/>
  <c r="BM223" i="2"/>
  <c r="BH48" i="2"/>
  <c r="BI92" i="2"/>
  <c r="BJ136" i="2"/>
  <c r="BK180" i="2"/>
  <c r="BL226" i="2"/>
  <c r="BH49" i="2"/>
  <c r="BH50" i="2"/>
  <c r="BI94" i="2"/>
  <c r="BJ138" i="2"/>
  <c r="BK182" i="2"/>
  <c r="BL228" i="2"/>
  <c r="BH51" i="2"/>
  <c r="BI131" i="2"/>
  <c r="BJ168" i="2"/>
  <c r="BH73" i="2"/>
  <c r="BI118" i="2"/>
  <c r="BJ163" i="2"/>
  <c r="BK208" i="2"/>
  <c r="BM25" i="2"/>
  <c r="BH74" i="2"/>
  <c r="BI110" i="2"/>
  <c r="BJ147" i="2"/>
  <c r="BH188" i="2"/>
  <c r="BJ5" i="2"/>
  <c r="BK52" i="2"/>
  <c r="BL95" i="2"/>
  <c r="BM140" i="2"/>
  <c r="BH189" i="2"/>
  <c r="BJ35" i="2"/>
  <c r="BK66" i="2"/>
  <c r="BI9" i="2"/>
  <c r="BJ54" i="2"/>
  <c r="BK97" i="2"/>
  <c r="BL144" i="2"/>
  <c r="BM186" i="2"/>
  <c r="BM68" i="2"/>
  <c r="BJ58" i="2"/>
  <c r="BK113" i="2"/>
  <c r="BJ77" i="2"/>
  <c r="BK122" i="2"/>
  <c r="BL169" i="2"/>
  <c r="BM211" i="2"/>
  <c r="BI26" i="2"/>
  <c r="BH36" i="2"/>
  <c r="BI81" i="2"/>
  <c r="BJ124" i="2"/>
  <c r="BK171" i="2"/>
  <c r="BL215" i="2"/>
  <c r="BH37" i="2"/>
  <c r="BI72" i="2"/>
  <c r="BJ154" i="2"/>
  <c r="BL173" i="2"/>
  <c r="BK143" i="2"/>
  <c r="BH15" i="2"/>
  <c r="BJ220" i="2"/>
  <c r="BL86" i="2"/>
  <c r="BM88" i="2"/>
  <c r="BM220" i="2"/>
  <c r="BJ60" i="2"/>
  <c r="BL20" i="2"/>
  <c r="BM191" i="2"/>
  <c r="BL158" i="2"/>
  <c r="BK80" i="2"/>
  <c r="BL205" i="2"/>
  <c r="BL218" i="2"/>
  <c r="BJ129" i="2"/>
  <c r="BL49" i="2"/>
  <c r="BH129" i="2"/>
  <c r="BK175" i="2"/>
  <c r="BM145" i="2"/>
  <c r="BL6" i="2"/>
  <c r="BJ96" i="2"/>
  <c r="BJ187" i="2"/>
  <c r="BM131" i="2"/>
  <c r="BK6" i="2"/>
  <c r="BL121" i="2"/>
  <c r="BJ13" i="2"/>
  <c r="BH174" i="2"/>
  <c r="BI221" i="2"/>
  <c r="BK38" i="2"/>
  <c r="BL83" i="2"/>
  <c r="BM126" i="2"/>
  <c r="BH175" i="2"/>
  <c r="BI212" i="2"/>
  <c r="BK55" i="2"/>
  <c r="BH200" i="2"/>
  <c r="BJ17" i="2"/>
  <c r="BK61" i="2"/>
  <c r="BL107" i="2"/>
  <c r="BM151" i="2"/>
  <c r="BH201" i="2"/>
  <c r="BM72" i="2"/>
  <c r="BK57" i="2"/>
  <c r="BH202" i="2"/>
  <c r="BJ19" i="2"/>
  <c r="BK63" i="2"/>
  <c r="BL109" i="2"/>
  <c r="BM153" i="2"/>
  <c r="BI12" i="2"/>
  <c r="BH23" i="2"/>
  <c r="BI67" i="2"/>
  <c r="BJ111" i="2"/>
  <c r="BK157" i="2"/>
  <c r="BL202" i="2"/>
  <c r="BH24" i="2"/>
  <c r="BH69" i="2"/>
  <c r="BI114" i="2"/>
  <c r="BJ159" i="2"/>
  <c r="BK204" i="2"/>
  <c r="BM21" i="2"/>
  <c r="BH70" i="2"/>
  <c r="BH71" i="2"/>
  <c r="BI116" i="2"/>
  <c r="BJ161" i="2"/>
  <c r="BK206" i="2"/>
  <c r="BM23" i="2"/>
  <c r="BH72" i="2"/>
  <c r="BI154" i="2"/>
  <c r="BJ189" i="2"/>
  <c r="BH95" i="2"/>
  <c r="BI142" i="2"/>
  <c r="BJ184" i="2"/>
  <c r="BL3" i="2"/>
  <c r="BM48" i="2"/>
  <c r="BH96" i="2"/>
  <c r="BI133" i="2"/>
  <c r="BJ170" i="2"/>
  <c r="BH211" i="2"/>
  <c r="BJ29" i="2"/>
  <c r="BK73" i="2"/>
  <c r="BL118" i="2"/>
  <c r="BM163" i="2"/>
  <c r="BH212" i="2"/>
  <c r="BK90" i="2"/>
  <c r="BI33" i="2"/>
  <c r="BJ75" i="2"/>
  <c r="BK120" i="2"/>
  <c r="BL167" i="2"/>
  <c r="BM209" i="2"/>
  <c r="BI24" i="2"/>
  <c r="BJ82" i="2"/>
  <c r="BH11" i="2"/>
  <c r="BJ99" i="2"/>
  <c r="BK146" i="2"/>
  <c r="BL190" i="2"/>
  <c r="BH12" i="2"/>
  <c r="BI49" i="2"/>
  <c r="BI103" i="2"/>
  <c r="BJ148" i="2"/>
  <c r="BK192" i="2"/>
  <c r="BM9" i="2"/>
  <c r="BH58" i="2"/>
  <c r="BI117" i="2"/>
  <c r="BJ175" i="2"/>
  <c r="BM215" i="2"/>
  <c r="BK166" i="2"/>
  <c r="BL197" i="2"/>
  <c r="BI59" i="2"/>
  <c r="BK26" i="2"/>
  <c r="BL108" i="2"/>
  <c r="BM179" i="2"/>
  <c r="BJ2" i="2"/>
  <c r="BJ115" i="2"/>
  <c r="BL43" i="2"/>
  <c r="BM104" i="2"/>
  <c r="BM214" i="2"/>
  <c r="BK172" i="2"/>
  <c r="BH84" i="2"/>
  <c r="BL227" i="2"/>
  <c r="BM129" i="2"/>
  <c r="BJ183" i="2"/>
  <c r="BL70" i="2"/>
  <c r="BM86" i="2"/>
  <c r="BI74" i="2"/>
  <c r="BK199" i="2"/>
  <c r="BM102" i="2"/>
  <c r="BL53" i="2"/>
  <c r="BL104" i="2"/>
  <c r="BK49" i="2"/>
  <c r="BM224" i="2"/>
  <c r="BI219" i="2"/>
  <c r="BK53" i="2"/>
  <c r="BL145" i="2"/>
  <c r="BK102" i="2"/>
  <c r="BL147" i="2"/>
  <c r="BH219" i="2"/>
  <c r="BM106" i="2"/>
  <c r="BI195" i="2"/>
  <c r="BL193" i="2"/>
  <c r="BH198" i="2"/>
  <c r="BJ15" i="2"/>
  <c r="BK59" i="2"/>
  <c r="BL105" i="2"/>
  <c r="BM150" i="2"/>
  <c r="BH199" i="2"/>
  <c r="BM60" i="2"/>
  <c r="BK76" i="2"/>
  <c r="BH223" i="2"/>
  <c r="BJ40" i="2"/>
  <c r="BK85" i="2"/>
  <c r="BL130" i="2"/>
  <c r="BH224" i="2"/>
  <c r="BJ24" i="2"/>
  <c r="BK78" i="2"/>
  <c r="BH225" i="2"/>
  <c r="BJ42" i="2"/>
  <c r="BK87" i="2"/>
  <c r="BL132" i="2"/>
  <c r="BM174" i="2"/>
  <c r="BI35" i="2"/>
  <c r="BH46" i="2"/>
  <c r="BI91" i="2"/>
  <c r="BJ134" i="2"/>
  <c r="BK178" i="2"/>
  <c r="BL225" i="2"/>
  <c r="BH47" i="2"/>
  <c r="BH92" i="2"/>
  <c r="BI138" i="2"/>
  <c r="BJ180" i="2"/>
  <c r="BK226" i="2"/>
  <c r="BM44" i="2"/>
  <c r="BH93" i="2"/>
  <c r="BH94" i="2"/>
  <c r="BI140" i="2"/>
  <c r="BJ182" i="2"/>
  <c r="BK228" i="2"/>
  <c r="BM46" i="2"/>
  <c r="BH117" i="2"/>
  <c r="BI175" i="2"/>
  <c r="BJ212" i="2"/>
  <c r="BH118" i="2"/>
  <c r="BI165" i="2"/>
  <c r="BJ208" i="2"/>
  <c r="BL27" i="2"/>
  <c r="BM69" i="2"/>
  <c r="BH119" i="2"/>
  <c r="BI156" i="2"/>
  <c r="BJ191" i="2"/>
  <c r="BI7" i="2"/>
  <c r="BJ52" i="2"/>
  <c r="BK95" i="2"/>
  <c r="BL142" i="2"/>
  <c r="BM184" i="2"/>
  <c r="BM58" i="2"/>
  <c r="BJ80" i="2"/>
  <c r="BH9" i="2"/>
  <c r="BI56" i="2"/>
  <c r="BJ97" i="2"/>
  <c r="BK144" i="2"/>
  <c r="BL188" i="2"/>
  <c r="BH10" i="2"/>
  <c r="BI47" i="2"/>
  <c r="BJ104" i="2"/>
  <c r="BI79" i="2"/>
  <c r="BJ122" i="2"/>
  <c r="BK169" i="2"/>
  <c r="BL213" i="2"/>
  <c r="BH35" i="2"/>
  <c r="BI70" i="2"/>
  <c r="BH81" i="2"/>
  <c r="BI126" i="2"/>
  <c r="BJ171" i="2"/>
  <c r="BK215" i="2"/>
  <c r="BM33" i="2"/>
  <c r="BH82" i="2"/>
  <c r="BI141" i="2"/>
  <c r="BJ199" i="2"/>
  <c r="BI30" i="2"/>
  <c r="BK187" i="2"/>
  <c r="BL220" i="2"/>
  <c r="BJ103" i="2"/>
  <c r="BK70" i="2"/>
  <c r="BL131" i="2"/>
  <c r="BL2" i="2"/>
  <c r="BJ166" i="2"/>
  <c r="BL64" i="2"/>
  <c r="BM197" i="2"/>
  <c r="BM133" i="2"/>
  <c r="BM62" i="2"/>
  <c r="BI58" i="2"/>
  <c r="BK195" i="2"/>
  <c r="BM164" i="2"/>
  <c r="BH105" i="2"/>
  <c r="BM26" i="2"/>
  <c r="BL93" i="2"/>
  <c r="BM177" i="2"/>
  <c r="BI166" i="2"/>
  <c r="BK222" i="2"/>
  <c r="BM195" i="2"/>
  <c r="BL96" i="2"/>
  <c r="BM135" i="2"/>
  <c r="BK133" i="2"/>
  <c r="BL189" i="2"/>
  <c r="BK36" i="2"/>
  <c r="BK96" i="2"/>
  <c r="BL168" i="2"/>
  <c r="BL103" i="2"/>
  <c r="BK137" i="2"/>
  <c r="BL170" i="2"/>
  <c r="BJ152" i="2"/>
  <c r="BI197" i="2"/>
  <c r="BJ43" i="2"/>
  <c r="BK218" i="2"/>
  <c r="BL4" i="2"/>
  <c r="BL143" i="2"/>
  <c r="BK177" i="2"/>
  <c r="BL81" i="2"/>
  <c r="BK135" i="2"/>
  <c r="BM148" i="2"/>
  <c r="BL191" i="2"/>
  <c r="BK60" i="2"/>
  <c r="BJ207" i="2"/>
  <c r="BH221" i="2"/>
  <c r="BJ38" i="2"/>
  <c r="BK83" i="2"/>
  <c r="BL128" i="2"/>
  <c r="BM173" i="2"/>
  <c r="BH222" i="2"/>
  <c r="BJ22" i="2"/>
  <c r="BK98" i="2"/>
  <c r="BI19" i="2"/>
  <c r="BJ61" i="2"/>
  <c r="BK107" i="2"/>
  <c r="BL153" i="2"/>
  <c r="BM196" i="2"/>
  <c r="BI10" i="2"/>
  <c r="BJ47" i="2"/>
  <c r="BK100" i="2"/>
  <c r="BI21" i="2"/>
  <c r="BJ63" i="2"/>
  <c r="BK109" i="2"/>
  <c r="BL155" i="2"/>
  <c r="BM198" i="2"/>
  <c r="BH67" i="2"/>
  <c r="BI112" i="2"/>
  <c r="BJ157" i="2"/>
  <c r="BK202" i="2"/>
  <c r="BM19" i="2"/>
  <c r="BH68" i="2"/>
  <c r="BH114" i="2"/>
  <c r="BI161" i="2"/>
  <c r="BJ204" i="2"/>
  <c r="BL23" i="2"/>
  <c r="BM65" i="2"/>
  <c r="BH115" i="2"/>
  <c r="BH116" i="2"/>
  <c r="BI163" i="2"/>
  <c r="BJ206" i="2"/>
  <c r="BL25" i="2"/>
  <c r="BM67" i="2"/>
  <c r="BH141" i="2"/>
  <c r="BI199" i="2"/>
  <c r="BM35" i="2"/>
  <c r="BH142" i="2"/>
  <c r="BI186" i="2"/>
  <c r="BK3" i="2"/>
  <c r="BL50" i="2"/>
  <c r="BM92" i="2"/>
  <c r="BH143" i="2"/>
  <c r="BI177" i="2"/>
  <c r="BJ214" i="2"/>
  <c r="BI31" i="2"/>
  <c r="BJ73" i="2"/>
  <c r="BK118" i="2"/>
  <c r="BL165" i="2"/>
  <c r="BM208" i="2"/>
  <c r="BI22" i="2"/>
  <c r="BJ102" i="2"/>
  <c r="BH33" i="2"/>
  <c r="BI77" i="2"/>
  <c r="BJ120" i="2"/>
  <c r="BK167" i="2"/>
  <c r="BL211" i="2"/>
  <c r="BH34" i="2"/>
  <c r="BI68" i="2"/>
  <c r="BJ127" i="2"/>
  <c r="BI101" i="2"/>
  <c r="BJ146" i="2"/>
  <c r="BK190" i="2"/>
  <c r="BM7" i="2"/>
  <c r="BI93" i="2"/>
  <c r="BH103" i="2"/>
  <c r="BI150" i="2"/>
  <c r="BJ192" i="2"/>
  <c r="BL11" i="2"/>
  <c r="BM56" i="2"/>
  <c r="BH104" i="2"/>
  <c r="BI164" i="2"/>
  <c r="BJ222" i="2"/>
  <c r="BI119" i="2"/>
  <c r="BK210" i="2"/>
  <c r="BM78" i="2"/>
  <c r="BK150" i="2"/>
  <c r="BK115" i="2"/>
  <c r="BL154" i="2"/>
  <c r="BK194" i="2"/>
  <c r="BH38" i="2"/>
  <c r="BJ224" i="2"/>
  <c r="BL88" i="2"/>
  <c r="BM110" i="2"/>
  <c r="BH59" i="2"/>
  <c r="BL90" i="2"/>
  <c r="BM98" i="2"/>
  <c r="BI151" i="2"/>
  <c r="BK39" i="2"/>
  <c r="BL115" i="2"/>
  <c r="BM93" i="2"/>
  <c r="BJ20" i="2"/>
  <c r="BM108" i="2"/>
  <c r="BH151" i="2"/>
  <c r="BM96" i="2"/>
  <c r="BM41" i="2"/>
  <c r="BK160" i="2"/>
  <c r="BK58" i="2"/>
  <c r="BM100" i="2"/>
  <c r="BI17" i="2"/>
  <c r="BJ59" i="2"/>
  <c r="BK105" i="2"/>
  <c r="BL151" i="2"/>
  <c r="BM194" i="2"/>
  <c r="BI8" i="2"/>
  <c r="BJ45" i="2"/>
  <c r="BK121" i="2"/>
  <c r="BI42" i="2"/>
  <c r="BJ85" i="2"/>
  <c r="BK130" i="2"/>
  <c r="BL174" i="2"/>
  <c r="BM219" i="2"/>
  <c r="BI34" i="2"/>
  <c r="BJ68" i="2"/>
  <c r="BK123" i="2"/>
  <c r="BI44" i="2"/>
  <c r="BJ87" i="2"/>
  <c r="BK132" i="2"/>
  <c r="BL176" i="2"/>
  <c r="BM221" i="2"/>
  <c r="BI80" i="2"/>
  <c r="BH91" i="2"/>
  <c r="BI136" i="2"/>
  <c r="BJ178" i="2"/>
  <c r="BK225" i="2"/>
  <c r="BM42" i="2"/>
  <c r="BH113" i="2"/>
  <c r="BH138" i="2"/>
  <c r="BI182" i="2"/>
  <c r="BJ226" i="2"/>
  <c r="BL46" i="2"/>
  <c r="BM89" i="2"/>
  <c r="BH139" i="2"/>
  <c r="BH140" i="2"/>
  <c r="BI184" i="2"/>
  <c r="BH17" i="2"/>
  <c r="BI61" i="2"/>
  <c r="BJ105" i="2"/>
  <c r="BK151" i="2"/>
  <c r="BL196" i="2"/>
  <c r="BH18" i="2"/>
  <c r="BI55" i="2"/>
  <c r="BJ90" i="2"/>
  <c r="BH42" i="2"/>
  <c r="BI87" i="2"/>
  <c r="BJ130" i="2"/>
  <c r="BK174" i="2"/>
  <c r="BL221" i="2"/>
  <c r="BH43" i="2"/>
  <c r="BI78" i="2"/>
  <c r="BJ137" i="2"/>
  <c r="BH44" i="2"/>
  <c r="BI89" i="2"/>
  <c r="BJ132" i="2"/>
  <c r="BK176" i="2"/>
  <c r="BL223" i="2"/>
  <c r="BH45" i="2"/>
  <c r="BI125" i="2"/>
  <c r="BH136" i="2"/>
  <c r="BI180" i="2"/>
  <c r="BJ225" i="2"/>
  <c r="BL44" i="2"/>
  <c r="BM87" i="2"/>
  <c r="BH160" i="2"/>
  <c r="BH182" i="2"/>
  <c r="BI228" i="2"/>
  <c r="BK46" i="2"/>
  <c r="BL91" i="2"/>
  <c r="BM134" i="2"/>
  <c r="BH183" i="2"/>
  <c r="BH184" i="2"/>
  <c r="BM228" i="2"/>
  <c r="BK48" i="2"/>
  <c r="BL92" i="2"/>
  <c r="BM136" i="2"/>
  <c r="BM37" i="2"/>
  <c r="BJ32" i="2"/>
  <c r="BK62" i="2"/>
  <c r="BH209" i="2"/>
  <c r="BJ27" i="2"/>
  <c r="BK71" i="2"/>
  <c r="BL116" i="2"/>
  <c r="BM161" i="2"/>
  <c r="BH210" i="2"/>
  <c r="BJ10" i="2"/>
  <c r="BH54" i="2"/>
  <c r="BI97" i="2"/>
  <c r="BJ142" i="2"/>
  <c r="BK186" i="2"/>
  <c r="BM3" i="2"/>
  <c r="BH55" i="2"/>
  <c r="BI90" i="2"/>
  <c r="BJ172" i="2"/>
  <c r="BH99" i="2"/>
  <c r="BI146" i="2"/>
  <c r="BJ188" i="2"/>
  <c r="BL7" i="2"/>
  <c r="BM52" i="2"/>
  <c r="BH100" i="2"/>
  <c r="BI160" i="2"/>
  <c r="BJ195" i="2"/>
  <c r="BH124" i="2"/>
  <c r="BI171" i="2"/>
  <c r="BJ213" i="2"/>
  <c r="BL33" i="2"/>
  <c r="BM75" i="2"/>
  <c r="BH125" i="2"/>
  <c r="BI162" i="2"/>
  <c r="BH173" i="2"/>
  <c r="BI217" i="2"/>
  <c r="BL79" i="2"/>
  <c r="BM122" i="2"/>
  <c r="BJ18" i="2"/>
  <c r="BK51" i="2"/>
  <c r="BJ106" i="2"/>
  <c r="BL39" i="2"/>
  <c r="BM181" i="2"/>
  <c r="BI37" i="2"/>
  <c r="BK189" i="2"/>
  <c r="BL222" i="2"/>
  <c r="BK193" i="2"/>
  <c r="BK173" i="2"/>
  <c r="BK119" i="2"/>
  <c r="BL156" i="2"/>
  <c r="BJ150" i="2"/>
  <c r="BH60" i="2"/>
  <c r="BM127" i="2"/>
  <c r="BJ119" i="2"/>
  <c r="BL47" i="2"/>
  <c r="BM137" i="2"/>
  <c r="BK152" i="2"/>
  <c r="BL183" i="2"/>
  <c r="BM66" i="2"/>
  <c r="BJ185" i="2"/>
  <c r="BL72" i="2"/>
  <c r="BI196" i="2"/>
  <c r="BM168" i="2"/>
  <c r="BM101" i="2"/>
  <c r="BL74" i="2"/>
  <c r="BI15" i="2"/>
  <c r="BI84" i="2"/>
  <c r="BK203" i="2"/>
  <c r="BL150" i="2"/>
  <c r="BI187" i="2"/>
  <c r="BK227" i="2"/>
  <c r="BM119" i="2"/>
  <c r="BL35" i="2"/>
  <c r="BM166" i="2"/>
  <c r="BK139" i="2"/>
  <c r="BK103" i="2"/>
  <c r="BL198" i="2"/>
  <c r="BK41" i="2"/>
  <c r="BK165" i="2"/>
  <c r="BI205" i="2"/>
  <c r="BI207" i="2"/>
  <c r="BK117" i="2"/>
  <c r="BH39" i="2"/>
  <c r="BI2" i="2"/>
  <c r="BM124" i="2"/>
  <c r="BL214" i="2"/>
  <c r="BM199" i="2"/>
  <c r="BL186" i="2"/>
  <c r="BI210" i="2"/>
  <c r="BJ74" i="2"/>
  <c r="BM207" i="2"/>
  <c r="BM141" i="2"/>
  <c r="BM172" i="2"/>
  <c r="BJ93" i="2"/>
  <c r="BM216" i="2"/>
  <c r="BI40" i="2"/>
  <c r="BH20" i="2"/>
  <c r="BJ202" i="2"/>
  <c r="BJ228" i="2"/>
  <c r="BK108" i="2"/>
  <c r="BJ144" i="2"/>
  <c r="BM77" i="2"/>
  <c r="BL179" i="2"/>
  <c r="BM49" i="2"/>
  <c r="BK81" i="2"/>
  <c r="BJ88" i="2"/>
  <c r="BJ83" i="2"/>
  <c r="BI57" i="2"/>
  <c r="BL21" i="2"/>
  <c r="BK25" i="2"/>
  <c r="BH165" i="2"/>
  <c r="BH187" i="2"/>
  <c r="BL209" i="2"/>
  <c r="BJ167" i="2"/>
  <c r="BL9" i="2"/>
  <c r="BH150" i="2"/>
  <c r="BJ51" i="2"/>
  <c r="BL13" i="2"/>
  <c r="BH220" i="2"/>
  <c r="BK128" i="2"/>
  <c r="BJ113" i="2"/>
  <c r="BM63" i="2"/>
  <c r="BL48" i="2"/>
  <c r="BH186" i="2"/>
  <c r="BI201" i="2"/>
  <c r="BH8" i="2"/>
  <c r="BK188" i="2"/>
  <c r="BM64" i="2"/>
  <c r="BL77" i="2"/>
  <c r="BH217" i="2"/>
  <c r="BM169" i="2"/>
  <c r="BJ210" i="2"/>
  <c r="BM47" i="2"/>
  <c r="BK170" i="2"/>
  <c r="BH83" i="2"/>
  <c r="BI60" i="2"/>
  <c r="BK43" i="2"/>
  <c r="BL126" i="2"/>
  <c r="BH21" i="2"/>
  <c r="BH137" i="2"/>
  <c r="BL69" i="2"/>
  <c r="BI209" i="2"/>
  <c r="BI224" i="2"/>
  <c r="BH32" i="2"/>
  <c r="BK211" i="2"/>
  <c r="BH79" i="2"/>
  <c r="BM31" i="2"/>
  <c r="BI173" i="2"/>
  <c r="BH127" i="2"/>
  <c r="BM34" i="2"/>
  <c r="BL175" i="2"/>
  <c r="BL110" i="2"/>
  <c r="BJ4" i="2"/>
  <c r="BK84" i="2"/>
  <c r="BL28" i="2"/>
  <c r="BK224" i="2"/>
  <c r="BK158" i="2"/>
  <c r="BM217" i="2"/>
  <c r="BI65" i="2"/>
  <c r="BH161" i="2"/>
  <c r="BM91" i="2"/>
  <c r="BJ3" i="2"/>
  <c r="BH7" i="2"/>
  <c r="BI45" i="2"/>
  <c r="BM5" i="2"/>
  <c r="BH101" i="2"/>
  <c r="BM54" i="2"/>
  <c r="BI194" i="2"/>
  <c r="BL16" i="2"/>
  <c r="BL199" i="2"/>
  <c r="BL133" i="2"/>
  <c r="BJ70" i="2"/>
  <c r="BK129" i="2"/>
  <c r="BL51" i="2"/>
  <c r="BL30" i="2"/>
  <c r="BK179" i="2"/>
  <c r="BK12" i="2"/>
  <c r="BM183" i="2"/>
  <c r="BI104" i="2"/>
  <c r="BJ109" i="2"/>
  <c r="BK27" i="2"/>
  <c r="BI66" i="2"/>
  <c r="BH171" i="2"/>
  <c r="BL84" i="2"/>
  <c r="BL201" i="2"/>
  <c r="BK197" i="2"/>
  <c r="BL166" i="2"/>
  <c r="BL32" i="2"/>
  <c r="BK162" i="2"/>
  <c r="BK23" i="2"/>
  <c r="BM8" i="2"/>
  <c r="BK205" i="2"/>
  <c r="BM115" i="2"/>
  <c r="BL125" i="2"/>
  <c r="BI32" i="2"/>
  <c r="BI206" i="2"/>
  <c r="BM112" i="2"/>
  <c r="BH31" i="2"/>
  <c r="BM29" i="2"/>
  <c r="BM120" i="2"/>
  <c r="BH218" i="2"/>
  <c r="BM210" i="2"/>
  <c r="BM20" i="2"/>
  <c r="BL141" i="2"/>
  <c r="BK181" i="2"/>
  <c r="BK14" i="2"/>
  <c r="BH164" i="2"/>
  <c r="BM70" i="2"/>
  <c r="BM6" i="2"/>
  <c r="BL162" i="2"/>
  <c r="BL34" i="2"/>
  <c r="BJ66" i="2"/>
  <c r="BK155" i="2"/>
  <c r="BK50" i="2"/>
  <c r="BI54" i="2"/>
  <c r="BJ125" i="2"/>
  <c r="BH57" i="2"/>
  <c r="BI124" i="2"/>
  <c r="BH80" i="2"/>
  <c r="BJ215" i="2"/>
  <c r="BI185" i="2"/>
  <c r="BM187" i="2"/>
  <c r="BM203" i="2"/>
  <c r="BL139" i="2"/>
  <c r="BM201" i="2"/>
  <c r="BL210" i="2"/>
  <c r="BL55" i="2"/>
  <c r="BK104" i="2"/>
  <c r="BL24" i="2"/>
  <c r="BM149" i="2"/>
  <c r="BH19" i="2"/>
  <c r="BL200" i="2"/>
  <c r="BL67" i="2"/>
  <c r="BH185" i="2"/>
  <c r="BK116" i="2"/>
  <c r="BI75" i="2"/>
  <c r="BJ149" i="2"/>
  <c r="BH78" i="2"/>
  <c r="BI148" i="2"/>
  <c r="BH102" i="2"/>
  <c r="BK11" i="2"/>
  <c r="BM39" i="2"/>
  <c r="BM147" i="2"/>
  <c r="BK125" i="2"/>
  <c r="BK2" i="2"/>
  <c r="BM113" i="2"/>
  <c r="BK207" i="2"/>
  <c r="BI63" i="2"/>
  <c r="BH22" i="2"/>
  <c r="BM111" i="2"/>
  <c r="BI222" i="2"/>
  <c r="BL71" i="2"/>
  <c r="BJ95" i="2"/>
  <c r="BH56" i="2"/>
  <c r="BH147" i="2"/>
  <c r="BI215" i="2"/>
  <c r="BH172" i="2"/>
  <c r="BK79" i="2"/>
  <c r="BJ62" i="2"/>
  <c r="BM205" i="2"/>
  <c r="BL66" i="2"/>
  <c r="BK35" i="2"/>
  <c r="BL113" i="2"/>
  <c r="BM4" i="2"/>
  <c r="BM74" i="2"/>
  <c r="BM162" i="2"/>
  <c r="BM227" i="2"/>
  <c r="BL57" i="2"/>
  <c r="BL172" i="2"/>
  <c r="BL12" i="2"/>
  <c r="BJ107" i="2"/>
  <c r="BH162" i="2"/>
  <c r="BL94" i="2"/>
  <c r="BH77" i="2"/>
  <c r="BJ169" i="2"/>
  <c r="BL194" i="2"/>
  <c r="BI105" i="2"/>
  <c r="BH2" i="2"/>
  <c r="BK106" i="2"/>
  <c r="BL100" i="2"/>
  <c r="BL102" i="2"/>
  <c r="BH126" i="2"/>
  <c r="BJ194" i="2"/>
  <c r="BH197" i="2"/>
  <c r="BM99" i="2"/>
  <c r="BJ30" i="2"/>
  <c r="BM82" i="2"/>
  <c r="BJ143" i="2"/>
  <c r="BI102" i="2"/>
  <c r="BJ8" i="2"/>
  <c r="BJ118" i="2"/>
  <c r="BI113" i="2"/>
  <c r="BI115" i="2"/>
  <c r="BK4" i="2"/>
  <c r="BI83" i="2"/>
  <c r="BM160" i="2"/>
  <c r="BL187" i="2"/>
  <c r="BL14" i="2"/>
  <c r="BM143" i="2"/>
  <c r="BK213" i="2"/>
  <c r="BK30" i="2"/>
  <c r="BK13" i="2"/>
  <c r="BL127" i="2"/>
  <c r="BK168" i="2"/>
  <c r="BJ133" i="2"/>
  <c r="BK164" i="2"/>
  <c r="BL58" i="2"/>
  <c r="BM90" i="2"/>
  <c r="BK153" i="2"/>
  <c r="BH112" i="2"/>
  <c r="BH163" i="2"/>
  <c r="BK18" i="2"/>
  <c r="BM114" i="2"/>
  <c r="BK142" i="2"/>
  <c r="BI99" i="2"/>
  <c r="BI137" i="2"/>
  <c r="BJ190" i="2"/>
  <c r="BI139" i="2"/>
  <c r="BK28" i="2"/>
  <c r="BH16" i="2"/>
  <c r="BJ126" i="2"/>
  <c r="BM11" i="2"/>
  <c r="BI106" i="2"/>
  <c r="BM30" i="2"/>
  <c r="BL37" i="2"/>
  <c r="BL195" i="2"/>
  <c r="BL123" i="2"/>
  <c r="BM193" i="2"/>
  <c r="BL149" i="2"/>
  <c r="BI159" i="2"/>
  <c r="BI208" i="2"/>
  <c r="BM138" i="2"/>
  <c r="BI122" i="2"/>
  <c r="BK33" i="2"/>
  <c r="BL124" i="2"/>
  <c r="BI218" i="2"/>
  <c r="BI143" i="2"/>
  <c r="BM139" i="2"/>
  <c r="BH196" i="2"/>
  <c r="BM22" i="2"/>
  <c r="BH166" i="2"/>
  <c r="BK145" i="2"/>
  <c r="BK74" i="2"/>
  <c r="BI96" i="2"/>
  <c r="BI82" i="2"/>
  <c r="BU160" i="2" l="1"/>
  <c r="BU172" i="2"/>
  <c r="BU217" i="2"/>
  <c r="BU205" i="2"/>
  <c r="BU193" i="2"/>
  <c r="BU181" i="2"/>
  <c r="BU206" i="2"/>
  <c r="BU182" i="2"/>
  <c r="BU173" i="2"/>
  <c r="BU194" i="2"/>
  <c r="BU149" i="2"/>
  <c r="BU137" i="2"/>
  <c r="BU225" i="2"/>
  <c r="BU81" i="2"/>
  <c r="BU69" i="2"/>
  <c r="BU48" i="2"/>
  <c r="BU111" i="2"/>
  <c r="BU99" i="2"/>
  <c r="BU227" i="2"/>
  <c r="BU202" i="2"/>
  <c r="BU190" i="2"/>
  <c r="BU178" i="2"/>
  <c r="BU169" i="2"/>
  <c r="BU125" i="2"/>
  <c r="BU113" i="2"/>
  <c r="BU89" i="2"/>
  <c r="BU65" i="2"/>
  <c r="BU56" i="2"/>
  <c r="BU44" i="2"/>
  <c r="BU33" i="2"/>
  <c r="BU21" i="2"/>
  <c r="BU161" i="2"/>
  <c r="BU150" i="2"/>
  <c r="BU138" i="2"/>
  <c r="BU126" i="2"/>
  <c r="BU114" i="2"/>
  <c r="BU102" i="2"/>
  <c r="BU157" i="2"/>
  <c r="BU146" i="2"/>
  <c r="BU134" i="2"/>
  <c r="BU122" i="2"/>
  <c r="BU80" i="2"/>
  <c r="BU92" i="2"/>
  <c r="BU103" i="2"/>
  <c r="BU9" i="2"/>
  <c r="BU77" i="2"/>
  <c r="BU213" i="2"/>
  <c r="BU2" i="2"/>
  <c r="BU14" i="2"/>
  <c r="BU26" i="2"/>
  <c r="BU37" i="2"/>
  <c r="BU49" i="2"/>
  <c r="BU58" i="2"/>
  <c r="BU70" i="2"/>
  <c r="BU82" i="2"/>
  <c r="BU94" i="2"/>
  <c r="BU106" i="2"/>
  <c r="BU117" i="2"/>
  <c r="BU129" i="2"/>
  <c r="BU141" i="2"/>
  <c r="BU152" i="2"/>
  <c r="BU164" i="2"/>
  <c r="BU185" i="2"/>
  <c r="BU197" i="2"/>
  <c r="BU220" i="2"/>
  <c r="BU3" i="2"/>
  <c r="BU15" i="2"/>
  <c r="BU27" i="2"/>
  <c r="BU38" i="2"/>
  <c r="BU50" i="2"/>
  <c r="BU59" i="2"/>
  <c r="BU71" i="2"/>
  <c r="BU83" i="2"/>
  <c r="BU95" i="2"/>
  <c r="BU107" i="2"/>
  <c r="BU118" i="2"/>
  <c r="BU130" i="2"/>
  <c r="BU142" i="2"/>
  <c r="BU153" i="2"/>
  <c r="BU165" i="2"/>
  <c r="BU174" i="2"/>
  <c r="BU186" i="2"/>
  <c r="BU198" i="2"/>
  <c r="BU209" i="2"/>
  <c r="BU221" i="2"/>
  <c r="BU4" i="2"/>
  <c r="BU16" i="2"/>
  <c r="BU28" i="2"/>
  <c r="BU39" i="2"/>
  <c r="BU51" i="2"/>
  <c r="BU60" i="2"/>
  <c r="BU72" i="2"/>
  <c r="BU84" i="2"/>
  <c r="BU96" i="2"/>
  <c r="BU108" i="2"/>
  <c r="BU119" i="2"/>
  <c r="BU131" i="2"/>
  <c r="BU143" i="2"/>
  <c r="BU154" i="2"/>
  <c r="BU166" i="2"/>
  <c r="BU175" i="2"/>
  <c r="BU187" i="2"/>
  <c r="BU199" i="2"/>
  <c r="BU210" i="2"/>
  <c r="BU222" i="2"/>
  <c r="BU5" i="2"/>
  <c r="BU17" i="2"/>
  <c r="BU29" i="2"/>
  <c r="BU40" i="2"/>
  <c r="BU52" i="2"/>
  <c r="BU61" i="2"/>
  <c r="BU73" i="2"/>
  <c r="BU85" i="2"/>
  <c r="BU97" i="2"/>
  <c r="BU109" i="2"/>
  <c r="BU120" i="2"/>
  <c r="BU132" i="2"/>
  <c r="BU144" i="2"/>
  <c r="BU155" i="2"/>
  <c r="BU167" i="2"/>
  <c r="BU176" i="2"/>
  <c r="BU188" i="2"/>
  <c r="BU200" i="2"/>
  <c r="BU211" i="2"/>
  <c r="BU223" i="2"/>
  <c r="BU30" i="2"/>
  <c r="BU41" i="2"/>
  <c r="BU53" i="2"/>
  <c r="BU62" i="2"/>
  <c r="BU74" i="2"/>
  <c r="BU86" i="2"/>
  <c r="BU98" i="2"/>
  <c r="BU110" i="2"/>
  <c r="BU121" i="2"/>
  <c r="BU133" i="2"/>
  <c r="BU145" i="2"/>
  <c r="BU156" i="2"/>
  <c r="BU168" i="2"/>
  <c r="BU177" i="2"/>
  <c r="BU189" i="2"/>
  <c r="BU201" i="2"/>
  <c r="BU212" i="2"/>
  <c r="BU224" i="2"/>
  <c r="BU7" i="2"/>
  <c r="BU19" i="2"/>
  <c r="BU31" i="2"/>
  <c r="BU42" i="2"/>
  <c r="BU54" i="2"/>
  <c r="BU63" i="2"/>
  <c r="BU75" i="2"/>
  <c r="BU87" i="2"/>
  <c r="BU8" i="2"/>
  <c r="BU20" i="2"/>
  <c r="BU32" i="2"/>
  <c r="BU43" i="2"/>
  <c r="BU55" i="2"/>
  <c r="BU64" i="2"/>
  <c r="BU76" i="2"/>
  <c r="BU88" i="2"/>
  <c r="BU100" i="2"/>
  <c r="BU123" i="2"/>
  <c r="BU135" i="2"/>
  <c r="BU147" i="2"/>
  <c r="BU158" i="2"/>
  <c r="BU170" i="2"/>
  <c r="BU179" i="2"/>
  <c r="BU191" i="2"/>
  <c r="BU203" i="2"/>
  <c r="BU214" i="2"/>
  <c r="BU101" i="2"/>
  <c r="BU112" i="2"/>
  <c r="BU124" i="2"/>
  <c r="BU136" i="2"/>
  <c r="BU148" i="2"/>
  <c r="BU159" i="2"/>
  <c r="BU171" i="2"/>
  <c r="BU180" i="2"/>
  <c r="BU192" i="2"/>
  <c r="BU204" i="2"/>
  <c r="BU215" i="2"/>
  <c r="BU226" i="2"/>
  <c r="BU10" i="2"/>
  <c r="BU22" i="2"/>
  <c r="BU34" i="2"/>
  <c r="BU45" i="2"/>
  <c r="BU57" i="2"/>
  <c r="BU66" i="2"/>
  <c r="BU78" i="2"/>
  <c r="BU90" i="2"/>
  <c r="BU11" i="2"/>
  <c r="BU23" i="2"/>
  <c r="BU46" i="2"/>
  <c r="BU67" i="2"/>
  <c r="BU79" i="2"/>
  <c r="BU91" i="2"/>
  <c r="BU104" i="2"/>
  <c r="BU115" i="2"/>
  <c r="BU127" i="2"/>
  <c r="BU139" i="2"/>
  <c r="BU162" i="2"/>
  <c r="BU183" i="2"/>
  <c r="BU195" i="2"/>
  <c r="BU207" i="2"/>
  <c r="BU218" i="2"/>
  <c r="BU13" i="2"/>
  <c r="BU25" i="2"/>
  <c r="BU36" i="2"/>
  <c r="BU93" i="2"/>
  <c r="BU105" i="2"/>
  <c r="BU116" i="2"/>
  <c r="BU128" i="2"/>
  <c r="BU140" i="2"/>
  <c r="BU151" i="2"/>
  <c r="BU163" i="2"/>
  <c r="BU184" i="2"/>
  <c r="BU196" i="2"/>
  <c r="BU208" i="2"/>
  <c r="BU219" i="2"/>
  <c r="BU6" i="2"/>
  <c r="BU18" i="2"/>
  <c r="BU12" i="2"/>
  <c r="BU24" i="2"/>
  <c r="BU35" i="2"/>
  <c r="BU47" i="2"/>
  <c r="BU68" i="2"/>
  <c r="G36" i="4"/>
  <c r="G37" i="4"/>
  <c r="G38" i="4"/>
  <c r="G39" i="4"/>
  <c r="G40" i="4"/>
  <c r="BN3" i="2"/>
  <c r="BN4" i="2"/>
  <c r="BN5" i="2"/>
  <c r="BN6" i="2"/>
  <c r="BN7" i="2"/>
  <c r="BN8" i="2"/>
  <c r="BN9" i="2"/>
  <c r="BN10" i="2"/>
  <c r="BN11" i="2"/>
  <c r="BN12" i="2"/>
  <c r="BN13" i="2"/>
  <c r="BN14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BN72" i="2"/>
  <c r="BN73" i="2"/>
  <c r="BN74" i="2"/>
  <c r="BN75" i="2"/>
  <c r="BN76" i="2"/>
  <c r="BN77" i="2"/>
  <c r="BN78" i="2"/>
  <c r="BN79" i="2"/>
  <c r="BN80" i="2"/>
  <c r="BN81" i="2"/>
  <c r="BN82" i="2"/>
  <c r="BN83" i="2"/>
  <c r="BN84" i="2"/>
  <c r="BN85" i="2"/>
  <c r="BN86" i="2"/>
  <c r="BN87" i="2"/>
  <c r="BN88" i="2"/>
  <c r="BN89" i="2"/>
  <c r="BN90" i="2"/>
  <c r="BN91" i="2"/>
  <c r="BN92" i="2"/>
  <c r="BN93" i="2"/>
  <c r="BN94" i="2"/>
  <c r="BN95" i="2"/>
  <c r="BN96" i="2"/>
  <c r="BN97" i="2"/>
  <c r="BN98" i="2"/>
  <c r="BN99" i="2"/>
  <c r="BN100" i="2"/>
  <c r="BN101" i="2"/>
  <c r="BN102" i="2"/>
  <c r="BN103" i="2"/>
  <c r="BN104" i="2"/>
  <c r="BN105" i="2"/>
  <c r="BN106" i="2"/>
  <c r="BN107" i="2"/>
  <c r="BN108" i="2"/>
  <c r="BN109" i="2"/>
  <c r="BN110" i="2"/>
  <c r="BN111" i="2"/>
  <c r="BN112" i="2"/>
  <c r="BN113" i="2"/>
  <c r="BN114" i="2"/>
  <c r="BN115" i="2"/>
  <c r="BN116" i="2"/>
  <c r="BN117" i="2"/>
  <c r="BN118" i="2"/>
  <c r="BN119" i="2"/>
  <c r="BN120" i="2"/>
  <c r="BN121" i="2"/>
  <c r="BN122" i="2"/>
  <c r="BN123" i="2"/>
  <c r="BN124" i="2"/>
  <c r="BN125" i="2"/>
  <c r="BN126" i="2"/>
  <c r="BN127" i="2"/>
  <c r="BN128" i="2"/>
  <c r="BN129" i="2"/>
  <c r="BN130" i="2"/>
  <c r="BN131" i="2"/>
  <c r="BN132" i="2"/>
  <c r="BN133" i="2"/>
  <c r="BN134" i="2"/>
  <c r="BN135" i="2"/>
  <c r="BN136" i="2"/>
  <c r="BN137" i="2"/>
  <c r="BN138" i="2"/>
  <c r="BN139" i="2"/>
  <c r="BN140" i="2"/>
  <c r="BN141" i="2"/>
  <c r="BN142" i="2"/>
  <c r="BN143" i="2"/>
  <c r="BN144" i="2"/>
  <c r="BN145" i="2"/>
  <c r="BN146" i="2"/>
  <c r="BN147" i="2"/>
  <c r="BN148" i="2"/>
  <c r="BN149" i="2"/>
  <c r="BN150" i="2"/>
  <c r="BN151" i="2"/>
  <c r="BN152" i="2"/>
  <c r="BN153" i="2"/>
  <c r="BN154" i="2"/>
  <c r="BN155" i="2"/>
  <c r="BN156" i="2"/>
  <c r="BN157" i="2"/>
  <c r="BN158" i="2"/>
  <c r="BN159" i="2"/>
  <c r="BN160" i="2"/>
  <c r="BN161" i="2"/>
  <c r="BN162" i="2"/>
  <c r="BN163" i="2"/>
  <c r="BN164" i="2"/>
  <c r="BN165" i="2"/>
  <c r="BN166" i="2"/>
  <c r="BN167" i="2"/>
  <c r="BN168" i="2"/>
  <c r="BN169" i="2"/>
  <c r="BN170" i="2"/>
  <c r="BN171" i="2"/>
  <c r="BN172" i="2"/>
  <c r="BN173" i="2"/>
  <c r="BN174" i="2"/>
  <c r="BN175" i="2"/>
  <c r="BN176" i="2"/>
  <c r="BN177" i="2"/>
  <c r="BN178" i="2"/>
  <c r="BN179" i="2"/>
  <c r="BN180" i="2"/>
  <c r="BN181" i="2"/>
  <c r="BN182" i="2"/>
  <c r="BN183" i="2"/>
  <c r="BN184" i="2"/>
  <c r="BN185" i="2"/>
  <c r="BN186" i="2"/>
  <c r="BN187" i="2"/>
  <c r="BN188" i="2"/>
  <c r="BN189" i="2"/>
  <c r="BN190" i="2"/>
  <c r="BN191" i="2"/>
  <c r="BN192" i="2"/>
  <c r="BN193" i="2"/>
  <c r="BN194" i="2"/>
  <c r="BN195" i="2"/>
  <c r="BN196" i="2"/>
  <c r="BN197" i="2"/>
  <c r="BN198" i="2"/>
  <c r="BN199" i="2"/>
  <c r="BN200" i="2"/>
  <c r="BN201" i="2"/>
  <c r="BN202" i="2"/>
  <c r="BN203" i="2"/>
  <c r="BN204" i="2"/>
  <c r="BN205" i="2"/>
  <c r="BN206" i="2"/>
  <c r="BN207" i="2"/>
  <c r="BN208" i="2"/>
  <c r="BN209" i="2"/>
  <c r="BN210" i="2"/>
  <c r="BN211" i="2"/>
  <c r="BN212" i="2"/>
  <c r="BN213" i="2"/>
  <c r="BN214" i="2"/>
  <c r="BN215" i="2"/>
  <c r="BN216" i="2"/>
  <c r="BN217" i="2"/>
  <c r="BN218" i="2"/>
  <c r="BN219" i="2"/>
  <c r="BN220" i="2"/>
  <c r="BN221" i="2"/>
  <c r="BN222" i="2"/>
  <c r="BN223" i="2"/>
  <c r="BN224" i="2"/>
  <c r="BN225" i="2"/>
  <c r="BN226" i="2"/>
  <c r="BN227" i="2"/>
  <c r="BN228" i="2"/>
  <c r="BN2" i="2"/>
  <c r="BO102" i="2"/>
  <c r="BO137" i="2"/>
  <c r="BO181" i="2"/>
  <c r="BO108" i="2"/>
  <c r="BO224" i="2"/>
  <c r="BO213" i="2"/>
  <c r="BO18" i="2"/>
  <c r="BO32" i="2"/>
  <c r="BO34" i="2"/>
  <c r="BO14" i="2"/>
  <c r="BO33" i="2"/>
  <c r="BO55" i="2"/>
  <c r="BO157" i="2"/>
  <c r="BO20" i="2"/>
  <c r="BO39" i="2"/>
  <c r="BO105" i="2"/>
  <c r="BO109" i="2"/>
  <c r="BO184" i="2"/>
  <c r="BO25" i="2"/>
  <c r="BO38" i="2"/>
  <c r="BO27" i="2"/>
  <c r="BO74" i="2"/>
  <c r="BO81" i="2"/>
  <c r="BO171" i="2"/>
  <c r="BO84" i="2"/>
  <c r="BO220" i="2"/>
  <c r="BO107" i="2"/>
  <c r="BO158" i="2"/>
  <c r="BO11" i="2"/>
  <c r="BO31" i="2"/>
  <c r="BO175" i="2"/>
  <c r="BO9" i="2"/>
  <c r="BO190" i="2"/>
  <c r="BO90" i="2"/>
  <c r="BO126" i="2"/>
  <c r="BO23" i="2"/>
  <c r="BO149" i="2"/>
  <c r="BO29" i="2"/>
  <c r="BO187" i="2"/>
  <c r="BO144" i="2"/>
  <c r="BO172" i="2"/>
  <c r="BO2" i="2"/>
  <c r="BO17" i="2"/>
  <c r="BO193" i="2"/>
  <c r="BO205" i="2"/>
  <c r="BO161" i="2"/>
  <c r="BO115" i="2"/>
  <c r="BO61" i="2"/>
  <c r="BO28" i="2"/>
  <c r="BO163" i="2"/>
  <c r="BO12" i="2"/>
  <c r="BO19" i="2"/>
  <c r="BO46" i="2"/>
  <c r="BO159" i="2"/>
  <c r="BO86" i="2"/>
  <c r="BO131" i="2"/>
  <c r="BO99" i="2"/>
  <c r="BO22" i="2"/>
  <c r="BO121" i="2"/>
  <c r="BO199" i="2"/>
  <c r="BO212" i="2"/>
  <c r="BO71" i="2"/>
  <c r="BO127" i="2"/>
  <c r="BO57" i="2"/>
  <c r="BO51" i="2"/>
  <c r="BO125" i="2"/>
  <c r="BO91" i="2"/>
  <c r="BO119" i="2"/>
  <c r="BO151" i="2"/>
  <c r="BO103" i="2"/>
  <c r="BO166" i="2"/>
  <c r="BO21" i="2"/>
  <c r="BO168" i="2"/>
  <c r="BO7" i="2"/>
  <c r="BO211" i="2"/>
  <c r="BO26" i="2"/>
  <c r="BO140" i="2"/>
  <c r="BO101" i="2"/>
  <c r="BO114" i="2"/>
  <c r="BO154" i="2"/>
  <c r="BO217" i="2"/>
  <c r="BO118" i="2"/>
  <c r="BO110" i="2"/>
  <c r="BO54" i="2"/>
  <c r="BO97" i="2"/>
  <c r="BO214" i="2"/>
  <c r="BO160" i="2"/>
  <c r="BO135" i="2"/>
  <c r="BO155" i="2"/>
  <c r="BO198" i="2"/>
  <c r="BO6" i="2"/>
  <c r="BO183" i="2"/>
  <c r="BO95" i="2"/>
  <c r="BO82" i="2"/>
  <c r="BO73" i="2"/>
  <c r="BO111" i="2"/>
  <c r="BO85" i="2"/>
  <c r="BO226" i="2"/>
  <c r="BO63" i="2"/>
  <c r="BO68" i="2"/>
  <c r="BO228" i="2"/>
  <c r="BO136" i="2"/>
  <c r="BO15" i="2"/>
  <c r="BO148" i="2"/>
  <c r="BO130" i="2"/>
  <c r="BO4" i="2"/>
  <c r="BO150" i="2"/>
  <c r="BO201" i="2"/>
  <c r="BO56" i="2"/>
  <c r="BO92" i="2"/>
  <c r="BO37" i="2"/>
  <c r="BO132" i="2"/>
  <c r="BO77" i="2"/>
  <c r="BO176" i="2"/>
  <c r="BO96" i="2"/>
  <c r="BO138" i="2"/>
  <c r="BO52" i="2"/>
  <c r="BO16" i="2"/>
  <c r="BO162" i="2"/>
  <c r="BO60" i="2"/>
  <c r="BO218" i="2"/>
  <c r="BO188" i="2"/>
  <c r="BO10" i="2"/>
  <c r="BO143" i="2"/>
  <c r="BO40" i="2"/>
  <c r="BO5" i="2"/>
  <c r="BO66" i="2"/>
  <c r="BO35" i="2"/>
  <c r="BO134" i="2"/>
  <c r="BO178" i="2"/>
  <c r="BO59" i="2"/>
  <c r="BO206" i="2"/>
  <c r="BO44" i="2"/>
  <c r="BO225" i="2"/>
  <c r="BO45" i="2"/>
  <c r="BO76" i="2"/>
  <c r="BO78" i="2"/>
  <c r="BO72" i="2"/>
  <c r="BO167" i="2"/>
  <c r="BO200" i="2"/>
  <c r="BO120" i="2"/>
  <c r="BO194" i="2"/>
  <c r="BO79" i="2"/>
  <c r="BO89" i="2"/>
  <c r="BO223" i="2"/>
  <c r="BO67" i="2"/>
  <c r="BO173" i="2"/>
  <c r="BO50" i="2"/>
  <c r="BO219" i="2"/>
  <c r="BO49" i="2"/>
  <c r="BO70" i="2"/>
  <c r="BO145" i="2"/>
  <c r="BO195" i="2"/>
  <c r="BO133" i="2"/>
  <c r="BO83" i="2"/>
  <c r="BO182" i="2"/>
  <c r="BO65" i="2"/>
  <c r="BO122" i="2"/>
  <c r="BO113" i="2"/>
  <c r="BO177" i="2"/>
  <c r="BO47" i="2"/>
  <c r="BO3" i="2"/>
  <c r="BO174" i="2"/>
  <c r="BO139" i="2"/>
  <c r="BO207" i="2"/>
  <c r="BO24" i="2"/>
  <c r="BO80" i="2"/>
  <c r="BO104" i="2"/>
  <c r="BO116" i="2"/>
  <c r="BO128" i="2"/>
  <c r="BO196" i="2"/>
  <c r="BO208" i="2"/>
  <c r="BO13" i="2"/>
  <c r="BO36" i="2"/>
  <c r="BO48" i="2"/>
  <c r="BO69" i="2"/>
  <c r="BO93" i="2"/>
  <c r="BO117" i="2"/>
  <c r="BO129" i="2"/>
  <c r="BO141" i="2"/>
  <c r="BO152" i="2"/>
  <c r="BO164" i="2"/>
  <c r="BO185" i="2"/>
  <c r="BO197" i="2"/>
  <c r="BO209" i="2"/>
  <c r="BO221" i="2"/>
  <c r="BO58" i="2"/>
  <c r="BO94" i="2"/>
  <c r="BO106" i="2"/>
  <c r="BO142" i="2"/>
  <c r="BO153" i="2"/>
  <c r="BO165" i="2"/>
  <c r="BO186" i="2"/>
  <c r="BO210" i="2"/>
  <c r="BO222" i="2"/>
  <c r="BO156" i="2"/>
  <c r="BO189" i="2"/>
  <c r="BO30" i="2"/>
  <c r="BO41" i="2"/>
  <c r="BO53" i="2"/>
  <c r="BO62" i="2"/>
  <c r="BO98" i="2"/>
  <c r="BO146" i="2"/>
  <c r="BO169" i="2"/>
  <c r="BO202" i="2"/>
  <c r="BO42" i="2"/>
  <c r="BO75" i="2"/>
  <c r="BO87" i="2"/>
  <c r="BO123" i="2"/>
  <c r="BO147" i="2"/>
  <c r="BO170" i="2"/>
  <c r="BO179" i="2"/>
  <c r="BO191" i="2"/>
  <c r="BO203" i="2"/>
  <c r="BO215" i="2"/>
  <c r="BO227" i="2"/>
  <c r="BO8" i="2"/>
  <c r="BO43" i="2"/>
  <c r="BO64" i="2"/>
  <c r="BO88" i="2"/>
  <c r="BO100" i="2"/>
  <c r="BO112" i="2"/>
  <c r="BO124" i="2"/>
  <c r="BO180" i="2"/>
  <c r="BO192" i="2"/>
  <c r="BO204" i="2"/>
  <c r="BO216" i="2"/>
  <c r="BT1" i="2"/>
  <c r="BR1" i="2"/>
  <c r="BP1" i="2"/>
  <c r="BQ1" i="2"/>
  <c r="BS1" i="2"/>
  <c r="F28" i="4" l="1"/>
  <c r="C2" i="4"/>
  <c r="D1" i="5"/>
  <c r="A25" i="4" l="1"/>
  <c r="A24" i="4"/>
  <c r="A23" i="4"/>
  <c r="A22" i="4"/>
  <c r="A21" i="4"/>
  <c r="A20" i="4" l="1"/>
</calcChain>
</file>

<file path=xl/connections.xml><?xml version="1.0" encoding="utf-8"?>
<connections xmlns="http://schemas.openxmlformats.org/spreadsheetml/2006/main">
  <connection id="1" name="Connection" type="6" refreshedVersion="6" deleted="1" background="1" saveData="1">
    <textPr sourceFile="C:\Users\t35brown\Documents\bitbucket\setbench\microbench\experiments\istree_exp3_disable_multicounter\disable_multicounter.csv" comma="1">
      <textFields>
        <textField/>
      </textFields>
    </textPr>
  </connection>
  <connection id="2" name="Connection1" type="6" refreshedVersion="6" deleted="1" background="1" saveData="1">
    <textPr sourceFile="C:\Users\t35brown\Documents\bitbucket\setbench\microbench\experiments\istree_exp5_numerical_stability_vs_time\istree_exp5_numerical_stability_vs_time.csv" comma="1">
      <textFields>
        <textField/>
      </textFields>
    </textPr>
  </connection>
  <connection id="3" name="Connection2" type="6" refreshedVersion="6" deleted="1" background="1" saveData="1">
    <textPr sourceFile="C:\Users\t35brown\Documents\bitbucket\setbench\microbench\experiments\istree_exp6_rebuilding_time\istree_exp6_rebuilding_time.csv" comma="1">
      <textFields>
        <textField/>
      </textFields>
    </textPr>
  </connection>
  <connection id="4" name="Connection3" type="6" refreshedVersion="6" deleted="1" background="1" saveData="1">
    <textPr sourceFile="C:\Users\t35brown\Documents\bitbucket\setbench\microbench\experiments\istree_exp6_rebuilding_time\istree_exp6_rebuilding_time.csv" comma="1">
      <textFields>
        <textField/>
      </textFields>
    </textPr>
  </connection>
  <connection id="5" name="Connection7" type="6" refreshedVersion="5" deleted="1" background="1" saveData="1">
    <textPr sourceFile="C:\Users\tbrown\Documents\bitbucket\setbench\microbench\experiments\tuwien\data.csv" comma="1">
      <textFields>
        <textField/>
      </textFields>
    </textPr>
  </connection>
  <connection id="6" name="data" type="6" refreshedVersion="6" deleted="1" background="1" saveData="1">
    <textPr prompt="0" sourceFile="C:\Users\t35brown\Documents\bitbucket\setbench\microbench\experiments\istree_exp6_rebuilding_time\data.csv" comma="1">
      <textFields>
        <textField/>
      </textFields>
    </textPr>
  </connection>
  <connection id="7" name="data1" type="6" refreshedVersion="6" deleted="1" background="1" saveData="1">
    <textPr prompt="0" sourceFile="C:\Users\t35brown\Documents\bitbucket\setbench\microbench\experiments\istree_exp6_rebuilding_time\data.csv" comma="1">
      <textFields>
        <textField/>
      </textFields>
    </textPr>
  </connection>
  <connection id="8" name="data2" type="6" refreshedVersion="6" deleted="1" background="1" saveData="1">
    <textPr prompt="0" sourceFile="C:\Users\t35brown\Documents\bitbucket\setbench\microbench\experiments\istree_exp6_rebuilding_time\data.csv" comma="1">
      <textFields>
        <textField/>
      </textFields>
    </textPr>
  </connection>
  <connection id="9" name="data3" type="6" refreshedVersion="6" deleted="1" background="1" saveData="1">
    <textPr prompt="0" sourceFile="C:\Users\t35brown\Documents\bitbucket\setbench\microbench\experiments\istree_exp6_rebuilding_time\data.csv" comma="1">
      <textFields>
        <textField/>
      </textFields>
    </textPr>
  </connection>
  <connection id="10" name="istree_exp6_rebuilding_time" type="6" refreshedVersion="6" deleted="1" background="1" saveData="1">
    <textPr prompt="0" sourceFile="C:\Users\t35brown\Documents\bitbucket\setbench\microbench\experiments\istree_exp6_rebuilding_time\istree_exp6_rebuilding_time.csv" comma="1">
      <textFields>
        <textField/>
      </textFields>
    </textPr>
  </connection>
  <connection id="11" name="istree_exp6_rebuilding_time1" type="6" refreshedVersion="6" deleted="1" background="1" saveData="1">
    <textPr prompt="0" sourceFile="C:\Users\t35brown\Documents\bitbucket\setbench\microbench\experiments\istree_exp6_rebuilding_time\istree_exp6_rebuilding_tim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<sst xmlns="http://schemas.openxmlformats.org/spreadsheetml/2006/main" count="3423" uniqueCount="1161">
  <si>
    <t>Pivot filter cell</t>
  </si>
  <si>
    <t>Steps</t>
  </si>
  <si>
    <t>Click "Next graph" to change the pivot filter field to its next value and update the graph</t>
  </si>
  <si>
    <t>Click "Export graph" to export a PNG image of the graph</t>
  </si>
  <si>
    <t>Click "Export all" to cycle through all values of the pivot filter and export a PNG image of each resulting graph</t>
  </si>
  <si>
    <t>Your pivot table should have a filter-by field for which each value represents a graph you'd like to generate.</t>
  </si>
  <si>
    <t>Go to sheet "pivot" and design a pivot table for your data.</t>
  </si>
  <si>
    <t>Then, repeat steps 2-4. (Step 1 will automatically process the data for all sheets whose names begin with "pivot".)</t>
  </si>
  <si>
    <t>Note: this must be column Z</t>
  </si>
  <si>
    <t>Some cell near the top of the pivot table should contain a pull-down menu to select the value for this filter.</t>
  </si>
  <si>
    <t>Write the name of the cell (e.g., "B1") containing this filter pull-down menu in cell AA2.</t>
  </si>
  <si>
    <t>Customize the graph to your liking. It is linked to the data in the pivot table.</t>
  </si>
  <si>
    <t>Click this button and select a CSV file to import:</t>
  </si>
  <si>
    <t>Row Labels</t>
  </si>
  <si>
    <t>filename</t>
  </si>
  <si>
    <t>DS_TYPENAME</t>
  </si>
  <si>
    <t>size_node</t>
  </si>
  <si>
    <t>RECLAIM</t>
  </si>
  <si>
    <t>ALLOC</t>
  </si>
  <si>
    <t>POOL</t>
  </si>
  <si>
    <t>MILLIS_TO_RUN</t>
  </si>
  <si>
    <t>INS</t>
  </si>
  <si>
    <t>DEL</t>
  </si>
  <si>
    <t>RQ</t>
  </si>
  <si>
    <t>RQSIZE</t>
  </si>
  <si>
    <t>MAXKEY</t>
  </si>
  <si>
    <t>PREFILL_THREADS</t>
  </si>
  <si>
    <t>TOTAL_THREADS</t>
  </si>
  <si>
    <t>WORK_THREADS</t>
  </si>
  <si>
    <t>RQ_THREADS</t>
  </si>
  <si>
    <t>INSERT_FUNC</t>
  </si>
  <si>
    <t>tree_stats_height</t>
  </si>
  <si>
    <t>tree_stats_numInternals</t>
  </si>
  <si>
    <t>tree_stats_numLeaves</t>
  </si>
  <si>
    <t>tree_stats_numNodes</t>
  </si>
  <si>
    <t>tree_stats_numKeys</t>
  </si>
  <si>
    <t>tree_stats_avgDegreeInternal</t>
  </si>
  <si>
    <t>tree_stats_avgDegreeLeaves</t>
  </si>
  <si>
    <t>tree_stats_avgKeyDepth</t>
  </si>
  <si>
    <t>final_keysum</t>
  </si>
  <si>
    <t>total_find</t>
  </si>
  <si>
    <t>total_rq</t>
  </si>
  <si>
    <t>total_updates</t>
  </si>
  <si>
    <t>total_queries</t>
  </si>
  <si>
    <t>total_ops</t>
  </si>
  <si>
    <t>find_throughput</t>
  </si>
  <si>
    <t>rq_throughput</t>
  </si>
  <si>
    <t>update_throughput</t>
  </si>
  <si>
    <t>query_throughput</t>
  </si>
  <si>
    <t>total_throughput</t>
  </si>
  <si>
    <t>PAPI_L2_TCM</t>
  </si>
  <si>
    <t>PAPI_L3_TCM</t>
  </si>
  <si>
    <t>PAPI_TOT_CYC</t>
  </si>
  <si>
    <t>allocator_new</t>
  </si>
  <si>
    <t>pool_none</t>
  </si>
  <si>
    <t>insertIfAbsent</t>
  </si>
  <si>
    <t>reclaimer_debra</t>
  </si>
  <si>
    <t>exp</t>
  </si>
  <si>
    <t>B2</t>
  </si>
  <si>
    <t>threads_final_keysum</t>
  </si>
  <si>
    <t>threads_final_size</t>
  </si>
  <si>
    <t>final_size</t>
  </si>
  <si>
    <t>validate_result</t>
  </si>
  <si>
    <t>success</t>
  </si>
  <si>
    <t>maxresident_mb</t>
  </si>
  <si>
    <t>prefill_elapsed_ms</t>
  </si>
  <si>
    <t>tree_stats_sizeInBytes</t>
  </si>
  <si>
    <t>sum_num_try_rebuild_at_depth_by_index</t>
  </si>
  <si>
    <t>sum_num_complete_rebuild_at_depth_by_index</t>
  </si>
  <si>
    <t>sum_num_help_subtree_total</t>
  </si>
  <si>
    <t>first_thread_announced_epoch_by_index</t>
  </si>
  <si>
    <t>PAPI_RES_STL</t>
  </si>
  <si>
    <t>istree_exp6_rebuilding_time/step10001.txt</t>
  </si>
  <si>
    <t>istree_exp6_rebuilding_time/step10002.txt</t>
  </si>
  <si>
    <t>istree_exp6_rebuilding_time/step10003.txt</t>
  </si>
  <si>
    <t>istree_exp6_rebuilding_time/step10004.txt</t>
  </si>
  <si>
    <t>istree_exp6_rebuilding_time/step10005.txt</t>
  </si>
  <si>
    <t>depth1_rebuild_count</t>
  </si>
  <si>
    <t>depth0_rebuild_count</t>
  </si>
  <si>
    <t>Average of depth0_rebuild_count</t>
  </si>
  <si>
    <t>total_time_sec_div_threads</t>
  </si>
  <si>
    <t>rebuild_time_sec_div_threads</t>
  </si>
  <si>
    <t>istree_exp6_rebuilding_time/step10006.txt</t>
  </si>
  <si>
    <t>istree_exp6_rebuilding_time/step10007.txt</t>
  </si>
  <si>
    <t>istree_exp6_rebuilding_time/step10008.txt</t>
  </si>
  <si>
    <t>istree_exp6_rebuilding_time/step10009.txt</t>
  </si>
  <si>
    <t>istree_exp6_rebuilding_time/step10010.txt</t>
  </si>
  <si>
    <t>istree_exp6_rebuilding_time/step10011.txt</t>
  </si>
  <si>
    <t>istree_exp6_rebuilding_time/step10012.txt</t>
  </si>
  <si>
    <t>istree_exp6_rebuilding_time/step10013.txt</t>
  </si>
  <si>
    <t>istree_exp6_rebuilding_time/step10014.txt</t>
  </si>
  <si>
    <t>istree_exp6_rebuilding_time/step10015.txt</t>
  </si>
  <si>
    <t>istree_exp6_rebuilding_time/step10016.txt</t>
  </si>
  <si>
    <t>istree_exp6_rebuilding_time/step10017.txt</t>
  </si>
  <si>
    <t>istree_exp6_rebuilding_time/step10018.txt</t>
  </si>
  <si>
    <t>istree_exp6_rebuilding_time/step10019.txt</t>
  </si>
  <si>
    <t>istree_exp6_rebuilding_time/step10020.txt</t>
  </si>
  <si>
    <t>istree_exp6_rebuilding_time/step10021.txt</t>
  </si>
  <si>
    <t>istree_exp6_rebuilding_time/step10022.txt</t>
  </si>
  <si>
    <t>istree_exp6_rebuilding_time/step10023.txt</t>
  </si>
  <si>
    <t>istree_exp6_rebuilding_time/step10024.txt</t>
  </si>
  <si>
    <t>istree_exp6_rebuilding_time/step10025.txt</t>
  </si>
  <si>
    <t>istree_exp6_rebuilding_time/step10026.txt</t>
  </si>
  <si>
    <t>istree_exp6_rebuilding_time/step10027.txt</t>
  </si>
  <si>
    <t>istree_exp6_rebuilding_time/step10028.txt</t>
  </si>
  <si>
    <t>istree_exp6_rebuilding_time/step10029.txt</t>
  </si>
  <si>
    <t>istree_exp6_rebuilding_time/step10030.txt</t>
  </si>
  <si>
    <t>istree_exp6_rebuilding_time/step10031.txt</t>
  </si>
  <si>
    <t>istree_exp6_rebuilding_time/step10032.txt</t>
  </si>
  <si>
    <t>istree_exp6_rebuilding_time/step10033.txt</t>
  </si>
  <si>
    <t>istree_exp6_rebuilding_time/step10034.txt</t>
  </si>
  <si>
    <t>istree_exp6_rebuilding_time/step10035.txt</t>
  </si>
  <si>
    <t>istree_exp6_rebuilding_time/step10036.txt</t>
  </si>
  <si>
    <t>istree_exp6_rebuilding_time/step10037.txt</t>
  </si>
  <si>
    <t>istree_exp6_rebuilding_time/step10038.txt</t>
  </si>
  <si>
    <t>istree_exp6_rebuilding_time/step10039.txt</t>
  </si>
  <si>
    <t>istree_exp6_rebuilding_time/step10040.txt</t>
  </si>
  <si>
    <t>u=1%, k=2x10^8</t>
  </si>
  <si>
    <t>If you need more types of graphs, duplicate the "pivot" sheet, and preferably start the name of the new sheet with "pivot" (e.g., "pivot_throughput" or "pivot_cache_misses").</t>
  </si>
  <si>
    <t>(5)</t>
  </si>
  <si>
    <t>u=40%, k=2x10^8</t>
  </si>
  <si>
    <t>depth2_rebuild_count</t>
  </si>
  <si>
    <t>depth3_rebuild_count</t>
  </si>
  <si>
    <t>depth4_rebuild_count</t>
  </si>
  <si>
    <t>u=1%, k=2x10^6</t>
  </si>
  <si>
    <t>u=40%, k=2x10^6</t>
  </si>
  <si>
    <t>Average of depth1_rebuild_count</t>
  </si>
  <si>
    <t>Average of depth2_rebuild_count</t>
  </si>
  <si>
    <t>Average of depth3_rebuild_count</t>
  </si>
  <si>
    <t>Average of depth4_rebuild_count</t>
  </si>
  <si>
    <t>Workload</t>
  </si>
  <si>
    <t xml:space="preserve">d=0 </t>
  </si>
  <si>
    <t xml:space="preserve">d=1 </t>
  </si>
  <si>
    <t xml:space="preserve">d=2 </t>
  </si>
  <si>
    <t xml:space="preserve">d=3 </t>
  </si>
  <si>
    <t xml:space="preserve">d=4 </t>
  </si>
  <si>
    <t>brown_ext_ist_lf_disabled</t>
  </si>
  <si>
    <t>istree_exp6_rebuilding_time/step10041.txt</t>
  </si>
  <si>
    <t>istree_exp6_rebuilding_time/step10042.txt</t>
  </si>
  <si>
    <t>istree_exp6_rebuilding_time/step10043.txt</t>
  </si>
  <si>
    <t>istree_exp6_rebuilding_time/step10044.txt</t>
  </si>
  <si>
    <t>istree_exp6_rebuilding_time/step10045.txt</t>
  </si>
  <si>
    <t>istree_exp6_rebuilding_time/step10046.txt</t>
  </si>
  <si>
    <t>istree_exp6_rebuilding_time/step10047.txt</t>
  </si>
  <si>
    <t>istree_exp6_rebuilding_time/step10048.txt</t>
  </si>
  <si>
    <t>istree_exp6_rebuilding_time/step10049.txt</t>
  </si>
  <si>
    <t>istree_exp6_rebuilding_time/step10050.txt</t>
  </si>
  <si>
    <t>istree_exp6_rebuilding_time/step10051.txt</t>
  </si>
  <si>
    <t>istree_exp6_rebuilding_time/step10052.txt</t>
  </si>
  <si>
    <t>istree_exp6_rebuilding_time/step10053.txt</t>
  </si>
  <si>
    <t>istree_exp6_rebuilding_time/step10054.txt</t>
  </si>
  <si>
    <t>istree_exp6_rebuilding_time/step10055.txt</t>
  </si>
  <si>
    <t>istree_exp6_rebuilding_time/step10056.txt</t>
  </si>
  <si>
    <t>istree_exp6_rebuilding_time/step10057.txt</t>
  </si>
  <si>
    <t>istree_exp6_rebuilding_time/step10058.txt</t>
  </si>
  <si>
    <t>istree_exp6_rebuilding_time/step10059.txt</t>
  </si>
  <si>
    <t>istree_exp6_rebuilding_time/step10060.txt</t>
  </si>
  <si>
    <t>istree_exp6_rebuilding_time/step10061.txt</t>
  </si>
  <si>
    <t>brown_ext_ist_lf_enabled</t>
  </si>
  <si>
    <t>istree_exp6_rebuilding_time/step10062.txt</t>
  </si>
  <si>
    <t>istree_exp6_rebuilding_time/step10063.txt</t>
  </si>
  <si>
    <t>istree_exp6_rebuilding_time/step10064.txt</t>
  </si>
  <si>
    <t>istree_exp6_rebuilding_time/step10065.txt</t>
  </si>
  <si>
    <t>istree_exp6_rebuilding_time/step10066.txt</t>
  </si>
  <si>
    <t>istree_exp6_rebuilding_time/step10067.txt</t>
  </si>
  <si>
    <t>istree_exp6_rebuilding_time/step10068.txt</t>
  </si>
  <si>
    <t>istree_exp6_rebuilding_time/step10069.txt</t>
  </si>
  <si>
    <t>istree_exp6_rebuilding_time/step10070.txt</t>
  </si>
  <si>
    <t>istree_exp6_rebuilding_time/step10071.txt</t>
  </si>
  <si>
    <t>istree_exp6_rebuilding_time/step10072.txt</t>
  </si>
  <si>
    <t>istree_exp6_rebuilding_time/step10073.txt</t>
  </si>
  <si>
    <t>istree_exp6_rebuilding_time/step10074.txt</t>
  </si>
  <si>
    <t>istree_exp6_rebuilding_time/step10075.txt</t>
  </si>
  <si>
    <t>istree_exp6_rebuilding_time/step10076.txt</t>
  </si>
  <si>
    <t>istree_exp6_rebuilding_time/step10077.txt</t>
  </si>
  <si>
    <t>istree_exp6_rebuilding_time/step10078.txt</t>
  </si>
  <si>
    <t>istree_exp6_rebuilding_time/step10079.txt</t>
  </si>
  <si>
    <t>istree_exp6_rebuilding_time/step10080.txt</t>
  </si>
  <si>
    <t>istree_exp6_rebuilding_time/step10081.txt</t>
  </si>
  <si>
    <t>istree_exp6_rebuilding_time/step10082.txt</t>
  </si>
  <si>
    <t>istree_exp6_rebuilding_time/step10083.txt</t>
  </si>
  <si>
    <t>istree_exp6_rebuilding_time/step10084.txt</t>
  </si>
  <si>
    <t>istree_exp6_rebuilding_time/step10085.txt</t>
  </si>
  <si>
    <t>istree_exp6_rebuilding_time/step10086.txt</t>
  </si>
  <si>
    <t>istree_exp6_rebuilding_time/step10087.txt</t>
  </si>
  <si>
    <t>istree_exp6_rebuilding_time/step10088.txt</t>
  </si>
  <si>
    <t>istree_exp6_rebuilding_time/step10089.txt</t>
  </si>
  <si>
    <t>istree_exp6_rebuilding_time/step10090.txt</t>
  </si>
  <si>
    <t>istree_exp6_rebuilding_time/step10091.txt</t>
  </si>
  <si>
    <t>istree_exp6_rebuilding_time/step10092.txt</t>
  </si>
  <si>
    <t>istree_exp6_rebuilding_time/step10093.txt</t>
  </si>
  <si>
    <t>istree_exp6_rebuilding_time/step10094.txt</t>
  </si>
  <si>
    <t>istree_exp6_rebuilding_time/step10096.txt</t>
  </si>
  <si>
    <t>istree_exp6_rebuilding_time/step10097.txt</t>
  </si>
  <si>
    <t>istree_exp6_rebuilding_time/step10098.txt</t>
  </si>
  <si>
    <t>istree_exp6_rebuilding_time/step10100.txt</t>
  </si>
  <si>
    <t>istree_exp6_rebuilding_time/step10101.txt</t>
  </si>
  <si>
    <t>istree_exp6_rebuilding_time/step10102.txt</t>
  </si>
  <si>
    <t>istree_exp6_rebuilding_time/step10103.txt</t>
  </si>
  <si>
    <t>istree_exp6_rebuilding_time/step10104.txt</t>
  </si>
  <si>
    <t>istree_exp6_rebuilding_time/step10105.txt</t>
  </si>
  <si>
    <t>istree_exp6_rebuilding_time/step10106.txt</t>
  </si>
  <si>
    <t>istree_exp6_rebuilding_time/step10107.txt</t>
  </si>
  <si>
    <t>istree_exp6_rebuilding_time/step10108.txt</t>
  </si>
  <si>
    <t>istree_exp6_rebuilding_time/step10109.txt</t>
  </si>
  <si>
    <t>istree_exp6_rebuilding_time/step10110.txt</t>
  </si>
  <si>
    <t>istree_exp6_rebuilding_time/step10111.txt</t>
  </si>
  <si>
    <t>istree_exp6_rebuilding_time/step10112.txt</t>
  </si>
  <si>
    <t>istree_exp6_rebuilding_time/step10113.txt</t>
  </si>
  <si>
    <t>istree_exp6_rebuilding_time/step10114.txt</t>
  </si>
  <si>
    <t>istree_exp6_rebuilding_time/step10115.txt</t>
  </si>
  <si>
    <t>istree_exp6_rebuilding_time/step10116.txt</t>
  </si>
  <si>
    <t>istree_exp6_rebuilding_time/step10118.txt</t>
  </si>
  <si>
    <t>istree_exp6_rebuilding_time/step10119.txt</t>
  </si>
  <si>
    <t>istree_exp6_rebuilding_time/step10120.txt</t>
  </si>
  <si>
    <t>istree_exp6_rebuilding_time/step10121.txt</t>
  </si>
  <si>
    <t>istree_exp6_rebuilding_time/step10122.txt</t>
  </si>
  <si>
    <t>istree_exp6_rebuilding_time/step10123.txt</t>
  </si>
  <si>
    <t>istree_exp6_rebuilding_time/step10124.txt</t>
  </si>
  <si>
    <t>istree_exp6_rebuilding_time/step10125.txt</t>
  </si>
  <si>
    <t>istree_exp6_rebuilding_time/step10126.txt</t>
  </si>
  <si>
    <t>istree_exp6_rebuilding_time/step10127.txt</t>
  </si>
  <si>
    <t>istree_exp6_rebuilding_time/step10128.txt</t>
  </si>
  <si>
    <t>istree_exp6_rebuilding_time/step10129.txt</t>
  </si>
  <si>
    <t>istree_exp6_rebuilding_time/step10130.txt</t>
  </si>
  <si>
    <t>istree_exp6_rebuilding_time/step10131.txt</t>
  </si>
  <si>
    <t>istree_exp6_rebuilding_time/step10132.txt</t>
  </si>
  <si>
    <t>istree_exp6_rebuilding_time/step10133.txt</t>
  </si>
  <si>
    <t>istree_exp6_rebuilding_time/step10134.txt</t>
  </si>
  <si>
    <t>istree_exp6_rebuilding_time/step10135.txt</t>
  </si>
  <si>
    <t>istree_exp6_rebuilding_time/step10136.txt</t>
  </si>
  <si>
    <t>istree_exp6_rebuilding_time/step10137.txt</t>
  </si>
  <si>
    <t>istree_exp6_rebuilding_time/step10138.txt</t>
  </si>
  <si>
    <t>istree_exp6_rebuilding_time/step10139.txt</t>
  </si>
  <si>
    <t>istree_exp6_rebuilding_time/step10140.txt</t>
  </si>
  <si>
    <t>istree_exp6_rebuilding_time/step10141.txt</t>
  </si>
  <si>
    <t>istree_exp6_rebuilding_time/step10142.txt</t>
  </si>
  <si>
    <t>istree_exp6_rebuilding_time/step10143.txt</t>
  </si>
  <si>
    <t>istree_exp6_rebuilding_time/step10144.txt</t>
  </si>
  <si>
    <t>istree_exp6_rebuilding_time/step10145.txt</t>
  </si>
  <si>
    <t>istree_exp6_rebuilding_time/step10146.txt</t>
  </si>
  <si>
    <t>istree_exp6_rebuilding_time/step10147.txt</t>
  </si>
  <si>
    <t>istree_exp6_rebuilding_time/step10148.txt</t>
  </si>
  <si>
    <t>istree_exp6_rebuilding_time/step10149.txt</t>
  </si>
  <si>
    <t>istree_exp6_rebuilding_time/step10150.txt</t>
  </si>
  <si>
    <t>istree_exp6_rebuilding_time/step10151.txt</t>
  </si>
  <si>
    <t>istree_exp6_rebuilding_time/step10152.txt</t>
  </si>
  <si>
    <t>istree_exp6_rebuilding_time/step10153.txt</t>
  </si>
  <si>
    <t>istree_exp6_rebuilding_time/step10154.txt</t>
  </si>
  <si>
    <t>istree_exp6_rebuilding_time/step10155.txt</t>
  </si>
  <si>
    <t>istree_exp6_rebuilding_time/step10156.txt</t>
  </si>
  <si>
    <t>istree_exp6_rebuilding_time/step10157.txt</t>
  </si>
  <si>
    <t>istree_exp6_rebuilding_time/step10158.txt</t>
  </si>
  <si>
    <t>istree_exp6_rebuilding_time/step10159.txt</t>
  </si>
  <si>
    <t>istree_exp6_rebuilding_time/step10160.txt</t>
  </si>
  <si>
    <t>istree_exp6_rebuilding_time/step10161.txt</t>
  </si>
  <si>
    <t>istree_exp6_rebuilding_time/step10162.txt</t>
  </si>
  <si>
    <t>istree_exp6_rebuilding_time/step10163.txt</t>
  </si>
  <si>
    <t>istree_exp6_rebuilding_time/step10164.txt</t>
  </si>
  <si>
    <t>istree_exp6_rebuilding_time/step10165.txt</t>
  </si>
  <si>
    <t>istree_exp6_rebuilding_time/step10166.txt</t>
  </si>
  <si>
    <t>istree_exp6_rebuilding_time/step10167.txt</t>
  </si>
  <si>
    <t>istree_exp6_rebuilding_time/step10168.txt</t>
  </si>
  <si>
    <t>istree_exp6_rebuilding_time/step10169.txt</t>
  </si>
  <si>
    <t>istree_exp6_rebuilding_time/step10170.txt</t>
  </si>
  <si>
    <t>istree_exp6_rebuilding_time/step10171.txt</t>
  </si>
  <si>
    <t>istree_exp6_rebuilding_time/step10172.txt</t>
  </si>
  <si>
    <t>istree_exp6_rebuilding_time/step10173.txt</t>
  </si>
  <si>
    <t>istree_exp6_rebuilding_time/step10174.txt</t>
  </si>
  <si>
    <t>istree_exp6_rebuilding_time/step10175.txt</t>
  </si>
  <si>
    <t>istree_exp6_rebuilding_time/step10176.txt</t>
  </si>
  <si>
    <t>istree_exp6_rebuilding_time/step10177.txt</t>
  </si>
  <si>
    <t>istree_exp6_rebuilding_time/step10178.txt</t>
  </si>
  <si>
    <t>istree_exp6_rebuilding_time/step10179.txt</t>
  </si>
  <si>
    <t>istree_exp6_rebuilding_time/step10180.txt</t>
  </si>
  <si>
    <t>istree_exp6_rebuilding_time/step10181.txt</t>
  </si>
  <si>
    <t>istree_exp6_rebuilding_time/step10182.txt</t>
  </si>
  <si>
    <t>istree_exp6_rebuilding_time/step10183.txt</t>
  </si>
  <si>
    <t>istree_exp6_rebuilding_time/step10184.txt</t>
  </si>
  <si>
    <t>istree_exp6_rebuilding_time/step10185.txt</t>
  </si>
  <si>
    <t>istree_exp6_rebuilding_time/step10186.txt</t>
  </si>
  <si>
    <t>istree_exp6_rebuilding_time/step10187.txt</t>
  </si>
  <si>
    <t>istree_exp6_rebuilding_time/step10188.txt</t>
  </si>
  <si>
    <t>istree_exp6_rebuilding_time/step10189.txt</t>
  </si>
  <si>
    <t>istree_exp6_rebuilding_time/step10190.txt</t>
  </si>
  <si>
    <t>istree_exp6_rebuilding_time/step10191.txt</t>
  </si>
  <si>
    <t>istree_exp6_rebuilding_time/step10192.txt</t>
  </si>
  <si>
    <t>istree_exp6_rebuilding_time/step10193.txt</t>
  </si>
  <si>
    <t>istree_exp6_rebuilding_time/step10194.txt</t>
  </si>
  <si>
    <t>istree_exp6_rebuilding_time/step10195.txt</t>
  </si>
  <si>
    <t>istree_exp6_rebuilding_time/step10196.txt</t>
  </si>
  <si>
    <t>istree_exp6_rebuilding_time/step10197.txt</t>
  </si>
  <si>
    <t>istree_exp6_rebuilding_time/step10198.txt</t>
  </si>
  <si>
    <t>istree_exp6_rebuilding_time/step10199.txt</t>
  </si>
  <si>
    <t>istree_exp6_rebuilding_time/step10200.txt</t>
  </si>
  <si>
    <t>istree_exp6_rebuilding_time/step10201.txt</t>
  </si>
  <si>
    <t>istree_exp6_rebuilding_time/step10202.txt</t>
  </si>
  <si>
    <t>istree_exp6_rebuilding_time/step10203.txt</t>
  </si>
  <si>
    <t>istree_exp6_rebuilding_time/step10204.txt</t>
  </si>
  <si>
    <t>istree_exp6_rebuilding_time/step10205.txt</t>
  </si>
  <si>
    <t>istree_exp6_rebuilding_time/step10206.txt</t>
  </si>
  <si>
    <t>istree_exp6_rebuilding_time/step10207.txt</t>
  </si>
  <si>
    <t>istree_exp6_rebuilding_time/step10208.txt</t>
  </si>
  <si>
    <t>istree_exp6_rebuilding_time/step10209.txt</t>
  </si>
  <si>
    <t>istree_exp6_rebuilding_time/step10210.txt</t>
  </si>
  <si>
    <t>istree_exp6_rebuilding_time/step10211.txt</t>
  </si>
  <si>
    <t>istree_exp6_rebuilding_time/step10212.txt</t>
  </si>
  <si>
    <t>istree_exp6_rebuilding_time/step10213.txt</t>
  </si>
  <si>
    <t>istree_exp6_rebuilding_time/step10214.txt</t>
  </si>
  <si>
    <t>istree_exp6_rebuilding_time/step10215.txt</t>
  </si>
  <si>
    <t>istree_exp6_rebuilding_time/step10216.txt</t>
  </si>
  <si>
    <t>istree_exp6_rebuilding_time/step10217.txt</t>
  </si>
  <si>
    <t>istree_exp6_rebuilding_time/step10218.txt</t>
  </si>
  <si>
    <t>istree_exp6_rebuilding_time/step10220.txt</t>
  </si>
  <si>
    <t>istree_exp6_rebuilding_time/step10221.txt</t>
  </si>
  <si>
    <t>istree_exp6_rebuilding_time/step10222.txt</t>
  </si>
  <si>
    <t>istree_exp6_rebuilding_time/step10223.txt</t>
  </si>
  <si>
    <t>istree_exp6_rebuilding_time/step10224.txt</t>
  </si>
  <si>
    <t>istree_exp6_rebuilding_time/step10225.txt</t>
  </si>
  <si>
    <t>istree_exp6_rebuilding_time/step10226.txt</t>
  </si>
  <si>
    <t>istree_exp6_rebuilding_time/step10227.txt</t>
  </si>
  <si>
    <t>istree_exp6_rebuilding_time/step10228.txt</t>
  </si>
  <si>
    <t>istree_exp6_rebuilding_time/step10229.txt</t>
  </si>
  <si>
    <t>istree_exp6_rebuilding_time/step10230.txt</t>
  </si>
  <si>
    <t>istree_exp6_rebuilding_time/step10231.txt</t>
  </si>
  <si>
    <t>istree_exp6_rebuilding_time/step10232.txt</t>
  </si>
  <si>
    <t>istree_exp6_rebuilding_time/step10233.txt</t>
  </si>
  <si>
    <t>istree_exp6_rebuilding_time/step10234.txt</t>
  </si>
  <si>
    <t>istree_exp6_rebuilding_time/step10235.txt</t>
  </si>
  <si>
    <t>istree_exp6_rebuilding_time/step10236.txt</t>
  </si>
  <si>
    <t>istree_exp6_rebuilding_time/step10238.txt</t>
  </si>
  <si>
    <t>istree_exp6_rebuilding_time/step10239.txt</t>
  </si>
  <si>
    <t>istree_exp6_rebuilding_time/step10240.txt</t>
  </si>
  <si>
    <t>u=1%, k=2x10^7</t>
  </si>
  <si>
    <t>u=1%, k=2x10^9</t>
  </si>
  <si>
    <t>u=10%, k=2x10^6</t>
  </si>
  <si>
    <t>u=10%, k=2x10^7</t>
  </si>
  <si>
    <t>u=10%, k=2x10^8</t>
  </si>
  <si>
    <t>u=10%, k=2x10^9</t>
  </si>
  <si>
    <t>u=40%, k=2x10^7</t>
  </si>
  <si>
    <t>u=40%, k=2x10^9</t>
  </si>
  <si>
    <t>exp2</t>
  </si>
  <si>
    <t>sum_duration_markAndCount_total</t>
  </si>
  <si>
    <t>sum_duration_buildAndReplace_total</t>
  </si>
  <si>
    <t>sum_duration_rotateAndFree_total</t>
  </si>
  <si>
    <t>sum_duration_traverseAndRetire_total</t>
  </si>
  <si>
    <t>depth5_rebuild_count</t>
  </si>
  <si>
    <t>adj_duration_other</t>
  </si>
  <si>
    <t>Average of adj_duration_other</t>
  </si>
  <si>
    <t>Average of adj_duration_markAndCount</t>
  </si>
  <si>
    <t>Average of adj_duration_buildAndReplace</t>
  </si>
  <si>
    <t>Average of adj_duration_rotateAndFree</t>
  </si>
  <si>
    <t>Average of adj_duration_traverseAndRetire</t>
  </si>
  <si>
    <t>Average of total_throughput</t>
  </si>
  <si>
    <t>build and replace</t>
  </si>
  <si>
    <t>mark and count</t>
  </si>
  <si>
    <t>other</t>
  </si>
  <si>
    <t>locate garbage</t>
  </si>
  <si>
    <t>free garbage</t>
  </si>
  <si>
    <t>100 85433 1227517 1375527</t>
  </si>
  <si>
    <t>95 85414 1227490 1375522</t>
  </si>
  <si>
    <t>155 144063 1367086 1988696</t>
  </si>
  <si>
    <t>146 144035 1367016 1988691</t>
  </si>
  <si>
    <t>296 425678 736456 3137880</t>
  </si>
  <si>
    <t>271 425331 736273 3137853</t>
  </si>
  <si>
    <t>417 1112739 199793 3100065</t>
  </si>
  <si>
    <t>381 1111890 199674 3100025</t>
  </si>
  <si>
    <t>557 1154202 560416 4614639</t>
  </si>
  <si>
    <t>492 1153037 560071 4614565</t>
  </si>
  <si>
    <t>4 11181 320249 3001337 9840</t>
  </si>
  <si>
    <t>4 11179 320249 3001337 9840</t>
  </si>
  <si>
    <t>8 21742 474767 5095083 15926</t>
  </si>
  <si>
    <t>7 21740 474765 5095079 15926</t>
  </si>
  <si>
    <t>15 47423 695363 10622477 30717</t>
  </si>
  <si>
    <t>15 47423 695334 10622457 30717</t>
  </si>
  <si>
    <t>23 72669 608400 15284327 38649</t>
  </si>
  <si>
    <t>22 72668 608382 15284288 38649</t>
  </si>
  <si>
    <t>31 94669 798965 19965257 50387</t>
  </si>
  <si>
    <t>29 94667 798900 19965202 50387</t>
  </si>
  <si>
    <t>0 0 7 590822 198305</t>
  </si>
  <si>
    <t>0 0 14590 2021013 419589</t>
  </si>
  <si>
    <t>1 9911 394438 4116833 741999</t>
  </si>
  <si>
    <t>1 9911 394437 4116833 741999</t>
  </si>
  <si>
    <t>1 9996 450551 6857630 1197114</t>
  </si>
  <si>
    <t>1 9996 450548 6857628 1197114</t>
  </si>
  <si>
    <t>2 19996 688670 8106154 1468089</t>
  </si>
  <si>
    <t>2 19996 688664 8106150 1468089</t>
  </si>
  <si>
    <t>0 0 0 1355 14975</t>
  </si>
  <si>
    <t>0 0 0 8114 49091</t>
  </si>
  <si>
    <t>0 0 0 85092 227572</t>
  </si>
  <si>
    <t>0 0 0 279877 487003</t>
  </si>
  <si>
    <t>0 0 0 596369 787903</t>
  </si>
  <si>
    <t>1021 691839 9953033 11114411</t>
  </si>
  <si>
    <t>770 690777 9951977 11114324</t>
  </si>
  <si>
    <t>1750 1130426 10728619 15570000</t>
  </si>
  <si>
    <t>1145 1129376 10724883 15569739</t>
  </si>
  <si>
    <t>2981 2821439 4888723 20761882</t>
  </si>
  <si>
    <t>1797 2806914 4880901 20760937</t>
  </si>
  <si>
    <t>3761 6321013 1137516 17597424</t>
  </si>
  <si>
    <t>2168 6291312 1133190 17596193</t>
  </si>
  <si>
    <t>4568 5982652 2907575 23891273</t>
  </si>
  <si>
    <t>2548 5947743 2896682 23889382</t>
  </si>
  <si>
    <t>43 95152 2733610 25286976 84782</t>
  </si>
  <si>
    <t>34 95064 2733560 25286914 84782</t>
  </si>
  <si>
    <t>79 180609 3993543 41879076 136746</t>
  </si>
  <si>
    <t>58 180518 3993328 41878872 136746</t>
  </si>
  <si>
    <t>171 367094 5375495 80033338 235313</t>
  </si>
  <si>
    <t>116 367045 5374576 80032632 235313</t>
  </si>
  <si>
    <t>263 531426 4451752 112721025 282828</t>
  </si>
  <si>
    <t>168 531346 4450296 112719511 282828</t>
  </si>
  <si>
    <t>353 669910 5651052 141733561 356338</t>
  </si>
  <si>
    <t>211 669806 5648591 141731044 356334</t>
  </si>
  <si>
    <t>3 12741 1336137 12288120 2023810</t>
  </si>
  <si>
    <t>2 12734 1336134 12288118 2023810</t>
  </si>
  <si>
    <t>4 34331 2133615 20238743 3349939</t>
  </si>
  <si>
    <t>4 34299 2133594 20238733 3349938</t>
  </si>
  <si>
    <t>15 89218 3550648 35992451 6070778</t>
  </si>
  <si>
    <t>9 89195 3550568 35992412 6070777</t>
  </si>
  <si>
    <t>23 129963 4548554 50686264 8668910</t>
  </si>
  <si>
    <t>13 129955 4548385 50686176 8668903</t>
  </si>
  <si>
    <t>29 159959 5541261 64554992 11119635</t>
  </si>
  <si>
    <t>16 159948 5541019 64554848 11119619</t>
  </si>
  <si>
    <t>0 0 0 1021297 1101795</t>
  </si>
  <si>
    <t>0 0 0 4883923 2898576</t>
  </si>
  <si>
    <t>0 0 415910 25481674 7826456</t>
  </si>
  <si>
    <t>0 0 415910 25481670 7826456</t>
  </si>
  <si>
    <t>1 31588 2161475 33496201 9467441</t>
  </si>
  <si>
    <t>1 31587 2161468 33496193 9467441</t>
  </si>
  <si>
    <t>1 31579 2150372 37054963 11831797</t>
  </si>
  <si>
    <t>1 31577 2150362 37054955 11831797</t>
  </si>
  <si>
    <t>4014 1826095 26241153 29397772</t>
  </si>
  <si>
    <t>2031 1818766 26233911 29397131</t>
  </si>
  <si>
    <t>7698 2855209 27093535 39321245</t>
  </si>
  <si>
    <t>2891 2848731 27071535 39319431</t>
  </si>
  <si>
    <t>9413 5528149 9578365 40632723</t>
  </si>
  <si>
    <t>3519 5472915 9547908 40628834</t>
  </si>
  <si>
    <t>10326 11173110 2012033 31056803</t>
  </si>
  <si>
    <t>3827 11075935 1997784 31052394</t>
  </si>
  <si>
    <t>12934 10354888 5038575 41306678</t>
  </si>
  <si>
    <t>4405 10238782 5002540 41299604</t>
  </si>
  <si>
    <t>179 262946 7538940 69062693 232440</t>
  </si>
  <si>
    <t>94 262361 7538573 69062355 232440</t>
  </si>
  <si>
    <t>332 475264 10396670 108791442 353745</t>
  </si>
  <si>
    <t>153 474679 10395145 108790111 353744</t>
  </si>
  <si>
    <t>781 853887 12460891 185015334 538816</t>
  </si>
  <si>
    <t>270 853655 12456386 185010830 538812</t>
  </si>
  <si>
    <t>1292 1202224 10069058 254215569 636940</t>
  </si>
  <si>
    <t>379 1201877 10062272 254206312 636931</t>
  </si>
  <si>
    <t>1602 1452236 12247652 307205667 768889</t>
  </si>
  <si>
    <t>459 1451734 12236968 307191214 768867</t>
  </si>
  <si>
    <t>10 44392 3695541 32983918 5439432</t>
  </si>
  <si>
    <t>7 44323 3695513 32983898 5439430</t>
  </si>
  <si>
    <t>23 103179 5640549 50540952 8431783</t>
  </si>
  <si>
    <t>12 103009 5640451 50540867 8431778</t>
  </si>
  <si>
    <t>50 218040 8722779 90517614 15274390</t>
  </si>
  <si>
    <t>22 217925 8722357 90517289 15274372</t>
  </si>
  <si>
    <t>106 310013 11083399 124423231 21259589</t>
  </si>
  <si>
    <t>31 309976 11082598 124422596 21259548</t>
  </si>
  <si>
    <t>137 389932 13426914 152484778 26233797</t>
  </si>
  <si>
    <t>39 389893 13425572 152483847 26233722</t>
  </si>
  <si>
    <t>0 0 126551 21375050 7027293</t>
  </si>
  <si>
    <t>0 0 126550 21375050 7027293</t>
  </si>
  <si>
    <t>1 26316 2535328 34444477 9631204</t>
  </si>
  <si>
    <t>1 26301 2535319 34444469 9631204</t>
  </si>
  <si>
    <t>4 61894 4627679 67770108 19005785</t>
  </si>
  <si>
    <t>2 61871 4627646 67770084 19005782</t>
  </si>
  <si>
    <t>4 74046 6372681 100154083 28188919</t>
  </si>
  <si>
    <t>2 74037 6372615 100154029 28188918</t>
  </si>
  <si>
    <t>5 94771 6447673 108228461 32164593</t>
  </si>
  <si>
    <t>3 94766 6447586 108228378 32164588</t>
  </si>
  <si>
    <t>97 81734 1176123 1314653</t>
  </si>
  <si>
    <t>91 81717 1176101 1314651</t>
  </si>
  <si>
    <t>139 129416 1231105 1791069</t>
  </si>
  <si>
    <t>131 129403 1231047 1791060</t>
  </si>
  <si>
    <t>250 349953 605647 2576051</t>
  </si>
  <si>
    <t>223 349653 605491 2576030</t>
  </si>
  <si>
    <t>335 837260 150046 2331076</t>
  </si>
  <si>
    <t>287 836607 149954 2331042</t>
  </si>
  <si>
    <t>399 834399 405874 3338176</t>
  </si>
  <si>
    <t>355 833520 405569 3338111</t>
  </si>
  <si>
    <t>3 11085 320852 2923323 9834</t>
  </si>
  <si>
    <t>3 11085 320851 2923321 9834</t>
  </si>
  <si>
    <t>6 18676 416739 4684917 14822</t>
  </si>
  <si>
    <t>6 18673 416735 4684917 14822</t>
  </si>
  <si>
    <t>12 37957 567407 8694224 25127</t>
  </si>
  <si>
    <t>12 37953 567393 8694214 25127</t>
  </si>
  <si>
    <t>16 50609 424573 11020032 27259</t>
  </si>
  <si>
    <t>16 50607 424551 11020000 27259</t>
  </si>
  <si>
    <t>21 63257 533047 13432192 33595</t>
  </si>
  <si>
    <t>20 63257 533017 13432159 33595</t>
  </si>
  <si>
    <t>0 0 5 593841 197841</t>
  </si>
  <si>
    <t>0 0 14167 2018021 418674</t>
  </si>
  <si>
    <t>1 9909 394078 3999086 672897</t>
  </si>
  <si>
    <t>1 9908 394077 3999086 672897</t>
  </si>
  <si>
    <t>1 9998 351564 5343767 1010038</t>
  </si>
  <si>
    <t>1 9998 351562 5343767 1010038</t>
  </si>
  <si>
    <t>1 16181 676307 7718972 1305517</t>
  </si>
  <si>
    <t>1 16181 676305 7718969 1305517</t>
  </si>
  <si>
    <t>0 0 0 1333 15068</t>
  </si>
  <si>
    <t>0 0 0 8199 49145</t>
  </si>
  <si>
    <t>0 0 0 86440 229019</t>
  </si>
  <si>
    <t>0 0 0 281274 487598</t>
  </si>
  <si>
    <t>0 0 0 605872 794673</t>
  </si>
  <si>
    <t>767 498063 7166600 8016559</t>
  </si>
  <si>
    <t>554 497246 7165781 8016475</t>
  </si>
  <si>
    <t>905 609130 5782629 8393447</t>
  </si>
  <si>
    <t>617 608541 5780708 8393301</t>
  </si>
  <si>
    <t>1114 1078920 1868255 7938109</t>
  </si>
  <si>
    <t>687 1073072 1865304 7937755</t>
  </si>
  <si>
    <t>1206 1983498 357084 5518020</t>
  </si>
  <si>
    <t>680 1974123 355726 5517597</t>
  </si>
  <si>
    <t>1452 1970008 957412 7869751</t>
  </si>
  <si>
    <t>838 1958156 953944 7869063</t>
  </si>
  <si>
    <t>26 67018 1923648 17555442 58609</t>
  </si>
  <si>
    <t>24 66954 1923608 17555416 58609</t>
  </si>
  <si>
    <t>41 96283 2107541 22334466 72317</t>
  </si>
  <si>
    <t>31 96229 2107424 22334384 72317</t>
  </si>
  <si>
    <t>72 113826 1658405 24819599 71834</t>
  </si>
  <si>
    <t>36 113821 1658203 24819385 71834</t>
  </si>
  <si>
    <t>52 110715 928461 23418174 59037</t>
  </si>
  <si>
    <t>35 110710 928289 23417884 59037</t>
  </si>
  <si>
    <t>58 113880 961929 24092625 60625</t>
  </si>
  <si>
    <t>36 113869 961737 24092267 60624</t>
  </si>
  <si>
    <t>2 12734 994217 8434617 1382514</t>
  </si>
  <si>
    <t>2 12722 994215 8434616 1382514</t>
  </si>
  <si>
    <t>3 25759 1409907 12477461 2055523</t>
  </si>
  <si>
    <t>3 25741 1409900 12477452 2055522</t>
  </si>
  <si>
    <t>4 29728 1186178 13445054 2360317</t>
  </si>
  <si>
    <t>3 29721 1186161 13445039 2360315</t>
  </si>
  <si>
    <t>6 34751 1378029 15518315 2637813</t>
  </si>
  <si>
    <t>3 34751 1377999 15518292 2637812</t>
  </si>
  <si>
    <t>0 0 0 1024028 1105348</t>
  </si>
  <si>
    <t>0 0 0 4932497 2912421</t>
  </si>
  <si>
    <t>0 0 456404 25865558 7897184</t>
  </si>
  <si>
    <t>0 0 456403 25865553 7897184</t>
  </si>
  <si>
    <t>1 31597 2150038 33455622 9428166</t>
  </si>
  <si>
    <t>1 31595 2150030 33455614 9428166</t>
  </si>
  <si>
    <t>1914 899498 12934419 14435746</t>
  </si>
  <si>
    <t>1000 895972 12930870 14435437</t>
  </si>
  <si>
    <t>2296 890855 8450278 12271907</t>
  </si>
  <si>
    <t>902 888687 8444063 12271291</t>
  </si>
  <si>
    <t>1805 1201604 2080587 8838437</t>
  </si>
  <si>
    <t>765 1189961 2074939 8837631</t>
  </si>
  <si>
    <t>1676 2066442 371828 5745691</t>
  </si>
  <si>
    <t>708 2050553 369694 5744922</t>
  </si>
  <si>
    <t>1390 1682299 817820 6715630</t>
  </si>
  <si>
    <t>716 1671125 813215 6714673</t>
  </si>
  <si>
    <t>66 120216 3446020 31467715 104714</t>
  </si>
  <si>
    <t>43 119986 3445846 31467562 104714</t>
  </si>
  <si>
    <t>98 133663 2923178 30572614 99804</t>
  </si>
  <si>
    <t>43 133495 2922822 30572263 99804</t>
  </si>
  <si>
    <t>97 123321 1799132 26725067 78027</t>
  </si>
  <si>
    <t>39 123296 1798866 26724591 78025</t>
  </si>
  <si>
    <t>81 117037 978979 24753403 61794</t>
  </si>
  <si>
    <t>37 117025 978711 24752782 61792</t>
  </si>
  <si>
    <t>92 120201 1013469 25426750 63455</t>
  </si>
  <si>
    <t>38 120185 1013108 25425979 63451</t>
  </si>
  <si>
    <t>3 19156 1821228 16473694 2716288</t>
  </si>
  <si>
    <t>3 19134 1821215 16473688 2716288</t>
  </si>
  <si>
    <t>5 34347 1878843 16637019 2743968</t>
  </si>
  <si>
    <t>4 34325 1878813 16636994 2743967</t>
  </si>
  <si>
    <t>8 38114 1573751 15971060 2679184</t>
  </si>
  <si>
    <t>3 38110 1573708 15971019 2679181</t>
  </si>
  <si>
    <t>8 37443 1393780 15564110 2641957</t>
  </si>
  <si>
    <t>3 37440 1393753 15564061 2641954</t>
  </si>
  <si>
    <t>4 38666 1372522 15519798 2642485</t>
  </si>
  <si>
    <t>3 38666 1372480 15519748 2642479</t>
  </si>
  <si>
    <t>0 0 123865 21306173 7017134</t>
  </si>
  <si>
    <t>1 30982 2314269 33886216 9493867</t>
  </si>
  <si>
    <t>1 30963 2314259 33886208 9493865</t>
  </si>
  <si>
    <t>5 31579 2163336 33496526 9433176</t>
  </si>
  <si>
    <t>1 31579 2163314 33496511 9433176</t>
  </si>
  <si>
    <t>4 31577 2148708 33456921 9429444</t>
  </si>
  <si>
    <t>1 31574 2148685 33456894 9429443</t>
  </si>
  <si>
    <t>98 84510 1223437 1371958</t>
  </si>
  <si>
    <t>94 84499 1223420 1371957</t>
  </si>
  <si>
    <t>157 144476 1374986 1996876</t>
  </si>
  <si>
    <t>146 144461 1374899 1996869</t>
  </si>
  <si>
    <t>307 430704 748057 3176729</t>
  </si>
  <si>
    <t>274 430333 747875 3176702</t>
  </si>
  <si>
    <t>431 1118563 201255 3116715</t>
  </si>
  <si>
    <t>383 1117684 201139 3116671</t>
  </si>
  <si>
    <t>545 1145362 556527 4578905</t>
  </si>
  <si>
    <t>488 1144195 556188 4578851</t>
  </si>
  <si>
    <t>5 11164 321169 3001691 9815</t>
  </si>
  <si>
    <t>4 11160 321166 3001689 9815</t>
  </si>
  <si>
    <t>7 21762 475428 5081208 16329</t>
  </si>
  <si>
    <t>7 21761 475423 5081208 16329</t>
  </si>
  <si>
    <t>19 47431 697472 10650816 30921</t>
  </si>
  <si>
    <t>15 47431 697450 10650803 30921</t>
  </si>
  <si>
    <t>22 72740 607569 15304878 38511</t>
  </si>
  <si>
    <t>22 72737 607541 15304848 38510</t>
  </si>
  <si>
    <t>31 94320 796682 19953398 50316</t>
  </si>
  <si>
    <t>29 94316 796627 19953351 50316</t>
  </si>
  <si>
    <t>0 0 9 604582 201158</t>
  </si>
  <si>
    <t>0 0 14762 2027955 421210</t>
  </si>
  <si>
    <t>2 9903 394528 4115523 744773</t>
  </si>
  <si>
    <t>1 9903 394528 4115522 744773</t>
  </si>
  <si>
    <t>1 9999 447736 6837299 1197826</t>
  </si>
  <si>
    <t>1 9999 447734 6837296 1197826</t>
  </si>
  <si>
    <t>2 19995 687657 8113315 1472007</t>
  </si>
  <si>
    <t>2 19994 687647 8113313 1472007</t>
  </si>
  <si>
    <t>0 0 0 1368 14968</t>
  </si>
  <si>
    <t>0 0 0 8050 49334</t>
  </si>
  <si>
    <t>0 0 0 85437 226349</t>
  </si>
  <si>
    <t>0 0 0 279797 486105</t>
  </si>
  <si>
    <t>0 0 0 600113 791112</t>
  </si>
  <si>
    <t>1060 698228 10038268 11252562</t>
  </si>
  <si>
    <t>777 697111 10037115 11252475</t>
  </si>
  <si>
    <t>1669 1130903 10740479 15594992</t>
  </si>
  <si>
    <t>1145 1129885 10736649 15594723</t>
  </si>
  <si>
    <t>2973 2781550 4817960 20489706</t>
  </si>
  <si>
    <t>1772 2767137 4810312 20488823</t>
  </si>
  <si>
    <t>3893 6301458 1133446 17535183</t>
  </si>
  <si>
    <t>2161 6272003 1129257 17534063</t>
  </si>
  <si>
    <t>4605 5970919 2904763 23842251</t>
  </si>
  <si>
    <t>2543 5936487 2893818 23840252</t>
  </si>
  <si>
    <t>39 95004 2728274 25144061 84594</t>
  </si>
  <si>
    <t>34 94906 2728223 25144022 84594</t>
  </si>
  <si>
    <t>78 180250 3985570 41864042 136411</t>
  </si>
  <si>
    <t>58 180153 3985357 41863832 136411</t>
  </si>
  <si>
    <t>165 369982 5396336 80197572 233766</t>
  </si>
  <si>
    <t>117 369936 5395410 80196803 233766</t>
  </si>
  <si>
    <t>277 531450 4448184 112411664 281717</t>
  </si>
  <si>
    <t>168 531370 4446850 112410154 281716</t>
  </si>
  <si>
    <t>351 671274 5668365 142358437 357068</t>
  </si>
  <si>
    <t>212 671169 5665944 142355820 357066</t>
  </si>
  <si>
    <t>3 12702 1366198 12364166 2034421</t>
  </si>
  <si>
    <t>2 12689 1366195 12364159 2034421</t>
  </si>
  <si>
    <t>4 34419 2163202 20334684 3363124</t>
  </si>
  <si>
    <t>4 34384 2163174 20334671 3363124</t>
  </si>
  <si>
    <t>12 89192 3551782 35979249 6052095</t>
  </si>
  <si>
    <t>9 89165 3551694 35979212 6052092</t>
  </si>
  <si>
    <t>22 129966 4547674 50694594 8666332</t>
  </si>
  <si>
    <t>13 129958 4547516 50694495 8666327</t>
  </si>
  <si>
    <t>35 159975 5581498 64975823 11173053</t>
  </si>
  <si>
    <t>16 159967 5581261 64975655 11173036</t>
  </si>
  <si>
    <t>0 0 0 1029014 1107891</t>
  </si>
  <si>
    <t>0 0 0 4905413 2908241</t>
  </si>
  <si>
    <t>0 0 430406 25624447 7849873</t>
  </si>
  <si>
    <t>0 0 430406 25624440 7849873</t>
  </si>
  <si>
    <t>1 31578 2160540 33492023 9461580</t>
  </si>
  <si>
    <t>1 31577 2160529 33492010 9461580</t>
  </si>
  <si>
    <t>5 31597 2148972 37102582 11860915</t>
  </si>
  <si>
    <t>1 31595 2148953 37102573 11860915</t>
  </si>
  <si>
    <t>4160 1835523 26370748 29537094</t>
  </si>
  <si>
    <t>2041 1828347 26363312 29536460</t>
  </si>
  <si>
    <t>7587 2850404 27049138 39184672</t>
  </si>
  <si>
    <t>2886 2844045 27027454 39182867</t>
  </si>
  <si>
    <t>9444 5532614 9588558 40677687</t>
  </si>
  <si>
    <t>3522 5477451 9557909 40673790</t>
  </si>
  <si>
    <t>10407 11180217 2012726 31083066</t>
  </si>
  <si>
    <t>3829 11082866 1998425 31078783</t>
  </si>
  <si>
    <t>12610 10329722 5016084 41183813</t>
  </si>
  <si>
    <t>4393 10213359 4980717 41176879</t>
  </si>
  <si>
    <t>152 262914 7544759 69169915 232832</t>
  </si>
  <si>
    <t>94 262326 7544353 69169590 232831</t>
  </si>
  <si>
    <t>315 475499 10395020 108860900 353634</t>
  </si>
  <si>
    <t>153 474955 10393545 108859479 353633</t>
  </si>
  <si>
    <t>795 853874 12455632 185118597 539783</t>
  </si>
  <si>
    <t>270 853619 12451052 185114010 539780</t>
  </si>
  <si>
    <t>1247 1199414 10050857 254006277 636961</t>
  </si>
  <si>
    <t>379 1199030 10044053 253996809 636951</t>
  </si>
  <si>
    <t>1688 1450397 12231429 307018146 770836</t>
  </si>
  <si>
    <t>458 1449926 12220651 307003365 770813</t>
  </si>
  <si>
    <t>8 44595 3652199 32821899 5418862</t>
  </si>
  <si>
    <t>7 44532 3652173 32821880 5418861</t>
  </si>
  <si>
    <t>23 103254 5639497 50483021 8417888</t>
  </si>
  <si>
    <t>12 103082 5639388 50482932 8417883</t>
  </si>
  <si>
    <t>69 218179 8711165 90211894 15241461</t>
  </si>
  <si>
    <t>22 218082 8710726 90211619 15241445</t>
  </si>
  <si>
    <t>118 309993 11073868 124385533 21269877</t>
  </si>
  <si>
    <t>31 309958 11073104 124384942 21269821</t>
  </si>
  <si>
    <t>139 389969 13420613 152795269 26282964</t>
  </si>
  <si>
    <t>39 389923 13419297 152794356 26282892</t>
  </si>
  <si>
    <t>0 0 103852 20784202 6913291</t>
  </si>
  <si>
    <t>0 0 103852 20784198 6913291</t>
  </si>
  <si>
    <t>1 26351 2536366 34436384 9619099</t>
  </si>
  <si>
    <t>1 26331 2536355 34436377 9619099</t>
  </si>
  <si>
    <t>3 61933 4627299 67771865 19004405</t>
  </si>
  <si>
    <t>2 61911 4627270 67771827 19004401</t>
  </si>
  <si>
    <t>4 74528 6381121 100174231 28196546</t>
  </si>
  <si>
    <t>2 74524 6381058 100174181 28196539</t>
  </si>
  <si>
    <t>14 94770 6448053 107725514 31999640</t>
  </si>
  <si>
    <t>3 94763 6447940 107725423 31999637</t>
  </si>
  <si>
    <t>92 81679 1177464 1324521</t>
  </si>
  <si>
    <t>91 81664 1177443 1324521</t>
  </si>
  <si>
    <t>141 130279 1236799 1795448</t>
  </si>
  <si>
    <t>132 130257 1236725 1795443</t>
  </si>
  <si>
    <t>242 349167 607242 2576408</t>
  </si>
  <si>
    <t>223 348874 607055 2576393</t>
  </si>
  <si>
    <t>321 842116 152403 2344731</t>
  </si>
  <si>
    <t>289 841487 152292 2344702</t>
  </si>
  <si>
    <t>410 839725 406777 3356661</t>
  </si>
  <si>
    <t>357 838852 406494 3356618</t>
  </si>
  <si>
    <t>5 11189 320576 2927630 9720</t>
  </si>
  <si>
    <t>4 11189 320574 2927630 9720</t>
  </si>
  <si>
    <t>7 18640 415427 4679332 14978</t>
  </si>
  <si>
    <t>6 18638 415420 4679330 14978</t>
  </si>
  <si>
    <t>13 37953 567543 8678455 25229</t>
  </si>
  <si>
    <t>12 37950 567526 8678441 25229</t>
  </si>
  <si>
    <t>17 50608 424887 10963797 27471</t>
  </si>
  <si>
    <t>16 50608 424863 10963775 27471</t>
  </si>
  <si>
    <t>21 63252 533360 13380806 33670</t>
  </si>
  <si>
    <t>20 63251 533329 13380770 33670</t>
  </si>
  <si>
    <t>0 0 8 596624 199665</t>
  </si>
  <si>
    <t>0 0 14019 2009138 418828</t>
  </si>
  <si>
    <t>0 0 14019 2009137 418828</t>
  </si>
  <si>
    <t>1 9900 394679 3999763 672688</t>
  </si>
  <si>
    <t>1 9900 394678 3999759 672688</t>
  </si>
  <si>
    <t>1 9998 352226 5338301 1009188</t>
  </si>
  <si>
    <t>1 9998 352225 5338301 1009188</t>
  </si>
  <si>
    <t>1 16412 676492 7716230 1307596</t>
  </si>
  <si>
    <t>1 16412 676486 7716229 1307596</t>
  </si>
  <si>
    <t>0 0 0 1379 14643</t>
  </si>
  <si>
    <t>0 0 0 7865 48800</t>
  </si>
  <si>
    <t>0 0 0 86401 228222</t>
  </si>
  <si>
    <t>0 0 0 281093 489323</t>
  </si>
  <si>
    <t>0 0 0 604488 793679</t>
  </si>
  <si>
    <t>746 503469 7233888 8106773</t>
  </si>
  <si>
    <t>560 502656 7233113 8106703</t>
  </si>
  <si>
    <t>897 608628 5781071 8391193</t>
  </si>
  <si>
    <t>616 608067 5779087 8391044</t>
  </si>
  <si>
    <t>1178 1081487 1872914 7955450</t>
  </si>
  <si>
    <t>689 1075553 1869879 7955075</t>
  </si>
  <si>
    <t>1221 1967403 354621 5479686</t>
  </si>
  <si>
    <t>675 1958055 353298 5479221</t>
  </si>
  <si>
    <t>1500 1975662 959357 7883939</t>
  </si>
  <si>
    <t>841 1963768 955901 7883237</t>
  </si>
  <si>
    <t>32 67040 1925047 17556211 58447</t>
  </si>
  <si>
    <t>24 66957 1925006 17556176 58447</t>
  </si>
  <si>
    <t>42 93237 2053600 21808394 71093</t>
  </si>
  <si>
    <t>30 93192 2053486 21808302 71093</t>
  </si>
  <si>
    <t>61 113818 1661084 24691398 72235</t>
  </si>
  <si>
    <t>36 113812 1660853 24691182 72235</t>
  </si>
  <si>
    <t>61 110706 927087 23454876 58626</t>
  </si>
  <si>
    <t>35 110694 926928 23454591 58626</t>
  </si>
  <si>
    <t>64 117032 987102 24758881 61981</t>
  </si>
  <si>
    <t>37 117024 986892 24758471 61981</t>
  </si>
  <si>
    <t>2 12679 994519 8431953 1382695</t>
  </si>
  <si>
    <t>2 12671 994517 8431952 1382695</t>
  </si>
  <si>
    <t>3 25737 1409842 12478984 2057767</t>
  </si>
  <si>
    <t>3 25718 1409833 12478970 2057767</t>
  </si>
  <si>
    <t>5 29742 1202018 14067293 2443989</t>
  </si>
  <si>
    <t>3 29739 1202008 14067280 2443988</t>
  </si>
  <si>
    <t>3 34182 1372277 15503943 2634677</t>
  </si>
  <si>
    <t>3 34181 1372250 15503918 2634677</t>
  </si>
  <si>
    <t>4 37390 1369040 15502345 2641301</t>
  </si>
  <si>
    <t>3 37389 1369017 15502319 2641299</t>
  </si>
  <si>
    <t>0 0 0 1011561 1095802</t>
  </si>
  <si>
    <t>0 0 0 4901135 2907038</t>
  </si>
  <si>
    <t>0 0 458438 25874938 7903168</t>
  </si>
  <si>
    <t>0 0 458437 25874936 7903168</t>
  </si>
  <si>
    <t>1 31592 2148663 33461458 9430560</t>
  </si>
  <si>
    <t>1 31591 2148658 33461448 9430560</t>
  </si>
  <si>
    <t>1972 904292 12995700 14566090</t>
  </si>
  <si>
    <t>1006 900641 12992168 14565716</t>
  </si>
  <si>
    <t>2256 890695 8451346 12261601</t>
  </si>
  <si>
    <t>902 888607 8444952 12261001</t>
  </si>
  <si>
    <t>1872 1195957 2069789 8790204</t>
  </si>
  <si>
    <t>761 1184521 2064179 8789461</t>
  </si>
  <si>
    <t>1794 2065094 371339 5740191</t>
  </si>
  <si>
    <t>707 2049022 369229 5739522</t>
  </si>
  <si>
    <t>1429 1656160 805045 6610386</t>
  </si>
  <si>
    <t>705 1645191 800620 6609418</t>
  </si>
  <si>
    <t>65 114769 3286341 30206626 101520</t>
  </si>
  <si>
    <t>41 114518 3286173 30206483 101520</t>
  </si>
  <si>
    <t>80 132100 2919722 30550912 99664</t>
  </si>
  <si>
    <t>42 131922 2919422 30550579 99664</t>
  </si>
  <si>
    <t>102 120563 1783244 26593360 77700</t>
  </si>
  <si>
    <t>38 120551 1783000 26592851 77699</t>
  </si>
  <si>
    <t>86 117034 979069 24754312 62125</t>
  </si>
  <si>
    <t>37 117024 978793 24753709 62125</t>
  </si>
  <si>
    <t>81 117041 988537 24756371 62275</t>
  </si>
  <si>
    <t>37 117025 988162 24755647 62274</t>
  </si>
  <si>
    <t>4 19136 1855055 16559109 2723403</t>
  </si>
  <si>
    <t>3 19119 1855042 16559100 2723402</t>
  </si>
  <si>
    <t>5 34400 1879981 16638336 2739714</t>
  </si>
  <si>
    <t>4 34378 1879950 16638302 2739713</t>
  </si>
  <si>
    <t>10 39684 1578411 15990485 2689902</t>
  </si>
  <si>
    <t>4 39673 1578383 15990440 2689901</t>
  </si>
  <si>
    <t>5 38203 1395168 15567732 2645349</t>
  </si>
  <si>
    <t>3 38198 1395133 15567669 2645343</t>
  </si>
  <si>
    <t>5 37295 1368793 15503327 2641276</t>
  </si>
  <si>
    <t>3 37294 1368743 15503270 2641274</t>
  </si>
  <si>
    <t>0 0 123019 21294104 7005028</t>
  </si>
  <si>
    <t>0 0 123019 21294103 7005028</t>
  </si>
  <si>
    <t>2 30936 2314126 33881941 9507224</t>
  </si>
  <si>
    <t>1 30919 2314115 33881921 9507223</t>
  </si>
  <si>
    <t>5 31576 2161883 33497680 9437935</t>
  </si>
  <si>
    <t>1 31574 2161862 33497659 9437934</t>
  </si>
  <si>
    <t>2 31575 2148804 33458555 9430886</t>
  </si>
  <si>
    <t>1 31573 2148775 33458529 9430882</t>
  </si>
  <si>
    <t>istree_exp6_rebuilding_time/step10241.txt</t>
  </si>
  <si>
    <t>99 85322 1227459 1375496</t>
  </si>
  <si>
    <t>95 85300 1227436 1375493</t>
  </si>
  <si>
    <t>istree_exp6_rebuilding_time/step10242.txt</t>
  </si>
  <si>
    <t>157 144160 1371877 1996313</t>
  </si>
  <si>
    <t>146 144149 1371785 1996309</t>
  </si>
  <si>
    <t>istree_exp6_rebuilding_time/step10243.txt</t>
  </si>
  <si>
    <t>300 428167 741434 3150618</t>
  </si>
  <si>
    <t>273 427804 741232 3150590</t>
  </si>
  <si>
    <t>istree_exp6_rebuilding_time/step10244.txt</t>
  </si>
  <si>
    <t>428 1129415 202652 3144989</t>
  </si>
  <si>
    <t>387 1128520 202517 3144945</t>
  </si>
  <si>
    <t>istree_exp6_rebuilding_time/step10245.txt</t>
  </si>
  <si>
    <t>541 1139619 553353 4555440</t>
  </si>
  <si>
    <t>485 1138499 553018 4555380</t>
  </si>
  <si>
    <t>istree_exp6_rebuilding_time/step10246.txt</t>
  </si>
  <si>
    <t>4 11187 320848 2993890 9731</t>
  </si>
  <si>
    <t>4 11185 320848 2993890 9731</t>
  </si>
  <si>
    <t>istree_exp6_rebuilding_time/step10247.txt</t>
  </si>
  <si>
    <t>8 21724 474996 5079391 16424</t>
  </si>
  <si>
    <t>7 21722 474990 5079384 16424</t>
  </si>
  <si>
    <t>istree_exp6_rebuilding_time/step10248.txt</t>
  </si>
  <si>
    <t>19 47426 694490 10590963 30635</t>
  </si>
  <si>
    <t>15 47425 694475 10590950 30635</t>
  </si>
  <si>
    <t>istree_exp6_rebuilding_time/step10249.txt</t>
  </si>
  <si>
    <t>23 72614 607195 15280773 38220</t>
  </si>
  <si>
    <t>22 72614 607163 15280738 38220</t>
  </si>
  <si>
    <t>istree_exp6_rebuilding_time/step10250.txt</t>
  </si>
  <si>
    <t>30 94868 799293 19989843 50364</t>
  </si>
  <si>
    <t>29 94865 799237 19989780 50364</t>
  </si>
  <si>
    <t>istree_exp6_rebuilding_time/step10251.txt</t>
  </si>
  <si>
    <t>0 0 11 602772 200516</t>
  </si>
  <si>
    <t>istree_exp6_rebuilding_time/step10252.txt</t>
  </si>
  <si>
    <t>0 0 14904 2030564 421134</t>
  </si>
  <si>
    <t>0 0 14904 2030563 421134</t>
  </si>
  <si>
    <t>istree_exp6_rebuilding_time/step10253.txt</t>
  </si>
  <si>
    <t>1 9910 395029 4120621 747436</t>
  </si>
  <si>
    <t>1 9910 395029 4120620 747435</t>
  </si>
  <si>
    <t>istree_exp6_rebuilding_time/step10254.txt</t>
  </si>
  <si>
    <t>1 9993 445143 6826002 1195548</t>
  </si>
  <si>
    <t>1 9993 445139 6826000 1195547</t>
  </si>
  <si>
    <t>istree_exp6_rebuilding_time/step10255.txt</t>
  </si>
  <si>
    <t>2 20000 688042 8063576 1458996</t>
  </si>
  <si>
    <t>2 20000 688036 8063574 1458996</t>
  </si>
  <si>
    <t>istree_exp6_rebuilding_time/step10256.txt</t>
  </si>
  <si>
    <t>0 0 0 1334 14789</t>
  </si>
  <si>
    <t>istree_exp6_rebuilding_time/step10257.txt</t>
  </si>
  <si>
    <t>0 0 0 7956 48987</t>
  </si>
  <si>
    <t>istree_exp6_rebuilding_time/step10258.txt</t>
  </si>
  <si>
    <t>0 0 0 84913 226492</t>
  </si>
  <si>
    <t>istree_exp6_rebuilding_time/step10259.txt</t>
  </si>
  <si>
    <t>0 0 0 278325 485157</t>
  </si>
  <si>
    <t>istree_exp6_rebuilding_time/step10260.txt</t>
  </si>
  <si>
    <t>0 0 0 599573 789150</t>
  </si>
  <si>
    <t>istree_exp6_rebuilding_time/step10261.txt</t>
  </si>
  <si>
    <t>1051 698263 10038131 11248669</t>
  </si>
  <si>
    <t>777 697154 10036997 11248587</t>
  </si>
  <si>
    <t>istree_exp6_rebuilding_time/step10262.txt</t>
  </si>
  <si>
    <t>1732 1139152 10813025 15697634</t>
  </si>
  <si>
    <t>1154 1138088 10809267 15697319</t>
  </si>
  <si>
    <t>istree_exp6_rebuilding_time/step10263.txt</t>
  </si>
  <si>
    <t>2979 2761504 4780110 20317944</t>
  </si>
  <si>
    <t>1759 2747337 4772576 20317157</t>
  </si>
  <si>
    <t>istree_exp6_rebuilding_time/step10264.txt</t>
  </si>
  <si>
    <t>3766 6312317 1136405 17568465</t>
  </si>
  <si>
    <t>2164 6282860 1132142 17567251</t>
  </si>
  <si>
    <t>istree_exp6_rebuilding_time/step10265.txt</t>
  </si>
  <si>
    <t>4618 5987449 2908339 23903045</t>
  </si>
  <si>
    <t>2549 5952740 2897670 23901136</t>
  </si>
  <si>
    <t>istree_exp6_rebuilding_time/step10266.txt</t>
  </si>
  <si>
    <t>42 94872 2726901 25190705 84430</t>
  </si>
  <si>
    <t>34 94773 2726840 25190659 84430</t>
  </si>
  <si>
    <t>istree_exp6_rebuilding_time/step10267.txt</t>
  </si>
  <si>
    <t>78 180264 3958995 41739617 135543</t>
  </si>
  <si>
    <t>58 180162 3958757 41739423 135543</t>
  </si>
  <si>
    <t>istree_exp6_rebuilding_time/step10268.txt</t>
  </si>
  <si>
    <t>187 366802 5355224 79854360 232612</t>
  </si>
  <si>
    <t>116 366750 5354333 79853608 232611</t>
  </si>
  <si>
    <t>istree_exp6_rebuilding_time/step10269.txt</t>
  </si>
  <si>
    <t>276 531452 4450927 112384600 281774</t>
  </si>
  <si>
    <t>167 531373 4449485 112383105 281768</t>
  </si>
  <si>
    <t>istree_exp6_rebuilding_time/step10270.txt</t>
  </si>
  <si>
    <t>347 657959 5547036 139198715 347675</t>
  </si>
  <si>
    <t>208 657865 5544675 139196237 347670</t>
  </si>
  <si>
    <t>istree_exp6_rebuilding_time/step10271.txt</t>
  </si>
  <si>
    <t>2 12695 1332552 12276115 2026881</t>
  </si>
  <si>
    <t>2 12682 1332543 12276114 2026881</t>
  </si>
  <si>
    <t>istree_exp6_rebuilding_time/step10272.txt</t>
  </si>
  <si>
    <t>4 34412 2115970 20183619 3346393</t>
  </si>
  <si>
    <t>4 34382 2115957 20183607 3346391</t>
  </si>
  <si>
    <t>istree_exp6_rebuilding_time/step10273.txt</t>
  </si>
  <si>
    <t>11 89170 3553086 35998887 6070697</t>
  </si>
  <si>
    <t>9 89145 3553009 35998846 6070692</t>
  </si>
  <si>
    <t>istree_exp6_rebuilding_time/step10274.txt</t>
  </si>
  <si>
    <t>18 129966 4549064 50694909 8666697</t>
  </si>
  <si>
    <t>13 129963 4548904 50694820 8666691</t>
  </si>
  <si>
    <t>istree_exp6_rebuilding_time/step10275.txt</t>
  </si>
  <si>
    <t>28 159990 5516394 64125490 11065008</t>
  </si>
  <si>
    <t>16 159976 5516130 64125335 11064996</t>
  </si>
  <si>
    <t>istree_exp6_rebuilding_time/step10276.txt</t>
  </si>
  <si>
    <t>0 0 0 1020749 1102434</t>
  </si>
  <si>
    <t>istree_exp6_rebuilding_time/step10277.txt</t>
  </si>
  <si>
    <t>0 0 0 4907540 2907374</t>
  </si>
  <si>
    <t>istree_exp6_rebuilding_time/step10278.txt</t>
  </si>
  <si>
    <t>0 0 417915 25508025 7834827</t>
  </si>
  <si>
    <t>0 0 417915 25508020 7834827</t>
  </si>
  <si>
    <t>istree_exp6_rebuilding_time/step10279.txt</t>
  </si>
  <si>
    <t>1 31584 2161503 33496669 9481828</t>
  </si>
  <si>
    <t>1 31583 2161491 33496663 9481828</t>
  </si>
  <si>
    <t>istree_exp6_rebuilding_time/step10280.txt</t>
  </si>
  <si>
    <t>3 31594 2149505 37101730 11861609</t>
  </si>
  <si>
    <t>1 31592 2149488 37101717 11861609</t>
  </si>
  <si>
    <t>istree_exp6_rebuilding_time/step10281.txt</t>
  </si>
  <si>
    <t>3952 1826124 26239004 29416207</t>
  </si>
  <si>
    <t>2031 1818973 26231587 29415584</t>
  </si>
  <si>
    <t>istree_exp6_rebuilding_time/step10282.txt</t>
  </si>
  <si>
    <t>7459 2859831 27141031 39396966</t>
  </si>
  <si>
    <t>2895 2853345 27119166 39395139</t>
  </si>
  <si>
    <t>istree_exp6_rebuilding_time/step10283.txt</t>
  </si>
  <si>
    <t>9395 5530222 9580612 40669133</t>
  </si>
  <si>
    <t>3521 5475430 9549903 40665248</t>
  </si>
  <si>
    <t>istree_exp6_rebuilding_time/step10284.txt</t>
  </si>
  <si>
    <t>10417 11159440 2009961 31013346</t>
  </si>
  <si>
    <t>3822 11061944 1995621 31009004</t>
  </si>
  <si>
    <t>istree_exp6_rebuilding_time/step10285.txt</t>
  </si>
  <si>
    <t>12998 10344119 5026867 41257567</t>
  </si>
  <si>
    <t>4399 10227464 4991053 41250458</t>
  </si>
  <si>
    <t>istree_exp6_rebuilding_time/step10286.txt</t>
  </si>
  <si>
    <t>149 262977 7537272 68849613 232384</t>
  </si>
  <si>
    <t>94 262411 7536889 68849303 232384</t>
  </si>
  <si>
    <t>istree_exp6_rebuilding_time/step10287.txt</t>
  </si>
  <si>
    <t>346 475442 10390589 108818209 355149</t>
  </si>
  <si>
    <t>153 474881 10389084 108816905 355147</t>
  </si>
  <si>
    <t>istree_exp6_rebuilding_time/step10288.txt</t>
  </si>
  <si>
    <t>821 850724 12404856 184336921 535964</t>
  </si>
  <si>
    <t>269 850485 12400332 184332402 535960</t>
  </si>
  <si>
    <t>istree_exp6_rebuilding_time/step10289.txt</t>
  </si>
  <si>
    <t>1311 1199045 10029546 253535170 633989</t>
  </si>
  <si>
    <t>379 1198695 10022849 253525974 633980</t>
  </si>
  <si>
    <t>istree_exp6_rebuilding_time/step10290.txt</t>
  </si>
  <si>
    <t>1623 1452733 12253295 307645879 772377</t>
  </si>
  <si>
    <t>459 1452244 12242540 307631227 772359</t>
  </si>
  <si>
    <t>istree_exp6_rebuilding_time/step10291.txt</t>
  </si>
  <si>
    <t>10 44549 3681015 32936249 5432739</t>
  </si>
  <si>
    <t>7 44485 3680988 32936232 5432738</t>
  </si>
  <si>
    <t>istree_exp6_rebuilding_time/step10292.txt</t>
  </si>
  <si>
    <t>25 102992 5641078 50613555 8444026</t>
  </si>
  <si>
    <t>12 102819 5640979 50613462 8444020</t>
  </si>
  <si>
    <t>istree_exp6_rebuilding_time/step10293.txt</t>
  </si>
  <si>
    <t>55 218092 8730809 90564766 15282176</t>
  </si>
  <si>
    <t>22 217977 8730384 90564488 15282160</t>
  </si>
  <si>
    <t>istree_exp6_rebuilding_time/step10294.txt</t>
  </si>
  <si>
    <t>88 309924 11000587 124211052 21242080</t>
  </si>
  <si>
    <t>31 309882 10999763 124210464 21242043</t>
  </si>
  <si>
    <t>istree_exp6_rebuilding_time/step10295.txt</t>
  </si>
  <si>
    <t>151 389939 13378194 152137635 26172198</t>
  </si>
  <si>
    <t>39 389893 13376926 152136676 26172107</t>
  </si>
  <si>
    <t>istree_exp6_rebuilding_time/step10296.txt</t>
  </si>
  <si>
    <t>0 0 111735 21012551 6954085</t>
  </si>
  <si>
    <t>0 0 111735 21012550 6954085</t>
  </si>
  <si>
    <t>istree_exp6_rebuilding_time/step10297.txt</t>
  </si>
  <si>
    <t>2 26304 2534912 34442915 9625948</t>
  </si>
  <si>
    <t>1 26284 2534905 34442907 9625947</t>
  </si>
  <si>
    <t>istree_exp6_rebuilding_time/step10298.txt</t>
  </si>
  <si>
    <t>7 61924 4628829 67777000 19005822</t>
  </si>
  <si>
    <t>2 61899 4628795 67776976 19005817</t>
  </si>
  <si>
    <t>istree_exp6_rebuilding_time/step10299.txt</t>
  </si>
  <si>
    <t>4 75019 6381055 100167042 28200785</t>
  </si>
  <si>
    <t>2 75018 6380987 100166990 28200782</t>
  </si>
  <si>
    <t>istree_exp6_rebuilding_time/step10300.txt</t>
  </si>
  <si>
    <t>7 94772 6451164 108188624 32129639</t>
  </si>
  <si>
    <t>3 94762 6451075 108188557 32129639</t>
  </si>
  <si>
    <t>istree_exp6_rebuilding_time/step10301.txt</t>
  </si>
  <si>
    <t>97 81722 1176620 1320580</t>
  </si>
  <si>
    <t>91 81704 1176598 1320579</t>
  </si>
  <si>
    <t>istree_exp6_rebuilding_time/step10302.txt</t>
  </si>
  <si>
    <t>142 130314 1237177 1794245</t>
  </si>
  <si>
    <t>132 130297 1237107 1794238</t>
  </si>
  <si>
    <t>istree_exp6_rebuilding_time/step10303.txt</t>
  </si>
  <si>
    <t>243 349258 606102 2577282</t>
  </si>
  <si>
    <t>223 348971 605949 2577260</t>
  </si>
  <si>
    <t>istree_exp6_rebuilding_time/step10304.txt</t>
  </si>
  <si>
    <t>321 840699 151797 2340977</t>
  </si>
  <si>
    <t>288 840001 151681 2340946</t>
  </si>
  <si>
    <t>istree_exp6_rebuilding_time/step10305.txt</t>
  </si>
  <si>
    <t>404 849044 414446 3398891</t>
  </si>
  <si>
    <t>362 848163 414156 3398832</t>
  </si>
  <si>
    <t>istree_exp6_rebuilding_time/step10306.txt</t>
  </si>
  <si>
    <t>4 11148 320776 2927348 9840</t>
  </si>
  <si>
    <t>4 11148 320774 2927348 9840</t>
  </si>
  <si>
    <t>istree_exp6_rebuilding_time/step10307.txt</t>
  </si>
  <si>
    <t>6 18636 416619 4689474 14958</t>
  </si>
  <si>
    <t>6 18634 416615 4689473 14958</t>
  </si>
  <si>
    <t>istree_exp6_rebuilding_time/step10308.txt</t>
  </si>
  <si>
    <t>13 37951 562965 8658422 25246</t>
  </si>
  <si>
    <t>12 37951 562954 8658406 25246</t>
  </si>
  <si>
    <t>istree_exp6_rebuilding_time/step10309.txt</t>
  </si>
  <si>
    <t>16 50616 427932 11058431 27875</t>
  </si>
  <si>
    <t>16 50614 427904 11058406 27875</t>
  </si>
  <si>
    <t>istree_exp6_rebuilding_time/step10310.txt</t>
  </si>
  <si>
    <t>22 63262 532504 13387841 33596</t>
  </si>
  <si>
    <t>20 63262 532473 13387798 33596</t>
  </si>
  <si>
    <t>istree_exp6_rebuilding_time/step10311.txt</t>
  </si>
  <si>
    <t>0 0 5 604696 201201</t>
  </si>
  <si>
    <t>istree_exp6_rebuilding_time/step10312.txt</t>
  </si>
  <si>
    <t>0 0 15088 2039490 422061</t>
  </si>
  <si>
    <t>istree_exp6_rebuilding_time/step10313.txt</t>
  </si>
  <si>
    <t>1 9927 395128 3999531 673322</t>
  </si>
  <si>
    <t>1 9927 395127 3999531 673322</t>
  </si>
  <si>
    <t>istree_exp6_rebuilding_time/step10314.txt</t>
  </si>
  <si>
    <t>1 9998 351093 5294474 1001006</t>
  </si>
  <si>
    <t>1 9998 351091 5294472 1001005</t>
  </si>
  <si>
    <t>istree_exp6_rebuilding_time/step10315.txt</t>
  </si>
  <si>
    <t>1 16789 677251 7725477 1305865</t>
  </si>
  <si>
    <t>1 16788 677248 7725474 1305865</t>
  </si>
  <si>
    <t>istree_exp6_rebuilding_time/step10316.txt</t>
  </si>
  <si>
    <t>0 0 0 1334 14733</t>
  </si>
  <si>
    <t>istree_exp6_rebuilding_time/step10317.txt</t>
  </si>
  <si>
    <t>0 0 0 8132 48456</t>
  </si>
  <si>
    <t>istree_exp6_rebuilding_time/step10318.txt</t>
  </si>
  <si>
    <t>0 0 0 85697 227164</t>
  </si>
  <si>
    <t>istree_exp6_rebuilding_time/step10319.txt</t>
  </si>
  <si>
    <t>0 0 0 283574 490387</t>
  </si>
  <si>
    <t>istree_exp6_rebuilding_time/step10320.txt</t>
  </si>
  <si>
    <t>0 0 0 608383 797444</t>
  </si>
  <si>
    <t>istree_exp6_rebuilding_time/step10321.txt</t>
  </si>
  <si>
    <t>730 503341 7235173 8110564</t>
  </si>
  <si>
    <t>560 502563 7234391 8110499</t>
  </si>
  <si>
    <t>istree_exp6_rebuilding_time/step10322.txt</t>
  </si>
  <si>
    <t>938 615924 5846666 8485808</t>
  </si>
  <si>
    <t>624 615325 5844659 8485667</t>
  </si>
  <si>
    <t>istree_exp6_rebuilding_time/step10323.txt</t>
  </si>
  <si>
    <t>1169 1088159 1881417 7991617</t>
  </si>
  <si>
    <t>693 1082139 1878454 7991233</t>
  </si>
  <si>
    <t>istree_exp6_rebuilding_time/step10324.txt</t>
  </si>
  <si>
    <t>1210 1969472 354054 5477406</t>
  </si>
  <si>
    <t>675 1960154 352745 5476986</t>
  </si>
  <si>
    <t>istree_exp6_rebuilding_time/step10325.txt</t>
  </si>
  <si>
    <t>1417 1941908 940915 7747584</t>
  </si>
  <si>
    <t>826 1929803 937524 7746931</t>
  </si>
  <si>
    <t>istree_exp6_rebuilding_time/step10326.txt</t>
  </si>
  <si>
    <t>28 67168 1923544 17554685 58495</t>
  </si>
  <si>
    <t>24 67096 1923501 17554645 58495</t>
  </si>
  <si>
    <t>istree_exp6_rebuilding_time/step10327.txt</t>
  </si>
  <si>
    <t>39 96126 2105715 22033658 72062</t>
  </si>
  <si>
    <t>30 96082 2105596 22033572 72062</t>
  </si>
  <si>
    <t>istree_exp6_rebuilding_time/step10328.txt</t>
  </si>
  <si>
    <t>57 116996 1706310 25353536 74766</t>
  </si>
  <si>
    <t>37 116982 1706127 25353329 74766</t>
  </si>
  <si>
    <t>istree_exp6_rebuilding_time/step10329.txt</t>
  </si>
  <si>
    <t>54 110710 926266 23416672 58327</t>
  </si>
  <si>
    <t>35 110703 926116 23416364 58326</t>
  </si>
  <si>
    <t>istree_exp6_rebuilding_time/step10330.txt</t>
  </si>
  <si>
    <t>57 115881 984013 24625613 62004</t>
  </si>
  <si>
    <t>36 115875 983785 24625205 62003</t>
  </si>
  <si>
    <t>istree_exp6_rebuilding_time/step10331.txt</t>
  </si>
  <si>
    <t>2 12730 994665 8433984 1385881</t>
  </si>
  <si>
    <t>2 12717 994664 8433983 1385881</t>
  </si>
  <si>
    <t>istree_exp6_rebuilding_time/step10332.txt</t>
  </si>
  <si>
    <t>3 25791 1409833 12480770 2055148</t>
  </si>
  <si>
    <t>3 25768 1409824 12480763 2055148</t>
  </si>
  <si>
    <t>istree_exp6_rebuilding_time/step10333.txt</t>
  </si>
  <si>
    <t>3 29745 1185675 13235250 2330061</t>
  </si>
  <si>
    <t>3 29736 1185658 13235236 2330061</t>
  </si>
  <si>
    <t>istree_exp6_rebuilding_time/step10334.txt</t>
  </si>
  <si>
    <t>3 34428 1376223 15515557 2637585</t>
  </si>
  <si>
    <t>3 34428 1376201 15515524 2637582</t>
  </si>
  <si>
    <t>istree_exp6_rebuilding_time/step10335.txt</t>
  </si>
  <si>
    <t>3 36152 1363909 15491727 2637848</t>
  </si>
  <si>
    <t>3 36151 1363880 15491701 2637846</t>
  </si>
  <si>
    <t>istree_exp6_rebuilding_time/step10336.txt</t>
  </si>
  <si>
    <t>0 0 0 1023748 1105778</t>
  </si>
  <si>
    <t>istree_exp6_rebuilding_time/step10337.txt</t>
  </si>
  <si>
    <t>0 0 1 4891645 2899318</t>
  </si>
  <si>
    <t>0 0 1 4891644 2899318</t>
  </si>
  <si>
    <t>istree_exp6_rebuilding_time/step10338.txt</t>
  </si>
  <si>
    <t>0 0 455920 25846840 7895178</t>
  </si>
  <si>
    <t>0 0 455919 25846837 7895176</t>
  </si>
  <si>
    <t>istree_exp6_rebuilding_time/step10340.txt</t>
  </si>
  <si>
    <t>1 31599 2148497 33458648 9430975</t>
  </si>
  <si>
    <t>1 31597 2148485 33458637 9430974</t>
  </si>
  <si>
    <t>istree_exp6_rebuilding_time/step10341.txt</t>
  </si>
  <si>
    <t>1960 905558 13007425 14557168</t>
  </si>
  <si>
    <t>1007 901919 13003798 14556802</t>
  </si>
  <si>
    <t>istree_exp6_rebuilding_time/step10342.txt</t>
  </si>
  <si>
    <t>2343 896691 8506610 12348494</t>
  </si>
  <si>
    <t>908 894557 8500383 12347902</t>
  </si>
  <si>
    <t>istree_exp6_rebuilding_time/step10343.txt</t>
  </si>
  <si>
    <t>1810 1195014 2072036 8784972</t>
  </si>
  <si>
    <t>761 1183563 2066397 8784205</t>
  </si>
  <si>
    <t>istree_exp6_rebuilding_time/step10344.txt</t>
  </si>
  <si>
    <t>1678 2059222 369382 5722950</t>
  </si>
  <si>
    <t>705 2043356 367318 5722204</t>
  </si>
  <si>
    <t>istree_exp6_rebuilding_time/step10345.txt</t>
  </si>
  <si>
    <t>1337 1666001 808868 6645371</t>
  </si>
  <si>
    <t>709 1655300 804366 6644438</t>
  </si>
  <si>
    <t>istree_exp6_rebuilding_time/step10346.txt</t>
  </si>
  <si>
    <t>69 118749 3441437 31437160 106413</t>
  </si>
  <si>
    <t>42 118517 3441265 31437019 106413</t>
  </si>
  <si>
    <t>istree_exp6_rebuilding_time/step10347.txt</t>
  </si>
  <si>
    <t>96 133574 2921572 30572177 100201</t>
  </si>
  <si>
    <t>43 133408 2921229 30571812 100198</t>
  </si>
  <si>
    <t>istree_exp6_rebuilding_time/step10348.txt</t>
  </si>
  <si>
    <t>104 120156 1753665 26033045 76324</t>
  </si>
  <si>
    <t>38 120138 1753419 26032587 76320</t>
  </si>
  <si>
    <t>istree_exp6_rebuilding_time/step10349.txt</t>
  </si>
  <si>
    <t>91 116543 979916 24634349 62165</t>
  </si>
  <si>
    <t>36 116534 979674 24633755 62161</t>
  </si>
  <si>
    <t>istree_exp6_rebuilding_time/step10350.txt</t>
  </si>
  <si>
    <t>75 117043 986828 24764339 62153</t>
  </si>
  <si>
    <t>37 117030 986508 24763580 62151</t>
  </si>
  <si>
    <t>istree_exp6_rebuilding_time/step10351.txt</t>
  </si>
  <si>
    <t>5 19182 1904777 16680944 2741584</t>
  </si>
  <si>
    <t>3 19162 1904760 16680933 2741584</t>
  </si>
  <si>
    <t>istree_exp6_rebuilding_time/step10352.txt</t>
  </si>
  <si>
    <t>4 34407 1879969 16641241 2741380</t>
  </si>
  <si>
    <t>4 34385 1879936 16641209 2741380</t>
  </si>
  <si>
    <t>istree_exp6_rebuilding_time/step10353.txt</t>
  </si>
  <si>
    <t>7 38658 1574908 15974517 2680982</t>
  </si>
  <si>
    <t>3 38650 1574873 15974478 2680982</t>
  </si>
  <si>
    <t>istree_exp6_rebuilding_time/step10354.txt</t>
  </si>
  <si>
    <t>5 37169 1392871 15557056 2644153</t>
  </si>
  <si>
    <t>3 37166 1392834 15557004 2644148</t>
  </si>
  <si>
    <t>istree_exp6_rebuilding_time/step10355.txt</t>
  </si>
  <si>
    <t>11 39997 1378518 15551811 2664117</t>
  </si>
  <si>
    <t>4 39995 1378459 15551747 2664105</t>
  </si>
  <si>
    <t>istree_exp6_rebuilding_time/step10356.txt</t>
  </si>
  <si>
    <t>0 0 99171 20651905 6880908</t>
  </si>
  <si>
    <t>0 0 99171 20651902 6880908</t>
  </si>
  <si>
    <t>istree_exp6_rebuilding_time/step10358.txt</t>
  </si>
  <si>
    <t>1 30974 2311678 33889817 9501447</t>
  </si>
  <si>
    <t>1 30966 2311659 33889797 9501446</t>
  </si>
  <si>
    <t>istree_exp6_rebuilding_time/step10359.txt</t>
  </si>
  <si>
    <t>1 31578 2163601 33493155 9434149</t>
  </si>
  <si>
    <t>1 31575 2163579 33493138 9434147</t>
  </si>
  <si>
    <t>istree_exp6_rebuilding_time/step10360.txt</t>
  </si>
  <si>
    <t>1 31587 2149803 33456710 9427991</t>
  </si>
  <si>
    <t>1 31584 2149781 33456696 9427989</t>
  </si>
  <si>
    <t>problem cases:</t>
  </si>
  <si>
    <t>u=10 k=2x10^9 seq n=144</t>
  </si>
  <si>
    <t>u=40 k=2x10^9 seq n=48</t>
  </si>
  <si>
    <t>Number of times a subtree is rebuilt at depth d (w/190 threads)</t>
  </si>
  <si>
    <t>1 31585 2164039 33496864 9438146</t>
  </si>
  <si>
    <t>1 31582 2164030 33496863 9438145</t>
  </si>
  <si>
    <t>0 0 0 4873051 2892761</t>
  </si>
  <si>
    <t>6 31580 2163722 33493607 9441534</t>
  </si>
  <si>
    <t>1 31579 2163701 33493577 9441532</t>
  </si>
  <si>
    <t>1 26186 2535083 34440488 9607147</t>
  </si>
  <si>
    <t>1 26175 2535075 34440478 9607146</t>
  </si>
  <si>
    <t>2 31570 2163190 33492461 9434760</t>
  </si>
  <si>
    <t>1 31570 2163183 33492450 9434759</t>
  </si>
  <si>
    <t>0 0 0 4867053 2890606</t>
  </si>
  <si>
    <t>5 31579 2165216 33494665 9439224</t>
  </si>
  <si>
    <t>1 31579 2165191 33494654 9439223</t>
  </si>
  <si>
    <t>1 26328 2535267 34443072 9601071</t>
  </si>
  <si>
    <t>1 26317 2535260 34443058 9601071</t>
  </si>
  <si>
    <t>1 31574 2162921 33497914 9435946</t>
  </si>
  <si>
    <t>1 31571 2162912 33497910 9435946</t>
  </si>
  <si>
    <t>0 0 0 4887609 2896598</t>
  </si>
  <si>
    <t>2 31575 2162718 33494018 9435301</t>
  </si>
  <si>
    <t>1 31571 2162699 33493998 9435301</t>
  </si>
  <si>
    <t>1 26243 2534845 34444125 9600935</t>
  </si>
  <si>
    <t>1 26228 2534835 34444119 9600935</t>
  </si>
  <si>
    <t>sum_duration_all_ops_total</t>
  </si>
  <si>
    <t>sum_duration_wastedWorkBuilding_total</t>
  </si>
  <si>
    <t>Average of adj_duration_wastedWorkBuilding</t>
  </si>
  <si>
    <t>useless help build</t>
  </si>
  <si>
    <t>u=40%, k=2x10^9, collaborative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</si>
</sst>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%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pivotButton="1"/>
    <xf numFmtId="9" fontId="1" fillId="0" borderId="0" xfId="1" applyFont="1"/>
    <xf numFmtId="0" fontId="1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164" fontId="0" fillId="0" borderId="0" xfId="2" applyNumberFormat="1" applyFont="1"/>
    <xf numFmtId="164" fontId="6" fillId="5" borderId="0" xfId="2" applyNumberFormat="1" applyFont="1" applyFill="1" applyBorder="1"/>
    <xf numFmtId="0" fontId="0" fillId="5" borderId="0" xfId="0" applyFill="1"/>
    <xf numFmtId="164" fontId="0" fillId="5" borderId="0" xfId="2" applyNumberFormat="1" applyFont="1" applyFill="1"/>
    <xf numFmtId="164" fontId="6" fillId="5" borderId="1" xfId="2" applyNumberFormat="1" applyFont="1" applyFill="1" applyBorder="1"/>
    <xf numFmtId="164" fontId="6" fillId="5" borderId="2" xfId="2" applyNumberFormat="1" applyFont="1" applyFill="1" applyBorder="1"/>
    <xf numFmtId="0" fontId="7" fillId="3" borderId="4" xfId="0" applyFont="1" applyFill="1" applyBorder="1"/>
    <xf numFmtId="0" fontId="6" fillId="4" borderId="3" xfId="0" applyFont="1" applyFill="1" applyBorder="1" applyAlignment="1">
      <alignment horizontal="right"/>
    </xf>
    <xf numFmtId="0" fontId="0" fillId="2" borderId="8" xfId="0" applyFill="1" applyBorder="1"/>
    <xf numFmtId="0" fontId="6" fillId="4" borderId="9" xfId="0" applyFont="1" applyFill="1" applyBorder="1" applyAlignment="1">
      <alignment horizontal="right"/>
    </xf>
    <xf numFmtId="0" fontId="6" fillId="4" borderId="10" xfId="0" applyFont="1" applyFill="1" applyBorder="1"/>
    <xf numFmtId="164" fontId="6" fillId="5" borderId="11" xfId="2" applyNumberFormat="1" applyFont="1" applyFill="1" applyBorder="1"/>
    <xf numFmtId="164" fontId="6" fillId="5" borderId="12" xfId="2" applyNumberFormat="1" applyFont="1" applyFill="1" applyBorder="1"/>
    <xf numFmtId="0" fontId="6" fillId="4" borderId="13" xfId="0" applyFont="1" applyFill="1" applyBorder="1"/>
    <xf numFmtId="164" fontId="6" fillId="5" borderId="14" xfId="2" applyNumberFormat="1" applyFont="1" applyFill="1" applyBorder="1"/>
    <xf numFmtId="164" fontId="6" fillId="5" borderId="15" xfId="2" applyNumberFormat="1" applyFont="1" applyFill="1" applyBorder="1"/>
    <xf numFmtId="164" fontId="6" fillId="5" borderId="16" xfId="2" applyNumberFormat="1" applyFont="1" applyFill="1" applyBorder="1"/>
    <xf numFmtId="165" fontId="0" fillId="0" borderId="0" xfId="0" applyNumberFormat="1"/>
    <xf numFmtId="2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1" fillId="2" borderId="0" xfId="0" applyFont="1" applyFill="1"/>
    <xf numFmtId="11" fontId="1" fillId="2" borderId="0" xfId="0" applyNumberFormat="1" applyFont="1" applyFill="1"/>
    <xf numFmtId="166" fontId="0" fillId="0" borderId="0" xfId="1" applyNumberFormat="1" applyFont="1"/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29">
    <dxf>
      <numFmt numFmtId="1" formatCode="0"/>
    </dxf>
    <dxf>
      <numFmt numFmtId="164" formatCode="_-* #,##0_-;\-* #,##0_-;_-* &quot;-&quot;??_-;_-@_-"/>
    </dxf>
    <dxf>
      <numFmt numFmtId="167" formatCode="_-* #,##0.0_-;\-* #,##0.0_-;_-* &quot;-&quot;??_-;_-@_-"/>
    </dxf>
    <dxf>
      <numFmt numFmtId="35" formatCode="_-* #,##0.00_-;\-* #,##0.00_-;_-* &quot;-&quot;??_-;_-@_-"/>
    </dxf>
    <dxf>
      <numFmt numFmtId="1" formatCode="0"/>
    </dxf>
    <dxf>
      <numFmt numFmtId="165" formatCode="0.0"/>
    </dxf>
    <dxf>
      <numFmt numFmtId="2" formatCode="0.0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2" formatCode="0.0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65" formatCode="0.0"/>
    </dxf>
    <dxf>
      <numFmt numFmtId="1" formatCode="0"/>
    </dxf>
    <dxf>
      <numFmt numFmtId="165" formatCode="0.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000000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time_breakdown!$C$2</c:f>
          <c:strCache>
            <c:ptCount val="1"/>
            <c:pt idx="0">
              <c:v>u=40%, k=2x10^9, collaborative</c:v>
            </c:pt>
          </c:strCache>
        </c:strRef>
      </c:tx>
      <c:layout>
        <c:manualLayout>
          <c:xMode val="edge"/>
          <c:yMode val="edge"/>
          <c:x val="0.25226490654656081"/>
          <c:y val="6.878338973210223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935522201590433"/>
          <c:y val="0.11066827666737437"/>
          <c:w val="0.72518292741640666"/>
          <c:h val="0.6522956320922715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time_breakdown!$B$20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A310F3EF-3E5A-4769-AF62-4A40D831365B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6D-4C90-87C4-3EF5C7D59E54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02D5D649-8402-47C2-95FE-CA6603A1FCED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6D-4C90-87C4-3EF5C7D59E54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B14E5266-1E07-4A88-AB76-71802E0DA58D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6D-4C90-87C4-3EF5C7D59E54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CCCD398F-2A2A-4F3B-B270-4BF31591E974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6D-4C90-87C4-3EF5C7D59E54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7D84C8EF-A369-454D-9C1E-0BEF06D688DA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6D-4C90-87C4-3EF5C7D59E54}"/>
                </c:ext>
              </c:extLst>
            </c:dLbl>
            <c:spPr>
              <a:solidFill>
                <a:sysClr val="window" lastClr="2D3640">
                  <a:alpha val="60000"/>
                </a:sysClr>
              </a:solidFill>
              <a:ln w="12700">
                <a:solidFill>
                  <a:srgbClr val="000000"/>
                </a:solidFill>
              </a:ln>
              <a:effectLst/>
            </c:spPr>
            <c:txPr>
              <a:bodyPr rot="-5400000" spcFirstLastPara="1" vertOverflow="clip" horzOverflow="clip" vert="horz" wrap="none" lIns="38100" tIns="0" rIns="39600" bIns="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layout/>
                <c15:showDataLabelsRange val="1"/>
                <c15:showLeaderLines val="0"/>
              </c:ext>
            </c:extLst>
          </c:dLbls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time_breakdown!$B$21:$B$25</c:f>
              <c:numCache>
                <c:formatCode>0.00</c:formatCode>
                <c:ptCount val="5"/>
                <c:pt idx="0">
                  <c:v>0.95489780400984536</c:v>
                </c:pt>
                <c:pt idx="1">
                  <c:v>0.77222049522242941</c:v>
                </c:pt>
                <c:pt idx="2">
                  <c:v>0.6836716056048745</c:v>
                </c:pt>
                <c:pt idx="3">
                  <c:v>0.71355143200991689</c:v>
                </c:pt>
                <c:pt idx="4">
                  <c:v>0.6510780912540578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time_breakdown!$G$36:$G$40</c15:f>
                <c15:dlblRangeCache>
                  <c:ptCount val="5"/>
                  <c:pt idx="0">
                    <c:v>f=0</c:v>
                  </c:pt>
                  <c:pt idx="1">
                    <c:v>f=1</c:v>
                  </c:pt>
                  <c:pt idx="2">
                    <c:v>f=2</c:v>
                  </c:pt>
                  <c:pt idx="3">
                    <c:v>f=2</c:v>
                  </c:pt>
                  <c:pt idx="4">
                    <c:v>f=3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76A-462D-BD1F-D713FBF91ADF}"/>
            </c:ext>
          </c:extLst>
        </c:ser>
        <c:ser>
          <c:idx val="0"/>
          <c:order val="1"/>
          <c:tx>
            <c:strRef>
              <c:f>time_breakdown!$C$20</c:f>
              <c:strCache>
                <c:ptCount val="1"/>
                <c:pt idx="0">
                  <c:v>useless help build</c:v>
                </c:pt>
              </c:strCache>
            </c:strRef>
          </c:tx>
          <c:spPr>
            <a:solidFill>
              <a:schemeClr val="accent1"/>
            </a:solidFill>
            <a:ln w="76200"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time_breakdown!$C$21:$C$25</c:f>
              <c:numCache>
                <c:formatCode>0.00</c:formatCode>
                <c:ptCount val="5"/>
                <c:pt idx="0">
                  <c:v>1.6107916031130581E-9</c:v>
                </c:pt>
                <c:pt idx="1">
                  <c:v>9.0023034429302835E-5</c:v>
                </c:pt>
                <c:pt idx="2">
                  <c:v>8.6452203726088215E-4</c:v>
                </c:pt>
                <c:pt idx="3">
                  <c:v>5.3373327057670058E-4</c:v>
                </c:pt>
                <c:pt idx="4">
                  <c:v>9.1148283760842579E-4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6A-462D-BD1F-D713FBF91ADF}"/>
            </c:ext>
          </c:extLst>
        </c:ser>
        <c:ser>
          <c:idx val="1"/>
          <c:order val="2"/>
          <c:tx>
            <c:strRef>
              <c:f>time_breakdown!$D$20</c:f>
              <c:strCache>
                <c:ptCount val="1"/>
                <c:pt idx="0">
                  <c:v>free garbage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time_breakdown!$D$21:$D$25</c:f>
              <c:numCache>
                <c:formatCode>0.00</c:formatCode>
                <c:ptCount val="5"/>
                <c:pt idx="0">
                  <c:v>1.5055284580358978E-2</c:v>
                </c:pt>
                <c:pt idx="1">
                  <c:v>4.3011617315411102E-2</c:v>
                </c:pt>
                <c:pt idx="2">
                  <c:v>6.410873594010133E-2</c:v>
                </c:pt>
                <c:pt idx="3">
                  <c:v>6.491150678493747E-2</c:v>
                </c:pt>
                <c:pt idx="4">
                  <c:v>7.5906160719642998E-2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9-4BC0-A99B-AD1D2879479C}"/>
            </c:ext>
          </c:extLst>
        </c:ser>
        <c:ser>
          <c:idx val="3"/>
          <c:order val="3"/>
          <c:tx>
            <c:strRef>
              <c:f>time_breakdown!$E$20</c:f>
              <c:strCache>
                <c:ptCount val="1"/>
                <c:pt idx="0">
                  <c:v>locate garbage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time_breakdown!$E$21:$E$25</c:f>
              <c:numCache>
                <c:formatCode>0.00</c:formatCode>
                <c:ptCount val="5"/>
                <c:pt idx="0">
                  <c:v>2.6375917931959008E-3</c:v>
                </c:pt>
                <c:pt idx="1">
                  <c:v>3.1026365573599394E-2</c:v>
                </c:pt>
                <c:pt idx="2">
                  <c:v>3.3777488214668118E-2</c:v>
                </c:pt>
                <c:pt idx="3">
                  <c:v>2.9001483940919198E-2</c:v>
                </c:pt>
                <c:pt idx="4">
                  <c:v>4.2092571656498573E-2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49-4BC0-A99B-AD1D2879479C}"/>
            </c:ext>
          </c:extLst>
        </c:ser>
        <c:ser>
          <c:idx val="4"/>
          <c:order val="4"/>
          <c:tx>
            <c:strRef>
              <c:f>time_breakdown!$F$20</c:f>
              <c:strCache>
                <c:ptCount val="1"/>
                <c:pt idx="0">
                  <c:v>build and replace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time_breakdown!$F$21:$F$25</c:f>
              <c:numCache>
                <c:formatCode>0.00</c:formatCode>
                <c:ptCount val="5"/>
                <c:pt idx="0">
                  <c:v>1.5386031521382879E-2</c:v>
                </c:pt>
                <c:pt idx="1">
                  <c:v>9.2123402509800265E-2</c:v>
                </c:pt>
                <c:pt idx="2">
                  <c:v>0.15452081114584482</c:v>
                </c:pt>
                <c:pt idx="3">
                  <c:v>0.13710502785780979</c:v>
                </c:pt>
                <c:pt idx="4">
                  <c:v>0.17648197768131418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49-4BC0-A99B-AD1D2879479C}"/>
            </c:ext>
          </c:extLst>
        </c:ser>
        <c:ser>
          <c:idx val="5"/>
          <c:order val="5"/>
          <c:tx>
            <c:strRef>
              <c:f>time_breakdown!$G$20</c:f>
              <c:strCache>
                <c:ptCount val="1"/>
                <c:pt idx="0">
                  <c:v>mark and count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time_breakdown!$G$21:$G$25</c:f>
              <c:numCache>
                <c:formatCode>0.00</c:formatCode>
                <c:ptCount val="5"/>
                <c:pt idx="0">
                  <c:v>1.2023286484425256E-2</c:v>
                </c:pt>
                <c:pt idx="1">
                  <c:v>6.1528096344330464E-2</c:v>
                </c:pt>
                <c:pt idx="2">
                  <c:v>6.305683705725032E-2</c:v>
                </c:pt>
                <c:pt idx="3">
                  <c:v>5.4896816135839875E-2</c:v>
                </c:pt>
                <c:pt idx="4">
                  <c:v>5.3529715850878054E-2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3-4110-AFD6-A490F8957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68041416"/>
        <c:axId val="568046120"/>
      </c:barChart>
      <c:catAx>
        <c:axId val="568041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>
                    <a:solidFill>
                      <a:srgbClr val="000000"/>
                    </a:solidFill>
                  </a:rPr>
                  <a:t>number of threads</a:t>
                </a:r>
              </a:p>
            </c:rich>
          </c:tx>
          <c:layout>
            <c:manualLayout>
              <c:xMode val="edge"/>
              <c:yMode val="edge"/>
              <c:x val="0.37805356262761974"/>
              <c:y val="0.893162199898612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46120"/>
        <c:crossesAt val="0"/>
        <c:auto val="1"/>
        <c:lblAlgn val="ctr"/>
        <c:lblOffset val="100"/>
        <c:noMultiLvlLbl val="1"/>
      </c:catAx>
      <c:valAx>
        <c:axId val="568046120"/>
        <c:scaling>
          <c:orientation val="minMax"/>
          <c:max val="1"/>
          <c:min val="0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60000"/>
                  <a:lumOff val="40000"/>
                </a:schemeClr>
              </a:solidFill>
              <a:round/>
            </a:ln>
            <a:effectLst/>
          </c:spPr>
        </c:majorGridlines>
        <c:minorGridlines>
          <c:spPr>
            <a:ln w="12700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 b="1">
                    <a:solidFill>
                      <a:schemeClr val="bg1"/>
                    </a:solidFill>
                  </a:rPr>
                  <a:t>fraction of running time</a:t>
                </a:r>
              </a:p>
            </c:rich>
          </c:tx>
          <c:layout>
            <c:manualLayout>
              <c:xMode val="edge"/>
              <c:yMode val="edge"/>
              <c:x val="4.9617366321706247E-4"/>
              <c:y val="0.10734825950943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41416"/>
        <c:crosses val="autoZero"/>
        <c:crossBetween val="between"/>
        <c:majorUnit val="0.2"/>
        <c:minorUnit val="5.000000000000001E-2"/>
      </c:valAx>
      <c:spPr>
        <a:solidFill>
          <a:srgbClr val="FFFFFF"/>
        </a:solidFill>
        <a:ln w="38100"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rgbClr val="FFFF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5.6224898709406152E-3"/>
          <c:y val="6.8783389732102237E-3"/>
          <c:w val="0"/>
          <c:h val="0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time_breakdown!$B$20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time_breakdown!$B$21:$B$25</c:f>
              <c:numCache>
                <c:formatCode>0.00</c:formatCode>
                <c:ptCount val="5"/>
                <c:pt idx="0">
                  <c:v>0.95489780400984536</c:v>
                </c:pt>
                <c:pt idx="1">
                  <c:v>0.77222049522242941</c:v>
                </c:pt>
                <c:pt idx="2">
                  <c:v>0.6836716056048745</c:v>
                </c:pt>
                <c:pt idx="3">
                  <c:v>0.71355143200991689</c:v>
                </c:pt>
                <c:pt idx="4">
                  <c:v>0.6510780912540578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F-4A0F-91E0-178D656A1878}"/>
            </c:ext>
          </c:extLst>
        </c:ser>
        <c:ser>
          <c:idx val="0"/>
          <c:order val="1"/>
          <c:tx>
            <c:strRef>
              <c:f>time_breakdown!$C$20</c:f>
              <c:strCache>
                <c:ptCount val="1"/>
                <c:pt idx="0">
                  <c:v>useless help build</c:v>
                </c:pt>
              </c:strCache>
            </c:strRef>
          </c:tx>
          <c:spPr>
            <a:solidFill>
              <a:schemeClr val="accent1"/>
            </a:solidFill>
            <a:ln w="76200"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time_breakdown!$C$21:$C$25</c:f>
              <c:numCache>
                <c:formatCode>0.00</c:formatCode>
                <c:ptCount val="5"/>
                <c:pt idx="0">
                  <c:v>1.6107916031130581E-9</c:v>
                </c:pt>
                <c:pt idx="1">
                  <c:v>9.0023034429302835E-5</c:v>
                </c:pt>
                <c:pt idx="2">
                  <c:v>8.6452203726088215E-4</c:v>
                </c:pt>
                <c:pt idx="3">
                  <c:v>5.3373327057670058E-4</c:v>
                </c:pt>
                <c:pt idx="4">
                  <c:v>9.1148283760842579E-4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F-4A0F-91E0-178D656A1878}"/>
            </c:ext>
          </c:extLst>
        </c:ser>
        <c:ser>
          <c:idx val="1"/>
          <c:order val="2"/>
          <c:tx>
            <c:strRef>
              <c:f>time_breakdown!$D$20</c:f>
              <c:strCache>
                <c:ptCount val="1"/>
                <c:pt idx="0">
                  <c:v>free garbage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time_breakdown!$D$21:$D$25</c:f>
              <c:numCache>
                <c:formatCode>0.00</c:formatCode>
                <c:ptCount val="5"/>
                <c:pt idx="0">
                  <c:v>1.5055284580358978E-2</c:v>
                </c:pt>
                <c:pt idx="1">
                  <c:v>4.3011617315411102E-2</c:v>
                </c:pt>
                <c:pt idx="2">
                  <c:v>6.410873594010133E-2</c:v>
                </c:pt>
                <c:pt idx="3">
                  <c:v>6.491150678493747E-2</c:v>
                </c:pt>
                <c:pt idx="4">
                  <c:v>7.5906160719642998E-2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F-4A0F-91E0-178D656A1878}"/>
            </c:ext>
          </c:extLst>
        </c:ser>
        <c:ser>
          <c:idx val="3"/>
          <c:order val="3"/>
          <c:tx>
            <c:strRef>
              <c:f>time_breakdown!$E$20</c:f>
              <c:strCache>
                <c:ptCount val="1"/>
                <c:pt idx="0">
                  <c:v>locate garbage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time_breakdown!$E$21:$E$25</c:f>
              <c:numCache>
                <c:formatCode>0.00</c:formatCode>
                <c:ptCount val="5"/>
                <c:pt idx="0">
                  <c:v>2.6375917931959008E-3</c:v>
                </c:pt>
                <c:pt idx="1">
                  <c:v>3.1026365573599394E-2</c:v>
                </c:pt>
                <c:pt idx="2">
                  <c:v>3.3777488214668118E-2</c:v>
                </c:pt>
                <c:pt idx="3">
                  <c:v>2.9001483940919198E-2</c:v>
                </c:pt>
                <c:pt idx="4">
                  <c:v>4.2092571656498573E-2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F-4A0F-91E0-178D656A1878}"/>
            </c:ext>
          </c:extLst>
        </c:ser>
        <c:ser>
          <c:idx val="4"/>
          <c:order val="4"/>
          <c:tx>
            <c:strRef>
              <c:f>time_breakdown!$F$20</c:f>
              <c:strCache>
                <c:ptCount val="1"/>
                <c:pt idx="0">
                  <c:v>build and replace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time_breakdown!$F$21:$F$25</c:f>
              <c:numCache>
                <c:formatCode>0.00</c:formatCode>
                <c:ptCount val="5"/>
                <c:pt idx="0">
                  <c:v>1.5386031521382879E-2</c:v>
                </c:pt>
                <c:pt idx="1">
                  <c:v>9.2123402509800265E-2</c:v>
                </c:pt>
                <c:pt idx="2">
                  <c:v>0.15452081114584482</c:v>
                </c:pt>
                <c:pt idx="3">
                  <c:v>0.13710502785780979</c:v>
                </c:pt>
                <c:pt idx="4">
                  <c:v>0.17648197768131418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F-4A0F-91E0-178D656A1878}"/>
            </c:ext>
          </c:extLst>
        </c:ser>
        <c:ser>
          <c:idx val="5"/>
          <c:order val="5"/>
          <c:tx>
            <c:strRef>
              <c:f>time_breakdown!$G$20</c:f>
              <c:strCache>
                <c:ptCount val="1"/>
                <c:pt idx="0">
                  <c:v>mark and count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time_breakdown!$G$21:$G$25</c:f>
              <c:numCache>
                <c:formatCode>0.00</c:formatCode>
                <c:ptCount val="5"/>
                <c:pt idx="0">
                  <c:v>1.2023286484425256E-2</c:v>
                </c:pt>
                <c:pt idx="1">
                  <c:v>6.1528096344330464E-2</c:v>
                </c:pt>
                <c:pt idx="2">
                  <c:v>6.305683705725032E-2</c:v>
                </c:pt>
                <c:pt idx="3">
                  <c:v>5.4896816135839875E-2</c:v>
                </c:pt>
                <c:pt idx="4">
                  <c:v>5.3529715850878054E-2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8-4A5B-8AFA-66C6161F5D22}"/>
            </c:ext>
          </c:extLst>
        </c:ser>
        <c:ser>
          <c:idx val="6"/>
          <c:order val="6"/>
          <c:tx>
            <c:strRef>
              <c:f>time_breakdown!$H$20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time_breakdown!$H$21:$H$25</c:f>
            </c:numRef>
          </c:val>
          <c:extLst>
            <c:ext xmlns:c16="http://schemas.microsoft.com/office/drawing/2014/chart" uri="{C3380CC4-5D6E-409C-BE32-E72D297353CC}">
              <c16:uniqueId val="{00000001-E6B8-4A5B-8AFA-66C6161F5D22}"/>
            </c:ext>
          </c:extLst>
        </c:ser>
        <c:ser>
          <c:idx val="7"/>
          <c:order val="7"/>
          <c:tx>
            <c:strRef>
              <c:f>time_breakdown!$I$20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time_breakdown!$I$21:$I$25</c:f>
            </c:numRef>
          </c:val>
          <c:extLst>
            <c:ext xmlns:c16="http://schemas.microsoft.com/office/drawing/2014/chart" uri="{C3380CC4-5D6E-409C-BE32-E72D297353CC}">
              <c16:uniqueId val="{00000002-E6B8-4A5B-8AFA-66C6161F5D22}"/>
            </c:ext>
          </c:extLst>
        </c:ser>
        <c:ser>
          <c:idx val="8"/>
          <c:order val="8"/>
          <c:tx>
            <c:strRef>
              <c:f>time_breakdown!$J$20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time_breakdown!$J$21:$J$25</c:f>
            </c:numRef>
          </c:val>
          <c:extLst>
            <c:ext xmlns:c16="http://schemas.microsoft.com/office/drawing/2014/chart" uri="{C3380CC4-5D6E-409C-BE32-E72D297353CC}">
              <c16:uniqueId val="{00000003-E6B8-4A5B-8AFA-66C6161F5D22}"/>
            </c:ext>
          </c:extLst>
        </c:ser>
        <c:ser>
          <c:idx val="9"/>
          <c:order val="9"/>
          <c:tx>
            <c:strRef>
              <c:f>time_breakdown!$K$20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time_breakdown!$K$21:$K$25</c:f>
            </c:numRef>
          </c:val>
          <c:extLst>
            <c:ext xmlns:c16="http://schemas.microsoft.com/office/drawing/2014/chart" uri="{C3380CC4-5D6E-409C-BE32-E72D297353CC}">
              <c16:uniqueId val="{00000004-E6B8-4A5B-8AFA-66C6161F5D22}"/>
            </c:ext>
          </c:extLst>
        </c:ser>
        <c:ser>
          <c:idx val="10"/>
          <c:order val="10"/>
          <c:tx>
            <c:strRef>
              <c:f>time_breakdown!$L$20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time_breakdown!$L$21:$L$25</c:f>
            </c:numRef>
          </c:val>
          <c:extLst>
            <c:ext xmlns:c16="http://schemas.microsoft.com/office/drawing/2014/chart" uri="{C3380CC4-5D6E-409C-BE32-E72D297353CC}">
              <c16:uniqueId val="{00000005-E6B8-4A5B-8AFA-66C6161F5D22}"/>
            </c:ext>
          </c:extLst>
        </c:ser>
        <c:ser>
          <c:idx val="11"/>
          <c:order val="11"/>
          <c:tx>
            <c:strRef>
              <c:f>time_breakdown!$M$20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time_breakdown!$M$21:$M$25</c:f>
            </c:numRef>
          </c:val>
          <c:extLst>
            <c:ext xmlns:c16="http://schemas.microsoft.com/office/drawing/2014/chart" uri="{C3380CC4-5D6E-409C-BE32-E72D297353CC}">
              <c16:uniqueId val="{00000006-E6B8-4A5B-8AFA-66C6161F5D22}"/>
            </c:ext>
          </c:extLst>
        </c:ser>
        <c:ser>
          <c:idx val="12"/>
          <c:order val="12"/>
          <c:tx>
            <c:strRef>
              <c:f>time_breakdown!$N$20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time_breakdown!$N$21:$N$25</c:f>
            </c:numRef>
          </c:val>
          <c:extLst>
            <c:ext xmlns:c16="http://schemas.microsoft.com/office/drawing/2014/chart" uri="{C3380CC4-5D6E-409C-BE32-E72D297353CC}">
              <c16:uniqueId val="{00000007-E6B8-4A5B-8AFA-66C6161F5D22}"/>
            </c:ext>
          </c:extLst>
        </c:ser>
        <c:ser>
          <c:idx val="13"/>
          <c:order val="13"/>
          <c:tx>
            <c:strRef>
              <c:f>time_breakdown!$O$20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time_breakdown!$O$21:$O$25</c:f>
            </c:numRef>
          </c:val>
          <c:extLst>
            <c:ext xmlns:c16="http://schemas.microsoft.com/office/drawing/2014/chart" uri="{C3380CC4-5D6E-409C-BE32-E72D297353CC}">
              <c16:uniqueId val="{00000008-E6B8-4A5B-8AFA-66C6161F5D22}"/>
            </c:ext>
          </c:extLst>
        </c:ser>
        <c:ser>
          <c:idx val="14"/>
          <c:order val="14"/>
          <c:tx>
            <c:strRef>
              <c:f>time_breakdown!$P$20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time_breakdown!$P$21:$P$25</c:f>
            </c:numRef>
          </c:val>
          <c:extLst>
            <c:ext xmlns:c16="http://schemas.microsoft.com/office/drawing/2014/chart" uri="{C3380CC4-5D6E-409C-BE32-E72D297353CC}">
              <c16:uniqueId val="{00000009-E6B8-4A5B-8AFA-66C6161F5D22}"/>
            </c:ext>
          </c:extLst>
        </c:ser>
        <c:ser>
          <c:idx val="15"/>
          <c:order val="15"/>
          <c:tx>
            <c:strRef>
              <c:f>time_breakdown!$Q$20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time_breakdown!$Q$21:$Q$25</c:f>
            </c:numRef>
          </c:val>
          <c:extLst>
            <c:ext xmlns:c16="http://schemas.microsoft.com/office/drawing/2014/chart" uri="{C3380CC4-5D6E-409C-BE32-E72D297353CC}">
              <c16:uniqueId val="{0000000A-E6B8-4A5B-8AFA-66C6161F5D22}"/>
            </c:ext>
          </c:extLst>
        </c:ser>
        <c:ser>
          <c:idx val="16"/>
          <c:order val="16"/>
          <c:tx>
            <c:strRef>
              <c:f>time_breakdown!$R$20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time_breakdown!$R$21:$R$25</c:f>
            </c:numRef>
          </c:val>
          <c:extLst>
            <c:ext xmlns:c16="http://schemas.microsoft.com/office/drawing/2014/chart" uri="{C3380CC4-5D6E-409C-BE32-E72D297353CC}">
              <c16:uniqueId val="{0000000B-E6B8-4A5B-8AFA-66C6161F5D22}"/>
            </c:ext>
          </c:extLst>
        </c:ser>
        <c:ser>
          <c:idx val="17"/>
          <c:order val="17"/>
          <c:tx>
            <c:strRef>
              <c:f>time_breakdown!$S$20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time_breakdown!$S$21:$S$25</c:f>
            </c:numRef>
          </c:val>
          <c:extLst>
            <c:ext xmlns:c16="http://schemas.microsoft.com/office/drawing/2014/chart" uri="{C3380CC4-5D6E-409C-BE32-E72D297353CC}">
              <c16:uniqueId val="{0000000C-E6B8-4A5B-8AFA-66C6161F5D22}"/>
            </c:ext>
          </c:extLst>
        </c:ser>
        <c:ser>
          <c:idx val="18"/>
          <c:order val="18"/>
          <c:tx>
            <c:strRef>
              <c:f>time_breakdown!$T$20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time_breakdown!$T$21:$T$25</c:f>
            </c:numRef>
          </c:val>
          <c:extLst>
            <c:ext xmlns:c16="http://schemas.microsoft.com/office/drawing/2014/chart" uri="{C3380CC4-5D6E-409C-BE32-E72D297353CC}">
              <c16:uniqueId val="{0000000D-E6B8-4A5B-8AFA-66C6161F5D22}"/>
            </c:ext>
          </c:extLst>
        </c:ser>
        <c:ser>
          <c:idx val="19"/>
          <c:order val="19"/>
          <c:tx>
            <c:strRef>
              <c:f>time_breakdown!$U$20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time_breakdown!$U$21:$U$25</c:f>
            </c:numRef>
          </c:val>
          <c:extLst>
            <c:ext xmlns:c16="http://schemas.microsoft.com/office/drawing/2014/chart" uri="{C3380CC4-5D6E-409C-BE32-E72D297353CC}">
              <c16:uniqueId val="{0000000E-E6B8-4A5B-8AFA-66C6161F5D22}"/>
            </c:ext>
          </c:extLst>
        </c:ser>
        <c:ser>
          <c:idx val="20"/>
          <c:order val="20"/>
          <c:tx>
            <c:strRef>
              <c:f>time_breakdown!$V$20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time_breakdown!$V$21:$V$25</c:f>
            </c:numRef>
          </c:val>
          <c:extLst>
            <c:ext xmlns:c16="http://schemas.microsoft.com/office/drawing/2014/chart" uri="{C3380CC4-5D6E-409C-BE32-E72D297353CC}">
              <c16:uniqueId val="{0000000F-E6B8-4A5B-8AFA-66C6161F5D22}"/>
            </c:ext>
          </c:extLst>
        </c:ser>
        <c:ser>
          <c:idx val="21"/>
          <c:order val="21"/>
          <c:tx>
            <c:strRef>
              <c:f>time_breakdown!$W$20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time_breakdown!$W$21:$W$25</c:f>
            </c:numRef>
          </c:val>
          <c:extLst>
            <c:ext xmlns:c16="http://schemas.microsoft.com/office/drawing/2014/chart" uri="{C3380CC4-5D6E-409C-BE32-E72D297353CC}">
              <c16:uniqueId val="{00000010-E6B8-4A5B-8AFA-66C6161F5D22}"/>
            </c:ext>
          </c:extLst>
        </c:ser>
        <c:ser>
          <c:idx val="22"/>
          <c:order val="22"/>
          <c:tx>
            <c:strRef>
              <c:f>time_breakdown!$X$20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time_breakdown!$X$21:$X$25</c:f>
            </c:numRef>
          </c:val>
          <c:extLst>
            <c:ext xmlns:c16="http://schemas.microsoft.com/office/drawing/2014/chart" uri="{C3380CC4-5D6E-409C-BE32-E72D297353CC}">
              <c16:uniqueId val="{00000011-E6B8-4A5B-8AFA-66C6161F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68041416"/>
        <c:axId val="568046120"/>
      </c:barChart>
      <c:catAx>
        <c:axId val="568041416"/>
        <c:scaling>
          <c:orientation val="minMax"/>
        </c:scaling>
        <c:delete val="1"/>
        <c:axPos val="b"/>
        <c:majorGridlines>
          <c:spPr>
            <a:ln w="38100" cap="flat" cmpd="sng" algn="ctr">
              <a:solidFill>
                <a:schemeClr val="tx1">
                  <a:lumMod val="60000"/>
                  <a:lumOff val="40000"/>
                </a:schemeClr>
              </a:solidFill>
              <a:round/>
            </a:ln>
            <a:effectLst/>
          </c:spPr>
        </c:majorGridlines>
        <c:minorGridlines>
          <c:spPr>
            <a:ln w="38100" cap="flat" cmpd="sng" algn="ctr">
              <a:solidFill>
                <a:schemeClr val="tx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568046120"/>
        <c:crossesAt val="0"/>
        <c:auto val="1"/>
        <c:lblAlgn val="ctr"/>
        <c:lblOffset val="100"/>
        <c:noMultiLvlLbl val="1"/>
      </c:catAx>
      <c:valAx>
        <c:axId val="568046120"/>
        <c:scaling>
          <c:orientation val="minMax"/>
          <c:max val="32"/>
          <c:min val="0"/>
        </c:scaling>
        <c:delete val="1"/>
        <c:axPos val="l"/>
        <c:majorGridlines>
          <c:spPr>
            <a:ln w="38100" cap="flat" cmpd="sng" algn="ctr">
              <a:solidFill>
                <a:schemeClr val="tx1">
                  <a:lumMod val="60000"/>
                  <a:lumOff val="4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crossAx val="568041416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1.4626929402664341E-2"/>
          <c:y val="2.2957178190518904E-2"/>
          <c:w val="0.96641586801260393"/>
          <c:h val="0.96334251811042604"/>
        </c:manualLayout>
      </c:layout>
      <c:overlay val="1"/>
      <c:spPr>
        <a:solidFill>
          <a:srgbClr val="FFFFFF"/>
        </a:solidFill>
        <a:ln w="12700">
          <a:solidFill>
            <a:srgbClr val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rgbClr val="FFFF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1</xdr:row>
      <xdr:rowOff>19051</xdr:rowOff>
    </xdr:from>
    <xdr:to>
      <xdr:col>10</xdr:col>
      <xdr:colOff>38100</xdr:colOff>
      <xdr:row>1</xdr:row>
      <xdr:rowOff>247651</xdr:rowOff>
    </xdr:to>
    <xdr:sp macro="[0]!processData" textlink="">
      <xdr:nvSpPr>
        <xdr:cNvPr id="2" name="Rectangle 1"/>
        <xdr:cNvSpPr/>
      </xdr:nvSpPr>
      <xdr:spPr>
        <a:xfrm>
          <a:off x="4597400" y="285751"/>
          <a:ext cx="1504950" cy="2286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Load CSV</a:t>
          </a:r>
          <a:r>
            <a:rPr lang="en-US" sz="1600" baseline="0"/>
            <a:t> file</a:t>
          </a:r>
          <a:endParaRPr 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63500</xdr:colOff>
      <xdr:row>4</xdr:row>
      <xdr:rowOff>63500</xdr:rowOff>
    </xdr:from>
    <xdr:to>
      <xdr:col>27</xdr:col>
      <xdr:colOff>157162</xdr:colOff>
      <xdr:row>6</xdr:row>
      <xdr:rowOff>87401</xdr:rowOff>
    </xdr:to>
    <xdr:sp macro="[0]!NextExperiment" textlink="">
      <xdr:nvSpPr>
        <xdr:cNvPr id="2" name="Rectangle 1"/>
        <xdr:cNvSpPr/>
      </xdr:nvSpPr>
      <xdr:spPr>
        <a:xfrm>
          <a:off x="5326743" y="803729"/>
          <a:ext cx="1579562" cy="39401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graph</a:t>
          </a:r>
        </a:p>
      </xdr:txBody>
    </xdr:sp>
    <xdr:clientData/>
  </xdr:twoCellAnchor>
  <xdr:twoCellAnchor>
    <xdr:from>
      <xdr:col>25</xdr:col>
      <xdr:colOff>63500</xdr:colOff>
      <xdr:row>6</xdr:row>
      <xdr:rowOff>182530</xdr:rowOff>
    </xdr:from>
    <xdr:to>
      <xdr:col>27</xdr:col>
      <xdr:colOff>157162</xdr:colOff>
      <xdr:row>9</xdr:row>
      <xdr:rowOff>25456</xdr:rowOff>
    </xdr:to>
    <xdr:sp macro="[0]!exportexpchart" textlink="">
      <xdr:nvSpPr>
        <xdr:cNvPr id="3" name="Rectangle 2"/>
        <xdr:cNvSpPr/>
      </xdr:nvSpPr>
      <xdr:spPr>
        <a:xfrm>
          <a:off x="5326743" y="1292873"/>
          <a:ext cx="1579562" cy="398097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25</xdr:col>
      <xdr:colOff>68263</xdr:colOff>
      <xdr:row>9</xdr:row>
      <xdr:rowOff>111059</xdr:rowOff>
    </xdr:from>
    <xdr:to>
      <xdr:col>27</xdr:col>
      <xdr:colOff>155575</xdr:colOff>
      <xdr:row>11</xdr:row>
      <xdr:rowOff>134960</xdr:rowOff>
    </xdr:to>
    <xdr:sp macro="[0]!CycleThroughExperiments" textlink="">
      <xdr:nvSpPr>
        <xdr:cNvPr id="4" name="Rectangle 3"/>
        <xdr:cNvSpPr/>
      </xdr:nvSpPr>
      <xdr:spPr>
        <a:xfrm>
          <a:off x="5331506" y="1776573"/>
          <a:ext cx="1573212" cy="394016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27</xdr:col>
      <xdr:colOff>190499</xdr:colOff>
      <xdr:row>1</xdr:row>
      <xdr:rowOff>171450</xdr:rowOff>
    </xdr:from>
    <xdr:to>
      <xdr:col>41</xdr:col>
      <xdr:colOff>523873</xdr:colOff>
      <xdr:row>42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54429</xdr:colOff>
      <xdr:row>14</xdr:row>
      <xdr:rowOff>81642</xdr:rowOff>
    </xdr:from>
    <xdr:to>
      <xdr:col>49</xdr:col>
      <xdr:colOff>142874</xdr:colOff>
      <xdr:row>34</xdr:row>
      <xdr:rowOff>115660</xdr:rowOff>
    </xdr:to>
    <xdr:graphicFrame macro="">
      <xdr:nvGraphicFramePr>
        <xdr:cNvPr id="6" name="ChartLegen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35brown" refreshedDate="43630.790674999997" missingItemsLimit="0" createdVersion="6" refreshedVersion="6" minRefreshableVersion="3" recordCount="366">
  <cacheSource type="worksheet">
    <worksheetSource ref="A1:BU1048576" sheet="data"/>
  </cacheSource>
  <cacheFields count="73">
    <cacheField name="filename" numFmtId="0">
      <sharedItems containsBlank="1"/>
    </cacheField>
    <cacheField name="DS_TYPENAME" numFmtId="0">
      <sharedItems containsBlank="1"/>
    </cacheField>
    <cacheField name="size_node" numFmtId="0">
      <sharedItems containsString="0" containsBlank="1" containsNumber="1" containsInteger="1" minValue="72" maxValue="72"/>
    </cacheField>
    <cacheField name="RECLAIM" numFmtId="0">
      <sharedItems containsBlank="1"/>
    </cacheField>
    <cacheField name="ALLOC" numFmtId="0">
      <sharedItems containsBlank="1"/>
    </cacheField>
    <cacheField name="POOL" numFmtId="0">
      <sharedItems containsBlank="1"/>
    </cacheField>
    <cacheField name="MILLIS_TO_RUN" numFmtId="0">
      <sharedItems containsString="0" containsBlank="1" containsNumber="1" containsInteger="1" minValue="60000" maxValue="60000"/>
    </cacheField>
    <cacheField name="INS" numFmtId="0">
      <sharedItems containsString="0" containsBlank="1" containsNumber="1" minValue="0.5" maxValue="20"/>
    </cacheField>
    <cacheField name="DEL" numFmtId="0">
      <sharedItems containsString="0" containsBlank="1" containsNumber="1" minValue="0.5" maxValue="20"/>
    </cacheField>
    <cacheField name="RQ" numFmtId="0">
      <sharedItems containsString="0" containsBlank="1" containsNumber="1" containsInteger="1" minValue="0" maxValue="0"/>
    </cacheField>
    <cacheField name="RQSIZE" numFmtId="0">
      <sharedItems containsString="0" containsBlank="1" containsNumber="1" containsInteger="1" minValue="1" maxValue="1"/>
    </cacheField>
    <cacheField name="MAXKEY" numFmtId="0">
      <sharedItems containsString="0" containsBlank="1" containsNumber="1" containsInteger="1" minValue="2000000" maxValue="2000000000"/>
    </cacheField>
    <cacheField name="PREFILL_THREADS" numFmtId="0">
      <sharedItems containsString="0" containsBlank="1" containsNumber="1" containsInteger="1" minValue="24" maxValue="190"/>
    </cacheField>
    <cacheField name="TOTAL_THREADS" numFmtId="0">
      <sharedItems containsString="0" containsBlank="1" containsNumber="1" containsInteger="1" minValue="24" maxValue="190" count="6">
        <n v="24"/>
        <n v="48"/>
        <n v="96"/>
        <n v="144"/>
        <n v="190"/>
        <m/>
      </sharedItems>
    </cacheField>
    <cacheField name="WORK_THREADS" numFmtId="0">
      <sharedItems containsString="0" containsBlank="1" containsNumber="1" containsInteger="1" minValue="24" maxValue="190"/>
    </cacheField>
    <cacheField name="RQ_THREADS" numFmtId="0">
      <sharedItems containsString="0" containsBlank="1" containsNumber="1" containsInteger="1" minValue="0" maxValue="0"/>
    </cacheField>
    <cacheField name="INSERT_FUNC" numFmtId="0">
      <sharedItems containsBlank="1"/>
    </cacheField>
    <cacheField name="threads_final_keysum" numFmtId="0">
      <sharedItems containsString="0" containsBlank="1" containsNumber="1" containsInteger="1" minValue="997850372488" maxValue="1.00005445699961E+18"/>
    </cacheField>
    <cacheField name="threads_final_size" numFmtId="0">
      <sharedItems containsString="0" containsBlank="1" containsNumber="1" containsInteger="1" minValue="998342" maxValue="1000028809"/>
    </cacheField>
    <cacheField name="final_keysum" numFmtId="0">
      <sharedItems containsString="0" containsBlank="1" containsNumber="1" containsInteger="1" minValue="997850372488" maxValue="1.00005445699961E+18"/>
    </cacheField>
    <cacheField name="final_size" numFmtId="0">
      <sharedItems containsString="0" containsBlank="1" containsNumber="1" containsInteger="1" minValue="998342" maxValue="1000028809"/>
    </cacheField>
    <cacheField name="validate_result" numFmtId="0">
      <sharedItems containsBlank="1"/>
    </cacheField>
    <cacheField name="tree_stats_height" numFmtId="0">
      <sharedItems containsString="0" containsBlank="1" containsNumber="1" containsInteger="1" minValue="6" maxValue="7"/>
    </cacheField>
    <cacheField name="tree_stats_numInternals" numFmtId="0">
      <sharedItems containsString="0" containsBlank="1" containsNumber="1" containsInteger="1" minValue="33008" maxValue="128048048"/>
    </cacheField>
    <cacheField name="tree_stats_numLeaves" numFmtId="0">
      <sharedItems containsString="0" containsBlank="1" containsNumber="1" containsInteger="1" minValue="1030711" maxValue="1170628575"/>
    </cacheField>
    <cacheField name="tree_stats_numNodes" numFmtId="0">
      <sharedItems containsString="0" containsBlank="1" containsNumber="1" containsInteger="1" minValue="1063719" maxValue="1298676623"/>
    </cacheField>
    <cacheField name="tree_stats_numKeys" numFmtId="0">
      <sharedItems containsString="0" containsBlank="1" containsNumber="1" containsInteger="1" minValue="998342" maxValue="1000028809"/>
    </cacheField>
    <cacheField name="tree_stats_avgDegreeInternal" numFmtId="0">
      <sharedItems containsString="0" containsBlank="1" containsNumber="1" minValue="7.3090900000000003" maxValue="32.259900000000002"/>
    </cacheField>
    <cacheField name="tree_stats_avgDegreeLeaves" numFmtId="0">
      <sharedItems containsString="0" containsBlank="1" containsNumber="1" minValue="0.83074000000000003" maxValue="0.96897800000000001"/>
    </cacheField>
    <cacheField name="tree_stats_avgKeyDepth" numFmtId="0">
      <sharedItems containsString="0" containsBlank="1" containsNumber="1" minValue="3.0000100000000001" maxValue="4.0929000000000002"/>
    </cacheField>
    <cacheField name="tree_stats_sizeInBytes" numFmtId="0">
      <sharedItems containsString="0" containsBlank="1" containsNumber="1" containsInteger="1" minValue="19132000" maxValue="29038635632"/>
    </cacheField>
    <cacheField name="sum_num_try_rebuild_at_depth_by_index" numFmtId="0">
      <sharedItems containsBlank="1"/>
    </cacheField>
    <cacheField name="sum_num_complete_rebuild_at_depth_by_index" numFmtId="0">
      <sharedItems containsBlank="1"/>
    </cacheField>
    <cacheField name="sum_num_help_subtree_total" numFmtId="0">
      <sharedItems containsString="0" containsBlank="1" containsNumber="1" containsInteger="1" minValue="1" maxValue="49215151"/>
    </cacheField>
    <cacheField name="first_thread_announced_epoch_by_index" numFmtId="0">
      <sharedItems containsString="0" containsBlank="1" containsNumber="1" containsInteger="1" minValue="7664" maxValue="1761710"/>
    </cacheField>
    <cacheField name="sum_duration_all_ops_total" numFmtId="0">
      <sharedItems containsString="0" containsBlank="1" containsNumber="1" containsInteger="1" minValue="1436555174291" maxValue="20726419412509"/>
    </cacheField>
    <cacheField name="sum_duration_markAndCount_total" numFmtId="0">
      <sharedItems containsString="0" containsBlank="1" containsNumber="1" containsInteger="1" minValue="5206410" maxValue="1752142798368"/>
    </cacheField>
    <cacheField name="sum_duration_wastedWorkBuilding_total" numFmtId="0">
      <sharedItems containsString="0" containsBlank="1" containsNumber="1" containsInteger="1" minValue="669" maxValue="13323275960635"/>
    </cacheField>
    <cacheField name="sum_duration_buildAndReplace_total" numFmtId="0">
      <sharedItems containsString="0" containsBlank="1" containsNumber="1" containsInteger="1" minValue="23786808" maxValue="2018014691246"/>
    </cacheField>
    <cacheField name="sum_duration_rotateAndFree_total" numFmtId="0">
      <sharedItems containsString="0" containsBlank="1" containsNumber="1" containsInteger="1" minValue="630687777" maxValue="5467307820005"/>
    </cacheField>
    <cacheField name="sum_duration_traverseAndRetire_total" numFmtId="0">
      <sharedItems containsString="0" containsBlank="1" containsNumber="1" containsInteger="1" minValue="1610838" maxValue="1890064043508"/>
    </cacheField>
    <cacheField name="total_find" numFmtId="0">
      <sharedItems containsString="0" containsBlank="1" containsNumber="1" containsInteger="1" minValue="275810415" maxValue="24328694057"/>
    </cacheField>
    <cacheField name="total_rq" numFmtId="0">
      <sharedItems containsString="0" containsBlank="1" containsNumber="1" containsInteger="1" minValue="0" maxValue="0"/>
    </cacheField>
    <cacheField name="total_updates" numFmtId="0">
      <sharedItems containsString="0" containsBlank="1" containsNumber="1" containsInteger="1" minValue="10998929" maxValue="2298065119"/>
    </cacheField>
    <cacheField name="total_queries" numFmtId="0">
      <sharedItems containsString="0" containsBlank="1" containsNumber="1" containsInteger="1" minValue="275810415" maxValue="24328694057"/>
    </cacheField>
    <cacheField name="total_ops" numFmtId="0">
      <sharedItems containsString="0" containsBlank="1" containsNumber="1" containsInteger="1" minValue="459670136" maxValue="24574431962"/>
    </cacheField>
    <cacheField name="find_throughput" numFmtId="0">
      <sharedItems containsString="0" containsBlank="1" containsNumber="1" containsInteger="1" minValue="4596840" maxValue="405478234"/>
    </cacheField>
    <cacheField name="rq_throughput" numFmtId="0">
      <sharedItems containsString="0" containsBlank="1" containsNumber="1" containsInteger="1" minValue="0" maxValue="0"/>
    </cacheField>
    <cacheField name="update_throughput" numFmtId="0">
      <sharedItems containsString="0" containsBlank="1" containsNumber="1" containsInteger="1" minValue="183315" maxValue="38301085"/>
    </cacheField>
    <cacheField name="query_throughput" numFmtId="0">
      <sharedItems containsString="0" containsBlank="1" containsNumber="1" containsInteger="1" minValue="4596840" maxValue="405478234"/>
    </cacheField>
    <cacheField name="total_throughput" numFmtId="0">
      <sharedItems containsString="0" containsBlank="1" containsNumber="1" containsInteger="1" minValue="7661168" maxValue="409573866"/>
    </cacheField>
    <cacheField name="PAPI_L2_TCM" numFmtId="0">
      <sharedItems containsString="0" containsBlank="1" containsNumber="1" minValue="8.2273800000000001" maxValue="33.191099999999999"/>
    </cacheField>
    <cacheField name="PAPI_L3_TCM" numFmtId="0">
      <sharedItems containsString="0" containsBlank="1" containsNumber="1" minValue="9.3694700000000006E-2" maxValue="21.4343"/>
    </cacheField>
    <cacheField name="PAPI_TOT_CYC" numFmtId="0">
      <sharedItems containsString="0" containsBlank="1" containsNumber="1" minValue="842.86800000000005" maxValue="54698.1"/>
    </cacheField>
    <cacheField name="PAPI_RES_STL" numFmtId="0">
      <sharedItems containsString="0" containsBlank="1" containsNumber="1" minValue="258.99200000000002" maxValue="5007.93"/>
    </cacheField>
    <cacheField name="maxresident_mb" numFmtId="0">
      <sharedItems containsString="0" containsBlank="1" containsNumber="1" containsInteger="1" minValue="1187" maxValue="121934"/>
    </cacheField>
    <cacheField name="prefill_elapsed_ms" numFmtId="0">
      <sharedItems containsString="0" containsBlank="1" containsNumber="1" containsInteger="1" minValue="26" maxValue="16546"/>
    </cacheField>
    <cacheField name="total_time_sec_div_threads" numFmtId="0">
      <sharedItems containsString="0" containsBlank="1" containsNumber="1" minValue="59.856391628916668" maxValue="139.24266258747917"/>
    </cacheField>
    <cacheField name="rebuild_time_sec_div_threads" numFmtId="11">
      <sharedItems containsString="0" containsBlank="1" containsNumber="1" minValue="2.772608595833333E-2" maxValue="94.144014014729166"/>
    </cacheField>
    <cacheField name="depth0_rebuild_count" numFmtId="0">
      <sharedItems containsString="0" containsBlank="1" containsNumber="1" containsInteger="1" minValue="0" maxValue="4405"/>
    </cacheField>
    <cacheField name="depth1_rebuild_count" numFmtId="0">
      <sharedItems containsString="0" containsBlank="1" containsNumber="1" containsInteger="1" minValue="0" maxValue="11082866"/>
    </cacheField>
    <cacheField name="depth2_rebuild_count" numFmtId="0">
      <sharedItems containsString="0" containsBlank="1" containsNumber="1" containsInteger="1" minValue="0" maxValue="27119166"/>
    </cacheField>
    <cacheField name="depth3_rebuild_count" numFmtId="0">
      <sharedItems containsString="0" containsBlank="1" containsNumber="1" containsInteger="1" minValue="1333" maxValue="307631227"/>
    </cacheField>
    <cacheField name="depth4_rebuild_count" numFmtId="0">
      <sharedItems containsString="0" containsBlank="1" containsNumber="1" containsInteger="1" minValue="0" maxValue="32164588"/>
    </cacheField>
    <cacheField name="depth5_rebuild_count" numFmtId="0">
      <sharedItems containsString="0" containsBlank="1" containsNumber="1" containsInteger="1" minValue="0" maxValue="0"/>
    </cacheField>
    <cacheField name="exp" numFmtId="0">
      <sharedItems containsBlank="1"/>
    </cacheField>
    <cacheField name="exp2" numFmtId="0">
      <sharedItems containsBlank="1" count="25">
        <s v="u=1%, k=2x10^6, collaborative"/>
        <s v="u=1%, k=2x10^7, collaborative"/>
        <s v="u=1%, k=2x10^8, collaborative"/>
        <s v="u=1%, k=2x10^9, collaborative"/>
        <s v="u=10%, k=2x10^6, collaborative"/>
        <s v="u=10%, k=2x10^7, collaborative"/>
        <s v="u=10%, k=2x10^8, collaborative"/>
        <s v="u=10%, k=2x10^9, collaborative"/>
        <s v="u=40%, k=2x10^6, collaborative"/>
        <s v="u=40%, k=2x10^7, collaborative"/>
        <s v="u=40%, k=2x10^8, collaborative"/>
        <s v="u=40%, k=2x10^9, collaborative"/>
        <s v="u=1%, k=2x10^6, sequential"/>
        <s v="u=1%, k=2x10^7, sequential"/>
        <s v="u=1%, k=2x10^8, sequential"/>
        <s v="u=1%, k=2x10^9, sequential"/>
        <s v="u=10%, k=2x10^6, sequential"/>
        <s v="u=10%, k=2x10^7, sequential"/>
        <s v="u=10%, k=2x10^8, sequential"/>
        <s v="u=10%, k=2x10^9, sequential"/>
        <s v="u=40%, k=2x10^6, sequential"/>
        <s v="u=40%, k=2x10^7, sequential"/>
        <s v="u=40%, k=2x10^8, sequential"/>
        <s v="u=40%, k=2x10^9, sequential"/>
        <m/>
      </sharedItems>
    </cacheField>
    <cacheField name="adj_duration_markAndCount" numFmtId="0">
      <sharedItems containsString="0" containsBlank="1" containsNumber="1" minValue="2.1693375E-4" maxValue="9.426142922555556"/>
    </cacheField>
    <cacheField name="adj_duration_wastedWorkBuilding" numFmtId="0">
      <sharedItems containsString="0" containsBlank="1" containsNumber="1" minValue="0" maxValue="82.045095993812495"/>
    </cacheField>
    <cacheField name="adj_duration_buildAndReplace" numFmtId="0">
      <sharedItems containsString="0" containsBlank="1" containsNumber="1" minValue="9.9111699999999991E-4" maxValue="10.621129953926316"/>
    </cacheField>
    <cacheField name="adj_duration_rotateAndFree" numFmtId="0">
      <sharedItems containsString="0" containsBlank="1" containsNumber="1" minValue="2.6278657375E-2" maxValue="28.775304315815792"/>
    </cacheField>
    <cacheField name="adj_duration_traverseAndRetire" numFmtId="0">
      <sharedItems containsString="0" containsBlank="1" containsNumber="1" minValue="6.7118250000000007E-5" maxValue="9.9477054921473673"/>
    </cacheField>
    <cacheField name="adj_duration_other" numFmtId="0">
      <sharedItems containsString="0" containsBlank="1" containsNumber="1" minValue="2.7257914188842207" maxValue="59.8291094652916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35brown" refreshedDate="43630.790675231481" missingItemsLimit="0" createdVersion="6" refreshedVersion="6" minRefreshableVersion="3" recordCount="366">
  <cacheSource type="worksheet">
    <worksheetSource ref="A1:BO1048576" sheet="data"/>
  </cacheSource>
  <cacheFields count="67">
    <cacheField name="filename" numFmtId="0">
      <sharedItems containsBlank="1"/>
    </cacheField>
    <cacheField name="DS_TYPENAME" numFmtId="0">
      <sharedItems containsBlank="1" count="3">
        <s v="brown_ext_ist_lf_enabled"/>
        <s v="brown_ext_ist_lf_disabled"/>
        <m/>
      </sharedItems>
    </cacheField>
    <cacheField name="size_node" numFmtId="0">
      <sharedItems containsString="0" containsBlank="1" containsNumber="1" containsInteger="1" minValue="72" maxValue="72"/>
    </cacheField>
    <cacheField name="RECLAIM" numFmtId="0">
      <sharedItems containsBlank="1"/>
    </cacheField>
    <cacheField name="ALLOC" numFmtId="0">
      <sharedItems containsBlank="1"/>
    </cacheField>
    <cacheField name="POOL" numFmtId="0">
      <sharedItems containsBlank="1"/>
    </cacheField>
    <cacheField name="MILLIS_TO_RUN" numFmtId="0">
      <sharedItems containsString="0" containsBlank="1" containsNumber="1" containsInteger="1" minValue="60000" maxValue="60000"/>
    </cacheField>
    <cacheField name="INS" numFmtId="0">
      <sharedItems containsString="0" containsBlank="1" containsNumber="1" minValue="0.5" maxValue="20"/>
    </cacheField>
    <cacheField name="DEL" numFmtId="0">
      <sharedItems containsString="0" containsBlank="1" containsNumber="1" minValue="0.5" maxValue="20"/>
    </cacheField>
    <cacheField name="RQ" numFmtId="0">
      <sharedItems containsString="0" containsBlank="1" containsNumber="1" containsInteger="1" minValue="0" maxValue="0"/>
    </cacheField>
    <cacheField name="RQSIZE" numFmtId="0">
      <sharedItems containsString="0" containsBlank="1" containsNumber="1" containsInteger="1" minValue="1" maxValue="1"/>
    </cacheField>
    <cacheField name="MAXKEY" numFmtId="0">
      <sharedItems containsString="0" containsBlank="1" containsNumber="1" containsInteger="1" minValue="2000000" maxValue="2000000000"/>
    </cacheField>
    <cacheField name="PREFILL_THREADS" numFmtId="0">
      <sharedItems containsString="0" containsBlank="1" containsNumber="1" containsInteger="1" minValue="24" maxValue="190"/>
    </cacheField>
    <cacheField name="TOTAL_THREADS" numFmtId="0">
      <sharedItems containsString="0" containsBlank="1" containsNumber="1" containsInteger="1" minValue="24" maxValue="190" count="6">
        <n v="24"/>
        <n v="48"/>
        <n v="96"/>
        <n v="144"/>
        <n v="190"/>
        <m/>
      </sharedItems>
    </cacheField>
    <cacheField name="WORK_THREADS" numFmtId="0">
      <sharedItems containsString="0" containsBlank="1" containsNumber="1" containsInteger="1" minValue="24" maxValue="190"/>
    </cacheField>
    <cacheField name="RQ_THREADS" numFmtId="0">
      <sharedItems containsString="0" containsBlank="1" containsNumber="1" containsInteger="1" minValue="0" maxValue="0"/>
    </cacheField>
    <cacheField name="INSERT_FUNC" numFmtId="0">
      <sharedItems containsBlank="1"/>
    </cacheField>
    <cacheField name="threads_final_keysum" numFmtId="0">
      <sharedItems containsString="0" containsBlank="1" containsNumber="1" containsInteger="1" minValue="997850372488" maxValue="1.00005445699961E+18"/>
    </cacheField>
    <cacheField name="threads_final_size" numFmtId="0">
      <sharedItems containsString="0" containsBlank="1" containsNumber="1" containsInteger="1" minValue="998342" maxValue="1000028809"/>
    </cacheField>
    <cacheField name="final_keysum" numFmtId="0">
      <sharedItems containsString="0" containsBlank="1" containsNumber="1" containsInteger="1" minValue="997850372488" maxValue="1.00005445699961E+18"/>
    </cacheField>
    <cacheField name="final_size" numFmtId="0">
      <sharedItems containsString="0" containsBlank="1" containsNumber="1" containsInteger="1" minValue="998342" maxValue="1000028809"/>
    </cacheField>
    <cacheField name="validate_result" numFmtId="0">
      <sharedItems containsBlank="1"/>
    </cacheField>
    <cacheField name="tree_stats_height" numFmtId="0">
      <sharedItems containsString="0" containsBlank="1" containsNumber="1" containsInteger="1" minValue="6" maxValue="7"/>
    </cacheField>
    <cacheField name="tree_stats_numInternals" numFmtId="0">
      <sharedItems containsString="0" containsBlank="1" containsNumber="1" containsInteger="1" minValue="33008" maxValue="128048048"/>
    </cacheField>
    <cacheField name="tree_stats_numLeaves" numFmtId="0">
      <sharedItems containsString="0" containsBlank="1" containsNumber="1" containsInteger="1" minValue="1030711" maxValue="1170628575"/>
    </cacheField>
    <cacheField name="tree_stats_numNodes" numFmtId="0">
      <sharedItems containsString="0" containsBlank="1" containsNumber="1" containsInteger="1" minValue="1063719" maxValue="1298676623"/>
    </cacheField>
    <cacheField name="tree_stats_numKeys" numFmtId="0">
      <sharedItems containsString="0" containsBlank="1" containsNumber="1" containsInteger="1" minValue="998342" maxValue="1000028809"/>
    </cacheField>
    <cacheField name="tree_stats_avgDegreeInternal" numFmtId="0">
      <sharedItems containsString="0" containsBlank="1" containsNumber="1" minValue="7.3090900000000003" maxValue="32.259900000000002"/>
    </cacheField>
    <cacheField name="tree_stats_avgDegreeLeaves" numFmtId="0">
      <sharedItems containsString="0" containsBlank="1" containsNumber="1" minValue="0.83074000000000003" maxValue="0.96897800000000001"/>
    </cacheField>
    <cacheField name="tree_stats_avgKeyDepth" numFmtId="0">
      <sharedItems containsString="0" containsBlank="1" containsNumber="1" minValue="3.0000100000000001" maxValue="4.0929000000000002"/>
    </cacheField>
    <cacheField name="tree_stats_sizeInBytes" numFmtId="0">
      <sharedItems containsString="0" containsBlank="1" containsNumber="1" containsInteger="1" minValue="19132000" maxValue="29038635632"/>
    </cacheField>
    <cacheField name="sum_num_try_rebuild_at_depth_by_index" numFmtId="0">
      <sharedItems containsBlank="1"/>
    </cacheField>
    <cacheField name="sum_num_complete_rebuild_at_depth_by_index" numFmtId="0">
      <sharedItems containsBlank="1"/>
    </cacheField>
    <cacheField name="sum_num_help_subtree_total" numFmtId="0">
      <sharedItems containsString="0" containsBlank="1" containsNumber="1" containsInteger="1" minValue="1" maxValue="49215151"/>
    </cacheField>
    <cacheField name="first_thread_announced_epoch_by_index" numFmtId="0">
      <sharedItems containsString="0" containsBlank="1" containsNumber="1" containsInteger="1" minValue="7664" maxValue="1761710"/>
    </cacheField>
    <cacheField name="sum_duration_all_ops_total" numFmtId="0">
      <sharedItems containsString="0" containsBlank="1" containsNumber="1" containsInteger="1" minValue="1436555174291" maxValue="20726419412509"/>
    </cacheField>
    <cacheField name="sum_duration_markAndCount_total" numFmtId="0">
      <sharedItems containsString="0" containsBlank="1" containsNumber="1" containsInteger="1" minValue="5206410" maxValue="1752142798368"/>
    </cacheField>
    <cacheField name="sum_duration_wastedWorkBuilding_total" numFmtId="0">
      <sharedItems containsString="0" containsBlank="1" containsNumber="1" containsInteger="1" minValue="669" maxValue="13323275960635"/>
    </cacheField>
    <cacheField name="sum_duration_buildAndReplace_total" numFmtId="0">
      <sharedItems containsString="0" containsBlank="1" containsNumber="1" containsInteger="1" minValue="23786808" maxValue="2018014691246"/>
    </cacheField>
    <cacheField name="sum_duration_rotateAndFree_total" numFmtId="0">
      <sharedItems containsString="0" containsBlank="1" containsNumber="1" containsInteger="1" minValue="630687777" maxValue="5467307820005"/>
    </cacheField>
    <cacheField name="sum_duration_traverseAndRetire_total" numFmtId="0">
      <sharedItems containsString="0" containsBlank="1" containsNumber="1" containsInteger="1" minValue="1610838" maxValue="1890064043508"/>
    </cacheField>
    <cacheField name="total_find" numFmtId="0">
      <sharedItems containsString="0" containsBlank="1" containsNumber="1" containsInteger="1" minValue="275810415" maxValue="24328694057"/>
    </cacheField>
    <cacheField name="total_rq" numFmtId="0">
      <sharedItems containsString="0" containsBlank="1" containsNumber="1" containsInteger="1" minValue="0" maxValue="0"/>
    </cacheField>
    <cacheField name="total_updates" numFmtId="0">
      <sharedItems containsString="0" containsBlank="1" containsNumber="1" containsInteger="1" minValue="10998929" maxValue="2298065119"/>
    </cacheField>
    <cacheField name="total_queries" numFmtId="0">
      <sharedItems containsString="0" containsBlank="1" containsNumber="1" containsInteger="1" minValue="275810415" maxValue="24328694057"/>
    </cacheField>
    <cacheField name="total_ops" numFmtId="0">
      <sharedItems containsString="0" containsBlank="1" containsNumber="1" containsInteger="1" minValue="459670136" maxValue="24574431962"/>
    </cacheField>
    <cacheField name="find_throughput" numFmtId="0">
      <sharedItems containsString="0" containsBlank="1" containsNumber="1" containsInteger="1" minValue="4596840" maxValue="405478234"/>
    </cacheField>
    <cacheField name="rq_throughput" numFmtId="0">
      <sharedItems containsString="0" containsBlank="1" containsNumber="1" containsInteger="1" minValue="0" maxValue="0"/>
    </cacheField>
    <cacheField name="update_throughput" numFmtId="0">
      <sharedItems containsString="0" containsBlank="1" containsNumber="1" containsInteger="1" minValue="183315" maxValue="38301085"/>
    </cacheField>
    <cacheField name="query_throughput" numFmtId="0">
      <sharedItems containsString="0" containsBlank="1" containsNumber="1" containsInteger="1" minValue="4596840" maxValue="405478234"/>
    </cacheField>
    <cacheField name="total_throughput" numFmtId="0">
      <sharedItems containsString="0" containsBlank="1" containsNumber="1" containsInteger="1" minValue="7661168" maxValue="409573866"/>
    </cacheField>
    <cacheField name="PAPI_L2_TCM" numFmtId="0">
      <sharedItems containsString="0" containsBlank="1" containsNumber="1" minValue="8.2273800000000001" maxValue="33.191099999999999"/>
    </cacheField>
    <cacheField name="PAPI_L3_TCM" numFmtId="0">
      <sharedItems containsString="0" containsBlank="1" containsNumber="1" minValue="9.3694700000000006E-2" maxValue="21.4343"/>
    </cacheField>
    <cacheField name="PAPI_TOT_CYC" numFmtId="0">
      <sharedItems containsString="0" containsBlank="1" containsNumber="1" minValue="842.86800000000005" maxValue="54698.1"/>
    </cacheField>
    <cacheField name="PAPI_RES_STL" numFmtId="0">
      <sharedItems containsString="0" containsBlank="1" containsNumber="1" minValue="258.99200000000002" maxValue="5007.93"/>
    </cacheField>
    <cacheField name="maxresident_mb" numFmtId="0">
      <sharedItems containsString="0" containsBlank="1" containsNumber="1" containsInteger="1" minValue="1187" maxValue="121934"/>
    </cacheField>
    <cacheField name="prefill_elapsed_ms" numFmtId="0">
      <sharedItems containsString="0" containsBlank="1" containsNumber="1" containsInteger="1" minValue="26" maxValue="16546"/>
    </cacheField>
    <cacheField name="total_time_sec_div_threads" numFmtId="0">
      <sharedItems containsString="0" containsBlank="1" containsNumber="1" minValue="59.856391628916668" maxValue="139.24266258747917"/>
    </cacheField>
    <cacheField name="rebuild_time_sec_div_threads" numFmtId="11">
      <sharedItems containsString="0" containsBlank="1" containsNumber="1" minValue="2.772608595833333E-2" maxValue="94.144014014729166"/>
    </cacheField>
    <cacheField name="depth0_rebuild_count" numFmtId="0">
      <sharedItems containsString="0" containsBlank="1" containsNumber="1" containsInteger="1" minValue="0" maxValue="4405"/>
    </cacheField>
    <cacheField name="depth1_rebuild_count" numFmtId="0">
      <sharedItems containsString="0" containsBlank="1" containsNumber="1" containsInteger="1" minValue="0" maxValue="11082866"/>
    </cacheField>
    <cacheField name="depth2_rebuild_count" numFmtId="0">
      <sharedItems containsString="0" containsBlank="1" containsNumber="1" containsInteger="1" minValue="0" maxValue="27119166"/>
    </cacheField>
    <cacheField name="depth3_rebuild_count" numFmtId="0">
      <sharedItems containsString="0" containsBlank="1" containsNumber="1" containsInteger="1" minValue="1333" maxValue="307631227"/>
    </cacheField>
    <cacheField name="depth4_rebuild_count" numFmtId="0">
      <sharedItems containsString="0" containsBlank="1" containsNumber="1" containsInteger="1" minValue="0" maxValue="32164588"/>
    </cacheField>
    <cacheField name="depth5_rebuild_count" numFmtId="0">
      <sharedItems containsString="0" containsBlank="1" containsNumber="1" containsInteger="1" minValue="0" maxValue="0"/>
    </cacheField>
    <cacheField name="exp" numFmtId="0">
      <sharedItems containsBlank="1" count="13">
        <s v="u=1%, k=2x10^6"/>
        <s v="u=1%, k=2x10^7"/>
        <s v="u=1%, k=2x10^8"/>
        <s v="u=1%, k=2x10^9"/>
        <s v="u=10%, k=2x10^6"/>
        <s v="u=10%, k=2x10^7"/>
        <s v="u=10%, k=2x10^8"/>
        <s v="u=10%, k=2x10^9"/>
        <s v="u=40%, k=2x10^6"/>
        <s v="u=40%, k=2x10^7"/>
        <s v="u=40%, k=2x10^8"/>
        <s v="u=40%, k=2x10^9"/>
        <m/>
      </sharedItems>
    </cacheField>
    <cacheField name="exp2" numFmtId="0">
      <sharedItems containsBlank="1" count="25">
        <s v="u=1%, k=2x10^6, collaborative"/>
        <s v="u=1%, k=2x10^7, collaborative"/>
        <s v="u=1%, k=2x10^8, collaborative"/>
        <s v="u=1%, k=2x10^9, collaborative"/>
        <s v="u=10%, k=2x10^6, collaborative"/>
        <s v="u=10%, k=2x10^7, collaborative"/>
        <s v="u=10%, k=2x10^8, collaborative"/>
        <s v="u=10%, k=2x10^9, collaborative"/>
        <s v="u=40%, k=2x10^6, collaborative"/>
        <s v="u=40%, k=2x10^7, collaborative"/>
        <s v="u=40%, k=2x10^8, collaborative"/>
        <s v="u=40%, k=2x10^9, collaborative"/>
        <s v="u=1%, k=2x10^6, sequential"/>
        <s v="u=1%, k=2x10^7, sequential"/>
        <s v="u=1%, k=2x10^8, sequential"/>
        <s v="u=1%, k=2x10^9, sequential"/>
        <s v="u=10%, k=2x10^6, sequential"/>
        <s v="u=10%, k=2x10^7, sequential"/>
        <s v="u=10%, k=2x10^8, sequential"/>
        <s v="u=10%, k=2x10^9, sequential"/>
        <s v="u=40%, k=2x10^6, sequential"/>
        <s v="u=40%, k=2x10^7, sequential"/>
        <s v="u=40%, k=2x10^8, sequential"/>
        <s v="u=40%, k=2x10^9, sequenti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6">
  <r>
    <s v="istree_exp6_rebuilding_time/step10001.txt"/>
    <s v="brown_ext_ist_lf_en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9767737871"/>
    <n v="999624"/>
    <n v="999767737871"/>
    <n v="999624"/>
    <s v="success"/>
    <n v="6"/>
    <n v="57844"/>
    <n v="1081915"/>
    <n v="1139759"/>
    <n v="999624"/>
    <n v="19.704000000000001"/>
    <n v="0.92393899999999995"/>
    <n v="3.0516700000000001"/>
    <n v="21959296"/>
    <s v="100 85433 1227517 1375527"/>
    <s v="95 85414 1227490 1375522"/>
    <n v="7872"/>
    <n v="1760552"/>
    <n v="1436561384021"/>
    <n v="4215594753"/>
    <n v="37460766"/>
    <n v="5653240648"/>
    <n v="6577784428"/>
    <n v="2129274238"/>
    <n v="4713448116"/>
    <n v="0"/>
    <n v="47610297"/>
    <n v="4713448116"/>
    <n v="4761058413"/>
    <n v="78557468"/>
    <n v="0"/>
    <n v="793504"/>
    <n v="78557468"/>
    <n v="79350973"/>
    <n v="8.5209399999999995"/>
    <n v="0.100567"/>
    <n v="843.07"/>
    <n v="283.58800000000002"/>
    <n v="1187"/>
    <n v="27"/>
    <n v="59.856724334208337"/>
    <n v="0.77555645137499996"/>
    <n v="95"/>
    <n v="85414"/>
    <n v="1227490"/>
    <n v="1375522"/>
    <n v="0"/>
    <n v="0"/>
    <s v="u=1%, k=2x10^6"/>
    <x v="0"/>
    <n v="0.17564978137500001"/>
    <n v="1.5608652499999999E-3"/>
    <n v="0.23555169366666664"/>
    <n v="0.27407435116666667"/>
    <n v="8.8719759916666655E-2"/>
    <n v="59.081167882833334"/>
  </r>
  <r>
    <s v="istree_exp6_rebuilding_time/step10002.txt"/>
    <s v="brown_ext_ist_lf_en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256813393"/>
    <n v="999772"/>
    <n v="999256813393"/>
    <n v="999772"/>
    <s v="success"/>
    <n v="7"/>
    <n v="73033"/>
    <n v="1113782"/>
    <n v="1186815"/>
    <n v="999772"/>
    <n v="16.250399999999999"/>
    <n v="0.89763700000000002"/>
    <n v="3.0852300000000001"/>
    <n v="23718592"/>
    <s v="155 144063 1367086 1988696"/>
    <s v="146 144035 1367016 1988691"/>
    <n v="33752"/>
    <n v="665160"/>
    <n v="2873122778953"/>
    <n v="10478631602"/>
    <n v="204893411"/>
    <n v="13816507606"/>
    <n v="12242345569"/>
    <n v="5234273636"/>
    <n v="7242997461"/>
    <n v="0"/>
    <n v="73161353"/>
    <n v="7242997461"/>
    <n v="7316158814"/>
    <n v="120716624"/>
    <n v="0"/>
    <n v="1219355"/>
    <n v="120716624"/>
    <n v="121935980"/>
    <n v="8.4561399999999995"/>
    <n v="0.10902199999999999"/>
    <n v="1089.44"/>
    <n v="396.50299999999999"/>
    <n v="1216"/>
    <n v="91"/>
    <n v="59.856724561520828"/>
    <n v="0.87451357966666665"/>
    <n v="146"/>
    <n v="144035"/>
    <n v="1367016"/>
    <n v="1988691"/>
    <n v="0"/>
    <n v="0"/>
    <s v="u=1%, k=2x10^6"/>
    <x v="0"/>
    <n v="0.21830482504166668"/>
    <n v="4.2686127291666669E-3"/>
    <n v="0.28784390845833335"/>
    <n v="0.25504886602083332"/>
    <n v="0.10904736741666667"/>
    <n v="58.982210981854159"/>
  </r>
  <r>
    <s v="istree_exp6_rebuilding_time/step10003.txt"/>
    <s v="brown_ext_ist_lf_en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9476269541"/>
    <n v="999596"/>
    <n v="999476269541"/>
    <n v="999596"/>
    <s v="success"/>
    <n v="6"/>
    <n v="54161"/>
    <n v="1074797"/>
    <n v="1128958"/>
    <n v="999596"/>
    <n v="20.8445"/>
    <n v="0.93003199999999997"/>
    <n v="3.04419"/>
    <n v="21550272"/>
    <s v="296 425678 736456 3137880"/>
    <s v="271 425331 736273 3137853"/>
    <n v="176153"/>
    <n v="309440"/>
    <n v="5746245809049"/>
    <n v="35631688590"/>
    <n v="1221274124"/>
    <n v="46761434919"/>
    <n v="31250984284"/>
    <n v="41344728522"/>
    <n v="13437192118"/>
    <n v="0"/>
    <n v="135757064"/>
    <n v="13437192118"/>
    <n v="13572949182"/>
    <n v="223953201"/>
    <n v="0"/>
    <n v="2262617"/>
    <n v="223953201"/>
    <n v="226215819"/>
    <n v="8.5057200000000002"/>
    <n v="0.24852099999999999"/>
    <n v="1175.9000000000001"/>
    <n v="447.72399999999999"/>
    <n v="1281"/>
    <n v="246"/>
    <n v="59.856727177593747"/>
    <n v="1.62718865040625"/>
    <n v="271"/>
    <n v="425331"/>
    <n v="736273"/>
    <n v="3137853"/>
    <n v="0"/>
    <n v="0"/>
    <s v="u=1%, k=2x10^6"/>
    <x v="0"/>
    <n v="0.37116342281250003"/>
    <n v="1.2721605458333334E-2"/>
    <n v="0.48709828040625003"/>
    <n v="0.32553108629166666"/>
    <n v="0.43067425543749999"/>
    <n v="58.229538527187501"/>
  </r>
  <r>
    <s v="istree_exp6_rebuilding_time/step10004.txt"/>
    <s v="brown_ext_ist_lf_en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1000435640267"/>
    <n v="999750"/>
    <n v="1000435640267"/>
    <n v="999750"/>
    <s v="success"/>
    <n v="6"/>
    <n v="51274"/>
    <n v="1068583"/>
    <n v="1119857"/>
    <n v="999750"/>
    <n v="21.840599999999998"/>
    <n v="0.935585"/>
    <n v="3.0380199999999999"/>
    <n v="21215376"/>
    <s v="417 1112739 199793 3100065"/>
    <s v="381 1111890 199674 3100025"/>
    <n v="418060"/>
    <n v="195386"/>
    <n v="8619369258598"/>
    <n v="68299718458"/>
    <n v="3338597458"/>
    <n v="100701505348"/>
    <n v="32082094676"/>
    <n v="119594275724"/>
    <n v="18890933241"/>
    <n v="0"/>
    <n v="190826462"/>
    <n v="18890933241"/>
    <n v="19081759703"/>
    <n v="314848887"/>
    <n v="0"/>
    <n v="3180441"/>
    <n v="314848887"/>
    <n v="318029328"/>
    <n v="8.6600699999999993"/>
    <n v="0.36076399999999997"/>
    <n v="1239.3599999999999"/>
    <n v="500.18900000000002"/>
    <n v="1370"/>
    <n v="158"/>
    <n v="59.856730962486118"/>
    <n v="2.2501124421111114"/>
    <n v="381"/>
    <n v="1111890"/>
    <n v="199674"/>
    <n v="3100025"/>
    <n v="0"/>
    <n v="0"/>
    <s v="u=1%, k=2x10^6"/>
    <x v="0"/>
    <n v="0.4743036004027778"/>
    <n v="2.3184704569444447E-2"/>
    <n v="0.69931600936111105"/>
    <n v="0.22279232413888886"/>
    <n v="0.83051580363888888"/>
    <n v="57.606618520375008"/>
  </r>
  <r>
    <s v="istree_exp6_rebuilding_time/step10005.txt"/>
    <s v="brown_ext_ist_lf_en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9467661381"/>
    <n v="1000596"/>
    <n v="999467661381"/>
    <n v="1000596"/>
    <s v="success"/>
    <n v="6"/>
    <n v="44024"/>
    <n v="1054794"/>
    <n v="1098818"/>
    <n v="1000596"/>
    <n v="24.959499999999998"/>
    <n v="0.94861700000000004"/>
    <n v="3.0223300000000002"/>
    <n v="20402800"/>
    <s v="557 1154202 560416 4614639"/>
    <s v="492 1153037 560071 4614565"/>
    <n v="633836"/>
    <n v="167596"/>
    <n v="11372779184810"/>
    <n v="85724972854"/>
    <n v="6466460347"/>
    <n v="150360167991"/>
    <n v="43220324130"/>
    <n v="239021864307"/>
    <n v="24328694057"/>
    <n v="0"/>
    <n v="245737905"/>
    <n v="24328694057"/>
    <n v="24574431962"/>
    <n v="405478234"/>
    <n v="0"/>
    <n v="4095631"/>
    <n v="405478234"/>
    <n v="409573866"/>
    <n v="8.7025699999999997"/>
    <n v="0.41638199999999997"/>
    <n v="1271.8499999999999"/>
    <n v="530.52300000000002"/>
    <n v="1436"/>
    <n v="311"/>
    <n v="59.85673255163158"/>
    <n v="2.7620725769947367"/>
    <n v="492"/>
    <n v="1153037"/>
    <n v="560071"/>
    <n v="4614565"/>
    <n v="0"/>
    <n v="0"/>
    <s v="u=1%, k=2x10^6"/>
    <x v="0"/>
    <n v="0.45118406765263158"/>
    <n v="3.4034001826315788E-2"/>
    <n v="0.79136930521578941"/>
    <n v="0.22747539015789475"/>
    <n v="1.2580098121421053"/>
    <n v="57.094659974636841"/>
  </r>
  <r>
    <s v="istree_exp6_rebuilding_time/step10006.txt"/>
    <s v="brown_ext_ist_lf_en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21442892853"/>
    <n v="10001585"/>
    <n v="100021442892853"/>
    <n v="10001585"/>
    <s v="success"/>
    <n v="7"/>
    <n v="1801662"/>
    <n v="11803924"/>
    <n v="13605586"/>
    <n v="10001585"/>
    <n v="7.5516899999999998"/>
    <n v="0.84731000000000001"/>
    <n v="4.0351900000000001"/>
    <n v="332998336"/>
    <s v="4 11181 320249 3001337 9840"/>
    <s v="4 11179 320249 3001337 9840"/>
    <n v="809"/>
    <n v="757214"/>
    <n v="1436561508352"/>
    <n v="5920880642"/>
    <n v="11710647"/>
    <n v="8335600525"/>
    <n v="6410744937"/>
    <n v="2649947472"/>
    <n v="2081538712"/>
    <n v="0"/>
    <n v="21022408"/>
    <n v="2081538712"/>
    <n v="2102561120"/>
    <n v="34692311"/>
    <n v="0"/>
    <n v="350373"/>
    <n v="34692311"/>
    <n v="35042685"/>
    <n v="16.129000000000001"/>
    <n v="5.9057000000000004"/>
    <n v="1906.58"/>
    <n v="1234.1099999999999"/>
    <n v="2434"/>
    <n v="155"/>
    <n v="59.856729514666661"/>
    <n v="0.97203684262500001"/>
    <n v="4"/>
    <n v="11179"/>
    <n v="320249"/>
    <n v="3001337"/>
    <n v="9840"/>
    <n v="0"/>
    <s v="u=1%, k=2x10^7"/>
    <x v="1"/>
    <n v="0.24670336008333335"/>
    <n v="4.8794362499999996E-4"/>
    <n v="0.3473166885416667"/>
    <n v="0.26711437237499996"/>
    <n v="0.110414478"/>
    <n v="58.884692672041659"/>
  </r>
  <r>
    <s v="istree_exp6_rebuilding_time/step10007.txt"/>
    <s v="brown_ext_ist_lf_en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5493803132"/>
    <n v="9999649"/>
    <n v="100005493803132"/>
    <n v="9999649"/>
    <s v="success"/>
    <n v="7"/>
    <n v="1833431"/>
    <n v="11868980"/>
    <n v="13702411"/>
    <n v="9999649"/>
    <n v="7.4736399999999996"/>
    <n v="0.842503"/>
    <n v="4.0415700000000001"/>
    <n v="336583840"/>
    <s v="8 21742 474767 5095083 15926"/>
    <s v="7 21740 474765 5095079 15926"/>
    <n v="3987"/>
    <n v="313832"/>
    <n v="2873122967727"/>
    <n v="13472478769"/>
    <n v="127693182"/>
    <n v="20946289590"/>
    <n v="16164862383"/>
    <n v="6414056433"/>
    <n v="3595995643"/>
    <n v="0"/>
    <n v="36325169"/>
    <n v="3595995643"/>
    <n v="3632320812"/>
    <n v="59933260"/>
    <n v="0"/>
    <n v="605419"/>
    <n v="59933260"/>
    <n v="60538680"/>
    <n v="16.1633"/>
    <n v="6.0043699999999998"/>
    <n v="2200.3000000000002"/>
    <n v="1510.52"/>
    <n v="2476"/>
    <n v="162"/>
    <n v="59.856728494312499"/>
    <n v="1.1901120907708334"/>
    <n v="7"/>
    <n v="21740"/>
    <n v="474765"/>
    <n v="5095079"/>
    <n v="15926"/>
    <n v="0"/>
    <s v="u=1%, k=2x10^7"/>
    <x v="1"/>
    <n v="0.28067664102083334"/>
    <n v="2.6602746249999999E-3"/>
    <n v="0.43638103312499998"/>
    <n v="0.3367679663125"/>
    <n v="0.13362617568749999"/>
    <n v="58.666616403541667"/>
  </r>
  <r>
    <s v="istree_exp6_rebuilding_time/step10008.txt"/>
    <s v="brown_ext_ist_lf_en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1376028109"/>
    <n v="9998832"/>
    <n v="99991376028109"/>
    <n v="9998832"/>
    <s v="success"/>
    <n v="7"/>
    <n v="1902738"/>
    <n v="12022979"/>
    <n v="13925717"/>
    <n v="9998832"/>
    <n v="7.3187800000000003"/>
    <n v="0.83164300000000002"/>
    <n v="4.0554399999999999"/>
    <n v="344616784"/>
    <s v="15 47423 695363 10622477 30717"/>
    <s v="15 47423 695334 10622457 30717"/>
    <n v="16703"/>
    <n v="165406"/>
    <n v="5746246132990"/>
    <n v="29612077925"/>
    <n v="1172863197"/>
    <n v="55131530675"/>
    <n v="54527328529"/>
    <n v="14344378704"/>
    <n v="7680200862"/>
    <n v="0"/>
    <n v="77576672"/>
    <n v="7680200862"/>
    <n v="7757777534"/>
    <n v="128003347"/>
    <n v="0"/>
    <n v="1292944"/>
    <n v="128003347"/>
    <n v="129296292"/>
    <n v="16.2807"/>
    <n v="6.4349400000000001"/>
    <n v="2041.98"/>
    <n v="1289.56"/>
    <n v="2548"/>
    <n v="338"/>
    <n v="59.856730551979162"/>
    <n v="1.6123768648958334"/>
    <n v="15"/>
    <n v="47423"/>
    <n v="695334"/>
    <n v="10622457"/>
    <n v="30717"/>
    <n v="0"/>
    <s v="u=1%, k=2x10^7"/>
    <x v="1"/>
    <n v="0.30845914505208333"/>
    <n v="1.221732496875E-2"/>
    <n v="0.57428677786458338"/>
    <n v="0.56799300551041665"/>
    <n v="0.14942061149999999"/>
    <n v="58.244353687083326"/>
  </r>
  <r>
    <s v="istree_exp6_rebuilding_time/step10009.txt"/>
    <s v="brown_ext_ist_lf_en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83193821221"/>
    <n v="9998573"/>
    <n v="99983193821221"/>
    <n v="9998573"/>
    <s v="success"/>
    <n v="7"/>
    <n v="1736877"/>
    <n v="11672527"/>
    <n v="13409404"/>
    <n v="9998573"/>
    <n v="7.7204100000000002"/>
    <n v="0.85658999999999996"/>
    <n v="4.0230300000000003"/>
    <n v="325712528"/>
    <s v="23 72669 608400 15284327 38649"/>
    <s v="22 72668 608382 15284288 38649"/>
    <n v="40609"/>
    <n v="111296"/>
    <n v="8619370072929"/>
    <n v="44448230316"/>
    <n v="2662059463"/>
    <n v="80431967312"/>
    <n v="91081717939"/>
    <n v="21991218423"/>
    <n v="11300317172"/>
    <n v="0"/>
    <n v="114148936"/>
    <n v="11300317172"/>
    <n v="11414466108"/>
    <n v="188338619"/>
    <n v="0"/>
    <n v="1902482"/>
    <n v="188338619"/>
    <n v="190241101"/>
    <n v="16.3673"/>
    <n v="6.5792599999999997"/>
    <n v="2082.59"/>
    <n v="1315.38"/>
    <n v="2637"/>
    <n v="378"/>
    <n v="59.856736617562497"/>
    <n v="1.670938843423611"/>
    <n v="22"/>
    <n v="72668"/>
    <n v="608382"/>
    <n v="15284288"/>
    <n v="38649"/>
    <n v="0"/>
    <s v="u=1%, k=2x10^7"/>
    <x v="1"/>
    <n v="0.30866826608333331"/>
    <n v="1.8486524048611109E-2"/>
    <n v="0.55855532855555556"/>
    <n v="0.6325119301319444"/>
    <n v="0.15271679460416665"/>
    <n v="58.185797774138884"/>
  </r>
  <r>
    <s v="istree_exp6_rebuilding_time/step10010.txt"/>
    <s v="brown_ext_ist_lf_en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2760551202"/>
    <n v="9997981"/>
    <n v="100002760551202"/>
    <n v="9997981"/>
    <s v="success"/>
    <n v="7"/>
    <n v="1735233"/>
    <n v="11669066"/>
    <n v="13404299"/>
    <n v="9997981"/>
    <n v="7.72478"/>
    <n v="0.85679400000000006"/>
    <n v="4.0225400000000002"/>
    <n v="325528096"/>
    <s v="31 94669 798965 19965257 50387"/>
    <s v="29 94667 798900 19965202 50387"/>
    <n v="74640"/>
    <n v="92606"/>
    <n v="11372839538790"/>
    <n v="60857651627"/>
    <n v="6918805327"/>
    <n v="118435097021"/>
    <n v="133665503740"/>
    <n v="47450443557"/>
    <n v="14756164719"/>
    <n v="0"/>
    <n v="149064214"/>
    <n v="14756164719"/>
    <n v="14905228933"/>
    <n v="245936078"/>
    <n v="0"/>
    <n v="2484403"/>
    <n v="245936078"/>
    <n v="248420482"/>
    <n v="16.366599999999998"/>
    <n v="6.6679300000000001"/>
    <n v="2100.83"/>
    <n v="1320.5"/>
    <n v="2732"/>
    <n v="402"/>
    <n v="59.857050204157893"/>
    <n v="1.9333026382736842"/>
    <n v="29"/>
    <n v="94667"/>
    <n v="798900"/>
    <n v="19965202"/>
    <n v="50387"/>
    <n v="0"/>
    <s v="u=1%, k=2x10^7"/>
    <x v="1"/>
    <n v="0.3203034296157895"/>
    <n v="3.6414764878947369E-2"/>
    <n v="0.62334261590000006"/>
    <n v="0.70350265126315781"/>
    <n v="0.24973917661578948"/>
    <n v="57.923747565884206"/>
  </r>
  <r>
    <s v="istree_exp6_rebuilding_time/step10011.txt"/>
    <s v="brown_ext_ist_lf_en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9999586644699750"/>
    <n v="100002043"/>
    <n v="9999586644699750"/>
    <n v="100002043"/>
    <s v="success"/>
    <n v="7"/>
    <n v="14104014"/>
    <n v="116365131"/>
    <n v="130469145"/>
    <n v="100002043"/>
    <n v="9.2505000000000006"/>
    <n v="0.85938199999999998"/>
    <n v="4.0640599999999996"/>
    <n v="2992625344"/>
    <s v="0 0 7 590822 198305"/>
    <s v="0 0 7 590822 198305"/>
    <m/>
    <n v="626440"/>
    <n v="1436567642968"/>
    <n v="284882148"/>
    <m/>
    <n v="808842708"/>
    <n v="1521103785"/>
    <n v="113987808"/>
    <n v="1684747517"/>
    <n v="0"/>
    <n v="17011669"/>
    <n v="1684747517"/>
    <n v="1701759186"/>
    <n v="28079125"/>
    <n v="0"/>
    <n v="283527"/>
    <n v="28079125"/>
    <n v="28362653"/>
    <n v="18.9222"/>
    <n v="8.2740799999999997"/>
    <n v="2359.4299999999998"/>
    <n v="1762.48"/>
    <n v="7480"/>
    <n v="1553"/>
    <n v="59.856985123666668"/>
    <n v="0.113700685375"/>
    <n v="0"/>
    <n v="0"/>
    <n v="7"/>
    <n v="590822"/>
    <n v="198305"/>
    <n v="0"/>
    <s v="u=1%, k=2x10^8"/>
    <x v="2"/>
    <n v="1.18700895E-2"/>
    <n v="0"/>
    <n v="3.3701779500000001E-2"/>
    <n v="6.3379324375000004E-2"/>
    <n v="4.7494920000000001E-3"/>
    <n v="59.743284438291667"/>
  </r>
  <r>
    <s v="istree_exp6_rebuilding_time/step10012.txt"/>
    <s v="brown_ext_ist_lf_en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9999962050205940"/>
    <n v="100000357"/>
    <n v="9999962050205940"/>
    <n v="100000357"/>
    <s v="success"/>
    <n v="7"/>
    <n v="14924290"/>
    <n v="118205262"/>
    <n v="133129552"/>
    <n v="100000357"/>
    <n v="8.9203299999999999"/>
    <n v="0.84598899999999999"/>
    <n v="4.0817399999999999"/>
    <n v="3089408240"/>
    <s v="0 0 14590 2021013 419589"/>
    <s v="0 0 14590 2021013 419589"/>
    <m/>
    <n v="271384"/>
    <n v="2873134058240"/>
    <n v="1470633287"/>
    <m/>
    <n v="3563563483"/>
    <n v="5359262783"/>
    <n v="604367983"/>
    <n v="2976250853"/>
    <n v="0"/>
    <n v="30071327"/>
    <n v="2976250853"/>
    <n v="3006322180"/>
    <n v="49604180"/>
    <n v="0"/>
    <n v="501188"/>
    <n v="49604180"/>
    <n v="50105369"/>
    <n v="19.059000000000001"/>
    <n v="8.3845200000000002"/>
    <n v="2669.22"/>
    <n v="1988.85"/>
    <n v="7812"/>
    <n v="1283"/>
    <n v="59.856959546666666"/>
    <n v="0.22912140700000003"/>
    <n v="0"/>
    <n v="0"/>
    <n v="14590"/>
    <n v="2021013"/>
    <n v="419589"/>
    <n v="0"/>
    <s v="u=1%, k=2x10^8"/>
    <x v="2"/>
    <n v="3.0638193479166669E-2"/>
    <n v="0"/>
    <n v="7.4240905895833334E-2"/>
    <n v="0.11165130797916667"/>
    <n v="1.2590999645833335E-2"/>
    <n v="59.627838139666665"/>
  </r>
  <r>
    <s v="istree_exp6_rebuilding_time/step10013.txt"/>
    <s v="brown_ext_ist_lf_en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1.00006031922503E+16"/>
    <n v="100005387"/>
    <n v="1.00006031922503E+16"/>
    <n v="100005387"/>
    <s v="success"/>
    <n v="7"/>
    <n v="12961328"/>
    <n v="113961548"/>
    <n v="126922876"/>
    <n v="100005387"/>
    <n v="9.7924299999999995"/>
    <n v="0.87753599999999998"/>
    <n v="4.0399099999999999"/>
    <n v="2861286592"/>
    <s v="1 9911 394438 4116833 741999"/>
    <s v="1 9911 394437 4116833 741999"/>
    <n v="2583"/>
    <n v="121750"/>
    <n v="5746266247902"/>
    <n v="19369975016"/>
    <n v="61641844"/>
    <n v="52554410537"/>
    <n v="42358275418"/>
    <n v="8746736776"/>
    <n v="5831841247"/>
    <n v="0"/>
    <n v="58915551"/>
    <n v="5831841247"/>
    <n v="5890756798"/>
    <n v="97197354"/>
    <n v="0"/>
    <n v="981925"/>
    <n v="97197354"/>
    <n v="98179279"/>
    <n v="19.367699999999999"/>
    <n v="9.2972599999999996"/>
    <n v="2694.79"/>
    <n v="1952.91"/>
    <n v="11314"/>
    <n v="1088"/>
    <n v="59.856940082312498"/>
    <n v="1.2821983290729166"/>
    <n v="1"/>
    <n v="9911"/>
    <n v="394437"/>
    <n v="4116833"/>
    <n v="741999"/>
    <n v="0"/>
    <s v="u=1%, k=2x10^8"/>
    <x v="2"/>
    <n v="0.20177057308333335"/>
    <n v="6.4210254166666668E-4"/>
    <n v="0.54744177642708336"/>
    <n v="0.44123203560416663"/>
    <n v="9.1111841416666672E-2"/>
    <n v="58.574741753239579"/>
  </r>
  <r>
    <s v="istree_exp6_rebuilding_time/step10014.txt"/>
    <s v="brown_ext_ist_lf_en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8790244754940"/>
    <n v="99986814"/>
    <n v="9998790244754940"/>
    <n v="99986814"/>
    <s v="success"/>
    <n v="7"/>
    <n v="14855440"/>
    <n v="118073987"/>
    <n v="132929427"/>
    <n v="99986814"/>
    <n v="8.9481999999999999"/>
    <n v="0.84681499999999998"/>
    <n v="4.0795500000000002"/>
    <n v="3081980464"/>
    <s v="1 9996 450551 6857630 1197114"/>
    <s v="1 9996 450548 6857628 1197114"/>
    <n v="3845"/>
    <n v="81192"/>
    <n v="8619396723020"/>
    <n v="22620468273"/>
    <n v="225846275"/>
    <n v="79940161979"/>
    <n v="52642008162"/>
    <n v="11769195038"/>
    <n v="8639846139"/>
    <n v="0"/>
    <n v="87268346"/>
    <n v="8639846139"/>
    <n v="8727114485"/>
    <n v="143997435"/>
    <n v="0"/>
    <n v="1454472"/>
    <n v="143997435"/>
    <n v="145451908"/>
    <n v="19.343499999999999"/>
    <n v="9.5078899999999997"/>
    <n v="2724.35"/>
    <n v="1972.74"/>
    <n v="13342"/>
    <n v="1077"/>
    <n v="59.856921687638888"/>
    <n v="1.1610949981041667"/>
    <n v="1"/>
    <n v="9996"/>
    <n v="450548"/>
    <n v="6857628"/>
    <n v="1197114"/>
    <n v="0"/>
    <s v="u=1%, k=2x10^8"/>
    <x v="2"/>
    <n v="0.15708658522916666"/>
    <n v="1.5683769097222223E-3"/>
    <n v="0.55514001374305555"/>
    <n v="0.36556950112500003"/>
    <n v="8.1730521097222217E-2"/>
    <n v="58.695826689534719"/>
  </r>
  <r>
    <s v="istree_exp6_rebuilding_time/step10015.txt"/>
    <s v="brown_ext_ist_lf_en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9999782074954550"/>
    <n v="99984925"/>
    <n v="9999782074954550"/>
    <n v="99984925"/>
    <s v="success"/>
    <n v="7"/>
    <n v="13665135"/>
    <n v="115416642"/>
    <n v="129081777"/>
    <n v="99984925"/>
    <n v="9.4460700000000006"/>
    <n v="0.86629599999999995"/>
    <n v="4.0547500000000003"/>
    <n v="2941692464"/>
    <s v="2 19996 688670 8106154 1468089"/>
    <s v="2 19996 688664 8106150 1468089"/>
    <n v="9991"/>
    <n v="58490"/>
    <n v="11372891519757"/>
    <n v="41776089824"/>
    <n v="762286794"/>
    <n v="175434069956"/>
    <n v="86166833568"/>
    <n v="23718415509"/>
    <n v="11228086529"/>
    <n v="0"/>
    <n v="113400555"/>
    <n v="11228086529"/>
    <n v="11341487084"/>
    <n v="187134775"/>
    <n v="0"/>
    <n v="1890009"/>
    <n v="187134775"/>
    <n v="189024784"/>
    <n v="19.435099999999998"/>
    <n v="9.6237399999999997"/>
    <n v="2744.27"/>
    <n v="1994.65"/>
    <n v="13862"/>
    <n v="1092"/>
    <n v="59.857323788194741"/>
    <n v="1.7255668192157894"/>
    <n v="2"/>
    <n v="19996"/>
    <n v="688664"/>
    <n v="8106150"/>
    <n v="1468089"/>
    <n v="0"/>
    <s v="u=1%, k=2x10^8"/>
    <x v="2"/>
    <n v="0.21987415696842108"/>
    <n v="4.0120357578947372E-3"/>
    <n v="0.92333721029473681"/>
    <n v="0.45350965035789476"/>
    <n v="0.12483376583684211"/>
    <n v="58.131756968978948"/>
  </r>
  <r>
    <s v="istree_exp6_rebuilding_time/step10016.txt"/>
    <s v="brown_ext_ist_lf_en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229425278E+18"/>
    <n v="999999989"/>
    <n v="1.00000229425278E+18"/>
    <n v="999999989"/>
    <s v="success"/>
    <n v="7"/>
    <n v="87193049"/>
    <n v="1084268213"/>
    <n v="1171461262"/>
    <n v="999999989"/>
    <n v="13.4353"/>
    <n v="0.92228100000000002"/>
    <n v="4.0054800000000004"/>
    <n v="24323971136"/>
    <s v="0 0 0 1355 14975"/>
    <s v="0 0 0 1355 14975"/>
    <m/>
    <n v="404582"/>
    <n v="1436565125197"/>
    <n v="5868727"/>
    <m/>
    <n v="27348453"/>
    <n v="650386322"/>
    <n v="1974670"/>
    <n v="1090723115"/>
    <n v="0"/>
    <n v="11013633"/>
    <n v="1090723115"/>
    <n v="1101736748"/>
    <n v="18178718"/>
    <n v="0"/>
    <n v="183560"/>
    <n v="18178718"/>
    <n v="18362279"/>
    <n v="22.0246"/>
    <n v="12.9031"/>
    <n v="3643.93"/>
    <n v="2908.96"/>
    <n v="59443"/>
    <n v="16313"/>
    <n v="59.856880216541668"/>
    <n v="2.8565757166666667E-2"/>
    <n v="0"/>
    <n v="0"/>
    <n v="0"/>
    <n v="1355"/>
    <n v="14975"/>
    <n v="0"/>
    <s v="u=1%, k=2x10^9"/>
    <x v="3"/>
    <n v="2.4453029166666664E-4"/>
    <n v="0"/>
    <n v="1.1395188750000001E-3"/>
    <n v="2.7099430083333334E-2"/>
    <n v="8.2277916666666671E-5"/>
    <n v="59.828314459375001"/>
  </r>
  <r>
    <s v="istree_exp6_rebuilding_time/step10017.txt"/>
    <s v="brown_ext_ist_lf_en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1.00000817261609E+18"/>
    <n v="1000003122"/>
    <n v="1.00000817261609E+18"/>
    <n v="1000003122"/>
    <s v="success"/>
    <n v="7"/>
    <n v="89423917"/>
    <n v="1088748268"/>
    <n v="1178172185"/>
    <n v="1000003122"/>
    <n v="13.1751"/>
    <n v="0.918489"/>
    <n v="4.0099900000000002"/>
    <n v="24574661504"/>
    <s v="0 0 0 8114 49091"/>
    <s v="0 0 0 8114 49091"/>
    <m/>
    <n v="181308"/>
    <n v="2873129538432"/>
    <n v="28393349"/>
    <m/>
    <n v="115282802"/>
    <n v="3073306287"/>
    <n v="11328451"/>
    <n v="1997696160"/>
    <n v="0"/>
    <n v="20177127"/>
    <n v="1997696160"/>
    <n v="2017873287"/>
    <n v="33294936"/>
    <n v="0"/>
    <n v="336285"/>
    <n v="33294936"/>
    <n v="33631221"/>
    <n v="21.997399999999999"/>
    <n v="12.9316"/>
    <n v="3977.75"/>
    <n v="3324.77"/>
    <n v="59816"/>
    <n v="12544"/>
    <n v="59.856865384000002"/>
    <n v="6.7256476854166664E-2"/>
    <n v="0"/>
    <n v="0"/>
    <n v="0"/>
    <n v="8114"/>
    <n v="49091"/>
    <n v="0"/>
    <s v="u=1%, k=2x10^9"/>
    <x v="3"/>
    <n v="5.9152810416666663E-4"/>
    <n v="0"/>
    <n v="2.4017250416666666E-3"/>
    <n v="6.4027214312499997E-2"/>
    <n v="2.3600939583333334E-4"/>
    <n v="59.789608907145833"/>
  </r>
  <r>
    <s v="istree_exp6_rebuilding_time/step10018.txt"/>
    <s v="brown_ext_ist_lf_en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9814681927104E+17"/>
    <n v="999993492"/>
    <n v="9.9999814681927104E+17"/>
    <n v="999993492"/>
    <s v="success"/>
    <n v="7"/>
    <n v="95119487"/>
    <n v="1100240354"/>
    <n v="1195359841"/>
    <n v="999993492"/>
    <n v="12.5669"/>
    <n v="0.90888599999999997"/>
    <n v="4.0216399999999997"/>
    <n v="25216925200"/>
    <s v="0 0 0 85092 227572"/>
    <s v="0 0 0 85092 227572"/>
    <m/>
    <n v="98810"/>
    <n v="5746257943684"/>
    <n v="185398963"/>
    <m/>
    <n v="642239209"/>
    <n v="9925000599"/>
    <n v="103632795"/>
    <n v="4408401305"/>
    <n v="0"/>
    <n v="44534045"/>
    <n v="4408401305"/>
    <n v="4452935350"/>
    <n v="73473355"/>
    <n v="0"/>
    <n v="742234"/>
    <n v="73473355"/>
    <n v="74215589"/>
    <n v="22.058499999999999"/>
    <n v="13.772500000000001"/>
    <n v="3601.64"/>
    <n v="2880.32"/>
    <n v="60705"/>
    <n v="9964"/>
    <n v="59.856853580041665"/>
    <n v="0.11308616214583334"/>
    <n v="0"/>
    <n v="0"/>
    <n v="0"/>
    <n v="85092"/>
    <n v="227572"/>
    <n v="0"/>
    <s v="u=1%, k=2x10^9"/>
    <x v="3"/>
    <n v="1.9312391979166667E-3"/>
    <n v="0"/>
    <n v="6.6899917604166664E-3"/>
    <n v="0.10338542290625001"/>
    <n v="1.0795082812499999E-3"/>
    <n v="59.743767417895832"/>
  </r>
  <r>
    <s v="istree_exp6_rebuilding_time/step10019.txt"/>
    <s v="brown_ext_ist_lf_en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725720081E+18"/>
    <n v="1000001230"/>
    <n v="1.00000725720081E+18"/>
    <n v="1000001230"/>
    <s v="success"/>
    <n v="7"/>
    <n v="99977636"/>
    <n v="1110116360"/>
    <n v="1210093996"/>
    <n v="1000001230"/>
    <n v="12.1036"/>
    <n v="0.90080800000000005"/>
    <n v="4.0316999999999998"/>
    <n v="25767370208"/>
    <s v="0 0 0 279877 487003"/>
    <s v="0 0 0 279877 487003"/>
    <m/>
    <n v="65506"/>
    <n v="8619385469982"/>
    <n v="501411549"/>
    <m/>
    <n v="1668827166"/>
    <n v="12477799067"/>
    <n v="302894226"/>
    <n v="6606156403"/>
    <n v="0"/>
    <n v="66726322"/>
    <n v="6606156403"/>
    <n v="6672882725"/>
    <n v="110102606"/>
    <n v="0"/>
    <n v="1112105"/>
    <n v="110102606"/>
    <n v="111214712"/>
    <n v="22.099699999999999"/>
    <n v="14.0045"/>
    <n v="3604.38"/>
    <n v="2871.05"/>
    <n v="61554"/>
    <n v="9285"/>
    <n v="59.856843541541672"/>
    <n v="0.10382591672222223"/>
    <n v="0"/>
    <n v="0"/>
    <n v="0"/>
    <n v="279877"/>
    <n v="487003"/>
    <n v="0"/>
    <s v="u=1%, k=2x10^9"/>
    <x v="3"/>
    <n v="3.4820246458333332E-3"/>
    <n v="0"/>
    <n v="1.1589077541666666E-2"/>
    <n v="8.6651382409722214E-2"/>
    <n v="2.1034321250000001E-3"/>
    <n v="59.753017624819449"/>
  </r>
  <r>
    <s v="istree_exp6_rebuilding_time/step10020.txt"/>
    <s v="brown_ext_ist_lf_en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1183264744E+18"/>
    <n v="1000010816"/>
    <n v="1.00001183264744E+18"/>
    <n v="1000010816"/>
    <s v="success"/>
    <n v="7"/>
    <n v="104054421"/>
    <n v="1118468702"/>
    <n v="1222523123"/>
    <n v="1000010816"/>
    <n v="11.748900000000001"/>
    <n v="0.89408900000000002"/>
    <n v="4.0402500000000003"/>
    <n v="26231402944"/>
    <s v="0 0 0 596369 787903"/>
    <s v="0 0 0 596369 787903"/>
    <m/>
    <n v="51038"/>
    <n v="11372798203740"/>
    <n v="973714200"/>
    <m/>
    <n v="3060296549"/>
    <n v="14820154110"/>
    <n v="588728707"/>
    <n v="8599094151"/>
    <n v="0"/>
    <n v="86868166"/>
    <n v="8599094151"/>
    <n v="8685962317"/>
    <n v="143318235"/>
    <n v="0"/>
    <n v="1447802"/>
    <n v="143318235"/>
    <n v="144766038"/>
    <n v="22.183900000000001"/>
    <n v="14.129799999999999"/>
    <n v="3652.43"/>
    <n v="2909.46"/>
    <n v="62224"/>
    <n v="9059"/>
    <n v="59.856832651263154"/>
    <n v="0.10233101876842104"/>
    <n v="0"/>
    <n v="0"/>
    <n v="0"/>
    <n v="596369"/>
    <n v="787903"/>
    <n v="0"/>
    <s v="u=1%, k=2x10^9"/>
    <x v="3"/>
    <n v="5.1248115789473683E-3"/>
    <n v="0"/>
    <n v="1.6106823942105261E-2"/>
    <n v="7.8000811105263163E-2"/>
    <n v="3.0985721421052633E-3"/>
    <n v="59.75450163249473"/>
  </r>
  <r>
    <s v="istree_exp6_rebuilding_time/step10021.txt"/>
    <s v="brown_ext_ist_lf_en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939634502"/>
    <n v="998991"/>
    <n v="998939634502"/>
    <n v="998991"/>
    <s v="success"/>
    <n v="6"/>
    <n v="83245"/>
    <n v="1135285"/>
    <n v="1218530"/>
    <n v="998991"/>
    <n v="14.6379"/>
    <n v="0.87994700000000003"/>
    <n v="3.10968"/>
    <n v="24927584"/>
    <s v="1021 691839 9953033 11114411"/>
    <s v="770 690777 9951977 11114324"/>
    <n v="178017"/>
    <n v="1464898"/>
    <n v="1436563743951"/>
    <n v="34861974932"/>
    <n v="317253932"/>
    <n v="41054143376"/>
    <n v="32642456170"/>
    <n v="16582470619"/>
    <n v="3467354405"/>
    <n v="0"/>
    <n v="385247497"/>
    <n v="3467354405"/>
    <n v="3852601902"/>
    <n v="57789240"/>
    <n v="0"/>
    <n v="6420791"/>
    <n v="57789240"/>
    <n v="64210031"/>
    <n v="10.234"/>
    <n v="0.36396699999999998"/>
    <n v="1041.43"/>
    <n v="375.48700000000002"/>
    <n v="1206"/>
    <n v="28"/>
    <n v="59.856822664625007"/>
    <n v="5.2274291262083334"/>
    <n v="770"/>
    <n v="690777"/>
    <n v="9951977"/>
    <n v="11114324"/>
    <n v="0"/>
    <n v="0"/>
    <s v="u=10%, k=2x10^6"/>
    <x v="4"/>
    <n v="1.4525822888333335"/>
    <n v="1.3218913833333333E-2"/>
    <n v="1.7105893073333334"/>
    <n v="1.3601023404166668"/>
    <n v="0.69093627579166661"/>
    <n v="54.629393538416672"/>
  </r>
  <r>
    <s v="istree_exp6_rebuilding_time/step10022.txt"/>
    <s v="brown_ext_ist_lf_en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102750410"/>
    <n v="1000652"/>
    <n v="1000102750410"/>
    <n v="1000652"/>
    <s v="success"/>
    <n v="6"/>
    <n v="61568"/>
    <n v="1090389"/>
    <n v="1151957"/>
    <n v="1000652"/>
    <n v="18.7103"/>
    <n v="0.91770200000000002"/>
    <n v="3.0597699999999999"/>
    <n v="22401456"/>
    <s v="1750 1130426 10728619 15570000"/>
    <s v="1145 1129376 10724883 15569739"/>
    <n v="748112"/>
    <n v="541962"/>
    <n v="2873127090926"/>
    <n v="87538425200"/>
    <n v="1553081838"/>
    <n v="104268608207"/>
    <n v="56850310038"/>
    <n v="40409830758"/>
    <n v="5153188403"/>
    <n v="0"/>
    <n v="572511015"/>
    <n v="5153188403"/>
    <n v="5725699418"/>
    <n v="85886473"/>
    <n v="0"/>
    <n v="9541850"/>
    <n v="85886473"/>
    <n v="95428323"/>
    <n v="10.3573"/>
    <n v="0.47197"/>
    <n v="1390.73"/>
    <n v="596.64700000000005"/>
    <n v="1251"/>
    <n v="32"/>
    <n v="59.856814394291668"/>
    <n v="6.0545886675208331"/>
    <n v="1145"/>
    <n v="1129376"/>
    <n v="10724883"/>
    <n v="15569739"/>
    <n v="0"/>
    <n v="0"/>
    <s v="u=10%, k=2x10^6"/>
    <x v="4"/>
    <n v="1.8237171916666668"/>
    <n v="3.2355871624999998E-2"/>
    <n v="2.1722626709791668"/>
    <n v="1.1843814591250001"/>
    <n v="0.84187147412499996"/>
    <n v="53.802225726770835"/>
  </r>
  <r>
    <s v="istree_exp6_rebuilding_time/step10023.txt"/>
    <s v="brown_ext_ist_lf_en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008598282"/>
    <n v="999319"/>
    <n v="999008598282"/>
    <n v="999319"/>
    <s v="success"/>
    <n v="6"/>
    <n v="63460"/>
    <n v="1093735"/>
    <n v="1157195"/>
    <n v="999319"/>
    <n v="18.234999999999999"/>
    <n v="0.91367600000000004"/>
    <n v="3.0644999999999998"/>
    <n v="22615264"/>
    <s v="2981 2821439 4888723 20761882"/>
    <s v="1797 2806914 4880901 20760937"/>
    <n v="3840059"/>
    <n v="222878"/>
    <n v="5746253928010"/>
    <n v="275649778292"/>
    <n v="9206961904"/>
    <n v="339844126078"/>
    <n v="150881553686"/>
    <n v="265638289542"/>
    <n v="8085701923"/>
    <n v="0"/>
    <n v="898455266"/>
    <n v="8085701923"/>
    <n v="8984157189"/>
    <n v="134761698"/>
    <n v="0"/>
    <n v="14974254"/>
    <n v="134761698"/>
    <n v="149735953"/>
    <n v="11.113"/>
    <n v="1.6114299999999999"/>
    <n v="1784.5"/>
    <n v="972.34100000000001"/>
    <n v="1364"/>
    <n v="165"/>
    <n v="59.856811750104164"/>
    <n v="10.8460490573125"/>
    <n v="1797"/>
    <n v="2806914"/>
    <n v="4880901"/>
    <n v="20760937"/>
    <n v="0"/>
    <n v="0"/>
    <s v="u=10%, k=2x10^6"/>
    <x v="4"/>
    <n v="2.8713518572083334"/>
    <n v="9.5905853166666666E-2"/>
    <n v="3.5400429799791664"/>
    <n v="1.5716828508958332"/>
    <n v="2.7670655160625"/>
    <n v="49.010762692791666"/>
  </r>
  <r>
    <s v="istree_exp6_rebuilding_time/step10024.txt"/>
    <s v="brown_ext_ist_lf_en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1127618429"/>
    <n v="1000690"/>
    <n v="1001127618429"/>
    <n v="1000690"/>
    <s v="success"/>
    <n v="6"/>
    <n v="52656"/>
    <n v="1072109"/>
    <n v="1124765"/>
    <n v="1000690"/>
    <n v="21.360600000000002"/>
    <n v="0.93338500000000002"/>
    <n v="3.0405500000000001"/>
    <n v="21380928"/>
    <s v="3761 6321013 1137516 17597424"/>
    <s v="2168 6291312 1133190 17596193"/>
    <n v="10083350"/>
    <n v="124332"/>
    <n v="8619381392491"/>
    <n v="530851100155"/>
    <n v="23965110542"/>
    <n v="703405809542"/>
    <n v="180713763622"/>
    <n v="641158224207"/>
    <n v="9748407285"/>
    <n v="0"/>
    <n v="1083158744"/>
    <n v="9748407285"/>
    <n v="10831566029"/>
    <n v="162473454"/>
    <n v="0"/>
    <n v="18052645"/>
    <n v="162473454"/>
    <n v="180526100"/>
    <n v="12.323700000000001"/>
    <n v="2.7082299999999999"/>
    <n v="2217.56"/>
    <n v="1351.21"/>
    <n v="1518"/>
    <n v="281"/>
    <n v="59.856815225631941"/>
    <n v="14.445097278250001"/>
    <n v="2168"/>
    <n v="6291312"/>
    <n v="1133190"/>
    <n v="17596193"/>
    <n v="0"/>
    <n v="0"/>
    <s v="u=10%, k=2x10^6"/>
    <x v="4"/>
    <n v="3.6864659732986116"/>
    <n v="0.16642437876388891"/>
    <n v="4.8847625662638894"/>
    <n v="1.2549566918194444"/>
    <n v="4.4524876681041663"/>
    <n v="45.411717947381945"/>
  </r>
  <r>
    <s v="istree_exp6_rebuilding_time/step10025.txt"/>
    <s v="brown_ext_ist_lf_en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496387764"/>
    <n v="999145"/>
    <n v="999496387764"/>
    <n v="999145"/>
    <s v="success"/>
    <n v="6"/>
    <n v="33049"/>
    <n v="1031245"/>
    <n v="1064294"/>
    <n v="999145"/>
    <n v="32.203499999999998"/>
    <n v="0.96887299999999998"/>
    <n v="3.0000900000000001"/>
    <n v="19143824"/>
    <s v="4568 5982652 2907575 23891273"/>
    <s v="2548 5947743 2896682 23889382"/>
    <n v="13272124"/>
    <n v="85304"/>
    <n v="11373337283844"/>
    <n v="652879471673"/>
    <n v="38469600347"/>
    <n v="962140833561"/>
    <n v="238362581659"/>
    <n v="1138903911582"/>
    <n v="11451879992"/>
    <n v="0"/>
    <n v="1272467404"/>
    <n v="11451879992"/>
    <n v="12724347396"/>
    <n v="190864666"/>
    <n v="0"/>
    <n v="21207790"/>
    <n v="190864666"/>
    <n v="212072456"/>
    <n v="12.635400000000001"/>
    <n v="3.1222300000000001"/>
    <n v="2492.2600000000002"/>
    <n v="1625.07"/>
    <n v="1649"/>
    <n v="247"/>
    <n v="59.859669914968414"/>
    <n v="15.95134946748421"/>
    <n v="2548"/>
    <n v="5947743"/>
    <n v="2896682"/>
    <n v="23889382"/>
    <n v="0"/>
    <n v="0"/>
    <s v="u=10%, k=2x10^6"/>
    <x v="4"/>
    <n v="3.4362077456473683"/>
    <n v="0.20247158077368418"/>
    <n v="5.0638991240052631"/>
    <n v="1.254539903468421"/>
    <n v="5.9942311135894739"/>
    <n v="43.908320447484201"/>
  </r>
  <r>
    <s v="istree_exp6_rebuilding_time/step10026.txt"/>
    <s v="brown_ext_ist_lf_en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04274610576"/>
    <n v="9999706"/>
    <n v="100004274610576"/>
    <n v="9999706"/>
    <s v="success"/>
    <n v="7"/>
    <n v="1907743"/>
    <n v="12036494"/>
    <n v="13944237"/>
    <n v="9999706"/>
    <n v="7.3092800000000002"/>
    <n v="0.83078200000000002"/>
    <n v="4.05633"/>
    <n v="345240192"/>
    <s v="43 95152 2733610 25286976 84782"/>
    <s v="34 95064 2733560 25286914 84782"/>
    <n v="25745"/>
    <n v="615148"/>
    <n v="1436563140448"/>
    <n v="50984918760"/>
    <n v="209879917"/>
    <n v="59031331121"/>
    <n v="38846140663"/>
    <n v="23090000858"/>
    <n v="1556561241"/>
    <n v="0"/>
    <n v="172950014"/>
    <n v="1556561241"/>
    <n v="1729511255"/>
    <n v="25942687"/>
    <n v="0"/>
    <n v="2882500"/>
    <n v="25942687"/>
    <n v="28825187"/>
    <n v="18.492699999999999"/>
    <n v="7.3153800000000002"/>
    <n v="2298.8200000000002"/>
    <n v="1490.3"/>
    <n v="2438"/>
    <n v="154"/>
    <n v="59.856797518666667"/>
    <n v="7.1734279716250002"/>
    <n v="34"/>
    <n v="95064"/>
    <n v="2733560"/>
    <n v="25286914"/>
    <n v="84782"/>
    <n v="0"/>
    <s v="u=10%, k=2x10^7"/>
    <x v="5"/>
    <n v="2.1243716149999998"/>
    <n v="8.7449965416666661E-3"/>
    <n v="2.4596387967083335"/>
    <n v="1.6185891942916666"/>
    <n v="0.96208336908333336"/>
    <n v="52.683369547041664"/>
  </r>
  <r>
    <s v="istree_exp6_rebuilding_time/step10027.txt"/>
    <s v="brown_ext_ist_lf_en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85108387951"/>
    <n v="10000470"/>
    <n v="99985108387951"/>
    <n v="10000470"/>
    <s v="success"/>
    <n v="7"/>
    <n v="1848368"/>
    <n v="11926487"/>
    <n v="13774855"/>
    <n v="10000470"/>
    <n v="7.4524400000000002"/>
    <n v="0.83850899999999995"/>
    <n v="4.0424800000000003"/>
    <n v="338738048"/>
    <s v="79 180609 3993543 41879076 136746"/>
    <s v="58 180518 3993328 41878872 136746"/>
    <n v="114669"/>
    <n v="257304"/>
    <n v="2873129998467"/>
    <n v="111689862241"/>
    <n v="1040406584"/>
    <n v="144634078448"/>
    <n v="86479382815"/>
    <n v="52744800405"/>
    <n v="2648300402"/>
    <n v="0"/>
    <n v="294259313"/>
    <n v="2648300402"/>
    <n v="2942559715"/>
    <n v="44138340"/>
    <n v="0"/>
    <n v="4904321"/>
    <n v="44138340"/>
    <n v="49042661"/>
    <n v="18.760200000000001"/>
    <n v="7.5037399999999996"/>
    <n v="2698.02"/>
    <n v="1850.33"/>
    <n v="2488"/>
    <n v="183"/>
    <n v="59.856874968062499"/>
    <n v="8.2622610519375002"/>
    <n v="58"/>
    <n v="180518"/>
    <n v="3993328"/>
    <n v="41878872"/>
    <n v="136746"/>
    <n v="0"/>
    <s v="u=10%, k=2x10^7"/>
    <x v="5"/>
    <n v="2.3268721300208335"/>
    <n v="2.1675137166666667E-2"/>
    <n v="3.0132099676666666"/>
    <n v="1.8016538086458331"/>
    <n v="1.0988500084374999"/>
    <n v="51.594613916124999"/>
  </r>
  <r>
    <s v="istree_exp6_rebuilding_time/step10028.txt"/>
    <s v="brown_ext_ist_lf_en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99985000188821"/>
    <n v="9998011"/>
    <n v="99985000188821"/>
    <n v="9998011"/>
    <s v="success"/>
    <n v="7"/>
    <n v="1870195"/>
    <n v="11963909"/>
    <n v="13834104"/>
    <n v="9998011"/>
    <n v="7.3971499999999999"/>
    <n v="0.83568100000000001"/>
    <n v="4.0480499999999999"/>
    <n v="341079072"/>
    <s v="171 367094 5375495 80033338 235313"/>
    <s v="116 367045 5374576 80032632 235313"/>
    <n v="469835"/>
    <n v="133126"/>
    <n v="5746272578834"/>
    <n v="221658470654"/>
    <n v="4878321331"/>
    <n v="325875781887"/>
    <n v="278986172485"/>
    <n v="110147970643"/>
    <n v="5253291590"/>
    <n v="0"/>
    <n v="583655048"/>
    <n v="5253291590"/>
    <n v="5836946638"/>
    <n v="87554859"/>
    <n v="0"/>
    <n v="9727584"/>
    <n v="87554859"/>
    <n v="97282443"/>
    <n v="18.988"/>
    <n v="7.95052"/>
    <n v="2713.63"/>
    <n v="1823.06"/>
    <n v="2611"/>
    <n v="260"/>
    <n v="59.857006029520839"/>
    <n v="9.8077783020833333"/>
    <n v="116"/>
    <n v="367045"/>
    <n v="5374576"/>
    <n v="80032632"/>
    <n v="235313"/>
    <n v="0"/>
    <s v="u=10%, k=2x10^7"/>
    <x v="5"/>
    <n v="2.3089424026458336"/>
    <n v="5.0815847197916673E-2"/>
    <n v="3.3945393946562503"/>
    <n v="2.9061059633854165"/>
    <n v="1.1473746941979166"/>
    <n v="50.049227727437504"/>
  </r>
  <r>
    <s v="istree_exp6_rebuilding_time/step10029.txt"/>
    <s v="brown_ext_ist_lf_en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08055042154"/>
    <n v="10001527"/>
    <n v="100008055042154"/>
    <n v="10001527"/>
    <s v="success"/>
    <n v="7"/>
    <n v="1902178"/>
    <n v="12023851"/>
    <n v="13926029"/>
    <n v="10001527"/>
    <n v="7.3211000000000004"/>
    <n v="0.83180699999999996"/>
    <n v="4.05532"/>
    <n v="344585056"/>
    <s v="263 531426 4451752 112721025 282828"/>
    <s v="168 531346 4450296 112719511 282828"/>
    <n v="1000119"/>
    <n v="88626"/>
    <n v="8619378033001"/>
    <n v="321502533393"/>
    <n v="8898035569"/>
    <n v="485454060031"/>
    <n v="520141322000"/>
    <n v="170049091824"/>
    <n v="7583000776"/>
    <n v="0"/>
    <n v="842534952"/>
    <n v="7583000776"/>
    <n v="8425535728"/>
    <n v="126383346"/>
    <n v="0"/>
    <n v="14042249"/>
    <n v="126383346"/>
    <n v="140425595"/>
    <n v="19.101099999999999"/>
    <n v="8.2666799999999991"/>
    <n v="2812.49"/>
    <n v="1896.24"/>
    <n v="2774"/>
    <n v="281"/>
    <n v="59.856791895840274"/>
    <n v="10.45864613067361"/>
    <n v="168"/>
    <n v="531346"/>
    <n v="4450296"/>
    <n v="112719511"/>
    <n v="282828"/>
    <n v="0"/>
    <s v="u=10%, k=2x10^7"/>
    <x v="5"/>
    <n v="2.2326564818958334"/>
    <n v="6.1791913673611108E-2"/>
    <n v="3.3712087502152777"/>
    <n v="3.6120925138888884"/>
    <n v="1.1808964709999998"/>
    <n v="49.39814576516666"/>
  </r>
  <r>
    <s v="istree_exp6_rebuilding_time/step10030.txt"/>
    <s v="brown_ext_ist_lf_en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100013799170242"/>
    <n v="10000330"/>
    <n v="100013799170242"/>
    <n v="10000330"/>
    <s v="success"/>
    <n v="7"/>
    <n v="1744353"/>
    <n v="11692864"/>
    <n v="13437217"/>
    <n v="10000330"/>
    <n v="7.7032699999999998"/>
    <n v="0.85525099999999998"/>
    <n v="4.0240400000000003"/>
    <n v="326645216"/>
    <s v="353 669910 5651052 141733561 356338"/>
    <s v="211 669806 5648591 141731044 356334"/>
    <n v="1677279"/>
    <n v="69310"/>
    <n v="11372812727871"/>
    <n v="428203783888"/>
    <n v="15851172460"/>
    <n v="684542397973"/>
    <n v="799595792546"/>
    <n v="240608764989"/>
    <n v="9527512374"/>
    <n v="0"/>
    <n v="1058699263"/>
    <n v="9527512374"/>
    <n v="10586211637"/>
    <n v="158791872"/>
    <n v="0"/>
    <n v="17644987"/>
    <n v="158791872"/>
    <n v="176436860"/>
    <n v="19.277100000000001"/>
    <n v="8.5356400000000008"/>
    <n v="2939.66"/>
    <n v="1995.23"/>
    <n v="2877"/>
    <n v="407"/>
    <n v="59.856909094057897"/>
    <n v="11.414746904505263"/>
    <n v="211"/>
    <n v="669806"/>
    <n v="5648591"/>
    <n v="141731044"/>
    <n v="356334"/>
    <n v="0"/>
    <s v="u=10%, k=2x10^7"/>
    <x v="5"/>
    <n v="2.2537041257263155"/>
    <n v="8.3427223473684212E-2"/>
    <n v="3.6028547261736841"/>
    <n v="4.208398908136842"/>
    <n v="1.266361920994737"/>
    <n v="48.442162189552633"/>
  </r>
  <r>
    <s v="istree_exp6_rebuilding_time/step10031.txt"/>
    <s v="brown_ext_ist_lf_en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8472086957380"/>
    <n v="99989059"/>
    <n v="9998472086957380"/>
    <n v="99989059"/>
    <s v="success"/>
    <n v="7"/>
    <n v="14396332"/>
    <n v="116986469"/>
    <n v="131382801"/>
    <n v="99989059"/>
    <n v="9.1261299999999999"/>
    <n v="0.85470599999999997"/>
    <n v="4.0671999999999997"/>
    <n v="3027172144"/>
    <s v="3 12741 1336137 12288120 2023810"/>
    <s v="2 12734 1336134 12288118 2023810"/>
    <n v="2361"/>
    <n v="529166"/>
    <n v="1436562705229"/>
    <n v="28857464685"/>
    <n v="30418724"/>
    <n v="38021299974"/>
    <n v="28902377267"/>
    <n v="12049458631"/>
    <n v="1307191988"/>
    <n v="0"/>
    <n v="145237381"/>
    <n v="1307191988"/>
    <n v="1452429369"/>
    <n v="21786533"/>
    <n v="0"/>
    <n v="2420623"/>
    <n v="21786533"/>
    <n v="24207156"/>
    <n v="20.878799999999998"/>
    <n v="9.4419299999999993"/>
    <n v="2739.78"/>
    <n v="2018.76"/>
    <n v="10167"/>
    <n v="1534"/>
    <n v="59.85677938454166"/>
    <n v="4.4942091367083332"/>
    <n v="2"/>
    <n v="12734"/>
    <n v="1336134"/>
    <n v="12288118"/>
    <n v="2023810"/>
    <n v="0"/>
    <s v="u=10%, k=2x10^8"/>
    <x v="6"/>
    <n v="1.2023943618749999"/>
    <n v="1.2674468333333333E-3"/>
    <n v="1.58422083225"/>
    <n v="1.2042657194583333"/>
    <n v="0.50206077629166668"/>
    <n v="55.362570247833325"/>
  </r>
  <r>
    <s v="istree_exp6_rebuilding_time/step10032.txt"/>
    <s v="brown_ext_ist_lf_en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1.000022647809E+16"/>
    <n v="99997404"/>
    <n v="1.000022647809E+16"/>
    <n v="99997404"/>
    <s v="success"/>
    <n v="7"/>
    <n v="14560523"/>
    <n v="117394819"/>
    <n v="131955342"/>
    <n v="99997404"/>
    <n v="9.0625400000000003"/>
    <n v="0.85180400000000001"/>
    <n v="4.07165"/>
    <n v="3047088416"/>
    <s v="4 34331 2133615 20238743 3349939"/>
    <s v="4 34299 2133594 20238733 3349938"/>
    <n v="13818"/>
    <n v="211726"/>
    <n v="2873125337878"/>
    <n v="82506823492"/>
    <n v="206233138"/>
    <n v="110084801098"/>
    <n v="77050423362"/>
    <n v="35061437470"/>
    <n v="2184604197"/>
    <n v="0"/>
    <n v="242729725"/>
    <n v="2184604197"/>
    <n v="2427333922"/>
    <n v="36410069"/>
    <n v="0"/>
    <n v="4045495"/>
    <n v="36410069"/>
    <n v="40455565"/>
    <n v="21.513500000000001"/>
    <n v="9.8220899999999993"/>
    <n v="3243.66"/>
    <n v="2423.59"/>
    <n v="13577"/>
    <n v="1261"/>
    <n v="59.856777872458338"/>
    <n v="6.3522858033333334"/>
    <n v="4"/>
    <n v="34299"/>
    <n v="2133594"/>
    <n v="20238733"/>
    <n v="3349938"/>
    <n v="0"/>
    <s v="u=10%, k=2x10^8"/>
    <x v="6"/>
    <n v="1.7188921560833332"/>
    <n v="4.2965237083333338E-3"/>
    <n v="2.2934333562083333"/>
    <n v="1.6052171533750001"/>
    <n v="0.73044661395833332"/>
    <n v="53.504492069125007"/>
  </r>
  <r>
    <s v="istree_exp6_rebuilding_time/step10033.txt"/>
    <s v="brown_ext_ist_lf_en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550660464430"/>
    <n v="100000327"/>
    <n v="9999550660464430"/>
    <n v="100000327"/>
    <s v="success"/>
    <n v="7"/>
    <n v="12026378"/>
    <n v="112044191"/>
    <n v="124070569"/>
    <n v="100000327"/>
    <n v="10.3165"/>
    <n v="0.89250799999999997"/>
    <n v="4.0205700000000002"/>
    <n v="2755104736"/>
    <s v="15 89218 3550648 35992451 6070778"/>
    <s v="9 89195 3550568 35992412 6070777"/>
    <n v="83322"/>
    <n v="82726"/>
    <n v="5746398327047"/>
    <n v="183173351192"/>
    <n v="1599511172"/>
    <n v="327960088250"/>
    <n v="254782574954"/>
    <n v="85248509283"/>
    <n v="4088267795"/>
    <n v="0"/>
    <n v="454263252"/>
    <n v="4088267795"/>
    <n v="4542531047"/>
    <n v="68137796"/>
    <n v="0"/>
    <n v="7571054"/>
    <n v="68137796"/>
    <n v="75708850"/>
    <n v="22.123799999999999"/>
    <n v="10.849600000000001"/>
    <n v="3352.82"/>
    <n v="2477.9"/>
    <n v="13169"/>
    <n v="1074"/>
    <n v="59.858315906739584"/>
    <n v="8.8829586963645841"/>
    <n v="9"/>
    <n v="89195"/>
    <n v="3550568"/>
    <n v="35992412"/>
    <n v="6070777"/>
    <n v="0"/>
    <s v="u=10%, k=2x10^8"/>
    <x v="6"/>
    <n v="1.9080557415833335"/>
    <n v="1.6661574708333331E-2"/>
    <n v="3.4162509192708335"/>
    <n v="2.6539851557708336"/>
    <n v="0.88800530503125008"/>
    <n v="50.975357210375002"/>
  </r>
  <r>
    <s v="istree_exp6_rebuilding_time/step10034.txt"/>
    <s v="brown_ext_ist_lf_en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9640943029210"/>
    <n v="100002965"/>
    <n v="9999640943029210"/>
    <n v="100002965"/>
    <s v="success"/>
    <n v="7"/>
    <n v="11299613"/>
    <n v="110581723"/>
    <n v="121881336"/>
    <n v="100002965"/>
    <n v="10.786300000000001"/>
    <n v="0.904335"/>
    <n v="4.0057999999999998"/>
    <n v="2673303600"/>
    <s v="23 129963 4548554 50686264 8668910"/>
    <s v="13 129955 4548385 50686176 8668903"/>
    <n v="173434"/>
    <n v="48388"/>
    <n v="8619727087689"/>
    <n v="266254071063"/>
    <n v="5423165896"/>
    <n v="577553797660"/>
    <n v="486277299034"/>
    <n v="135372283676"/>
    <n v="5860123145"/>
    <n v="0"/>
    <n v="651124672"/>
    <n v="5860123145"/>
    <n v="6511247817"/>
    <n v="97668719"/>
    <n v="0"/>
    <n v="10852077"/>
    <n v="97668719"/>
    <n v="108520796"/>
    <n v="22.266999999999999"/>
    <n v="11.1889"/>
    <n v="3438.84"/>
    <n v="2547.42"/>
    <n v="14039"/>
    <n v="1026"/>
    <n v="59.859215886729167"/>
    <n v="10.214448731451389"/>
    <n v="13"/>
    <n v="129955"/>
    <n v="4548385"/>
    <n v="50686176"/>
    <n v="8668903"/>
    <n v="0"/>
    <s v="u=10%, k=2x10^8"/>
    <x v="6"/>
    <n v="1.8489866046041668"/>
    <n v="3.7660874277777784E-2"/>
    <n v="4.0107902615277773"/>
    <n v="3.3769256877361111"/>
    <n v="0.94008530330555551"/>
    <n v="49.644767155277776"/>
  </r>
  <r>
    <s v="istree_exp6_rebuilding_time/step10035.txt"/>
    <s v="brown_ext_ist_lf_en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845435199330"/>
    <n v="99993940"/>
    <n v="9999845435199330"/>
    <n v="99993940"/>
    <s v="success"/>
    <n v="7"/>
    <n v="14951033"/>
    <n v="118276591"/>
    <n v="133227624"/>
    <n v="99993940"/>
    <n v="8.9109300000000005"/>
    <n v="0.84542499999999998"/>
    <n v="4.0822000000000003"/>
    <n v="3092804176"/>
    <s v="29 159959 5541261 64554992 11119635"/>
    <s v="16 159948 5541019 64554848 11119619"/>
    <n v="276254"/>
    <n v="34276"/>
    <n v="11373127264784"/>
    <n v="338409999331"/>
    <n v="11141629054"/>
    <n v="819369213865"/>
    <n v="716993088208"/>
    <n v="183610289006"/>
    <n v="7494001179"/>
    <n v="0"/>
    <n v="832650608"/>
    <n v="7494001179"/>
    <n v="8326651787"/>
    <n v="124900019"/>
    <n v="0"/>
    <n v="13877510"/>
    <n v="124900019"/>
    <n v="138777529"/>
    <n v="22.279499999999999"/>
    <n v="11.346299999999999"/>
    <n v="3501.81"/>
    <n v="2612.04"/>
    <n v="14278"/>
    <n v="1088"/>
    <n v="59.858564551494737"/>
    <n v="10.892232734021052"/>
    <n v="16"/>
    <n v="159948"/>
    <n v="5541019"/>
    <n v="64554848"/>
    <n v="11119619"/>
    <n v="0"/>
    <s v="u=10%, k=2x10^8"/>
    <x v="6"/>
    <n v="1.7811052596368422"/>
    <n v="5.8640152915789466E-2"/>
    <n v="4.3124695466578951"/>
    <n v="3.7736478326736842"/>
    <n v="0.96636994213684202"/>
    <n v="48.966331817473687"/>
  </r>
  <r>
    <s v="istree_exp6_rebuilding_time/step10036.txt"/>
    <s v="brown_ext_ist_lf_en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8976660014502E+17"/>
    <n v="999997935"/>
    <n v="9.9998976660014502E+17"/>
    <n v="999997935"/>
    <s v="success"/>
    <n v="7"/>
    <n v="107434921"/>
    <n v="1125441934"/>
    <n v="1232876855"/>
    <n v="999997935"/>
    <n v="11.4756"/>
    <n v="0.88853800000000005"/>
    <n v="4.04739"/>
    <n v="26617618016"/>
    <s v="0 0 0 1021297 1101795"/>
    <s v="0 0 0 1021297 1101795"/>
    <m/>
    <n v="388274"/>
    <n v="1436562529968"/>
    <n v="868820150"/>
    <m/>
    <n v="1734373923"/>
    <n v="2103726568"/>
    <n v="253757365"/>
    <n v="945228193"/>
    <n v="0"/>
    <n v="105032831"/>
    <n v="945228193"/>
    <n v="1050261024"/>
    <n v="15753803"/>
    <n v="0"/>
    <n v="1750547"/>
    <n v="15753803"/>
    <n v="17504350"/>
    <n v="22.9391"/>
    <n v="13.5069"/>
    <n v="3815.29"/>
    <n v="3043.29"/>
    <n v="61804"/>
    <n v="16250"/>
    <n v="59.856772081999999"/>
    <n v="0.20669491691666667"/>
    <n v="0"/>
    <n v="0"/>
    <n v="0"/>
    <n v="1021297"/>
    <n v="1101795"/>
    <n v="0"/>
    <s v="u=10%, k=2x10^9"/>
    <x v="7"/>
    <n v="3.6200839583333332E-2"/>
    <n v="0"/>
    <n v="7.2265580124999992E-2"/>
    <n v="8.7655273666666658E-2"/>
    <n v="1.0573223541666668E-2"/>
    <n v="59.650077165083331"/>
  </r>
  <r>
    <s v="istree_exp6_rebuilding_time/step10037.txt"/>
    <s v="brown_ext_ist_lf_en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7816395205798E+17"/>
    <n v="1000002380"/>
    <n v="9.9997816395205798E+17"/>
    <n v="1000002380"/>
    <s v="success"/>
    <n v="7"/>
    <n v="119340466"/>
    <n v="1150578024"/>
    <n v="1269918490"/>
    <n v="1000002380"/>
    <n v="10.6411"/>
    <n v="0.86912999999999996"/>
    <n v="4.07308"/>
    <n v="27993030016"/>
    <s v="0 0 0 4883923 2898576"/>
    <s v="0 0 0 4883923 2898576"/>
    <m/>
    <n v="171134"/>
    <n v="2873124933373"/>
    <n v="5126808459"/>
    <m/>
    <n v="9115979812"/>
    <n v="9039135102"/>
    <n v="1729531034"/>
    <n v="1697824030"/>
    <n v="0"/>
    <n v="188654943"/>
    <n v="1697824030"/>
    <n v="1886478973"/>
    <n v="28297067"/>
    <n v="0"/>
    <n v="3144249"/>
    <n v="28297067"/>
    <n v="31441316"/>
    <n v="23.187999999999999"/>
    <n v="13.7056"/>
    <n v="4247.99"/>
    <n v="3541.81"/>
    <n v="63665"/>
    <n v="11694"/>
    <n v="59.856769445270835"/>
    <n v="0.52107196681250001"/>
    <n v="0"/>
    <n v="0"/>
    <n v="0"/>
    <n v="4883923"/>
    <n v="2898576"/>
    <n v="0"/>
    <s v="u=10%, k=2x10^9"/>
    <x v="7"/>
    <n v="0.1068085095625"/>
    <n v="0"/>
    <n v="0.18991624608333335"/>
    <n v="0.18831531462499998"/>
    <n v="3.6031896541666671E-2"/>
    <n v="59.335697478458336"/>
  </r>
  <r>
    <s v="istree_exp6_rebuilding_time/step10038.txt"/>
    <s v="brown_ext_ist_lf_en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1.00002102840946E+18"/>
    <n v="999987967"/>
    <n v="1.00002102840946E+18"/>
    <n v="999987967"/>
    <s v="success"/>
    <n v="7"/>
    <n v="126481313"/>
    <n v="1167750143"/>
    <n v="1294231456"/>
    <n v="999987967"/>
    <n v="10.2326"/>
    <n v="0.85633700000000001"/>
    <n v="4.0897800000000002"/>
    <n v="28867337088"/>
    <s v="0 0 415910 25481674 7826456"/>
    <s v="0 0 415910 25481670 7826456"/>
    <n v="13"/>
    <n v="89464"/>
    <n v="5746250300384"/>
    <n v="31216474066"/>
    <n v="15294"/>
    <n v="45291661462"/>
    <n v="40566453596"/>
    <n v="10727326446"/>
    <n v="3574112377"/>
    <n v="0"/>
    <n v="397119471"/>
    <n v="3574112377"/>
    <n v="3971231848"/>
    <n v="59568539"/>
    <n v="0"/>
    <n v="6618657"/>
    <n v="59568539"/>
    <n v="66187197"/>
    <n v="23.626799999999999"/>
    <n v="14.7088"/>
    <n v="4031.79"/>
    <n v="3263.6"/>
    <n v="66634"/>
    <n v="9927"/>
    <n v="59.856773962333335"/>
    <n v="1.3312701131666667"/>
    <n v="0"/>
    <n v="0"/>
    <n v="415910"/>
    <n v="25481670"/>
    <n v="7826456"/>
    <n v="0"/>
    <s v="u=10%, k=2x10^9"/>
    <x v="7"/>
    <n v="0.32517160485416668"/>
    <n v="1.593125E-7"/>
    <n v="0.47178814022916665"/>
    <n v="0.42256722495833338"/>
    <n v="0.11174298381249999"/>
    <n v="58.525503849166668"/>
  </r>
  <r>
    <s v="istree_exp6_rebuilding_time/step10039.txt"/>
    <s v="brown_ext_ist_lf_enabled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8939656231104E+17"/>
    <n v="1000007126"/>
    <n v="9.9998939656231104E+17"/>
    <n v="1000007126"/>
    <s v="success"/>
    <n v="7"/>
    <n v="88490873"/>
    <n v="1086884901"/>
    <n v="1175375774"/>
    <n v="1000007126"/>
    <n v="13.282500000000001"/>
    <n v="0.92006699999999997"/>
    <n v="4.0080999999999998"/>
    <n v="24469946080"/>
    <s v="1 31588 2161475 33496201 9467441"/>
    <s v="1 31587 2161468 33496193 9467441"/>
    <n v="25819"/>
    <n v="48316"/>
    <n v="8619552697598"/>
    <n v="187175426322"/>
    <n v="1856763142"/>
    <n v="629521012751"/>
    <n v="195308182342"/>
    <n v="106578246491"/>
    <n v="4646771685"/>
    <n v="0"/>
    <n v="516306276"/>
    <n v="4646771685"/>
    <n v="5163077961"/>
    <n v="77446194"/>
    <n v="0"/>
    <n v="8605104"/>
    <n v="77446194"/>
    <n v="86051299"/>
    <n v="25.222000000000001"/>
    <n v="15.911099999999999"/>
    <n v="4391.33"/>
    <n v="3549.12"/>
    <n v="103677"/>
    <n v="9328"/>
    <n v="59.858004844430553"/>
    <n v="7.7808307711666664"/>
    <n v="1"/>
    <n v="31587"/>
    <n v="2161468"/>
    <n v="33496193"/>
    <n v="9467441"/>
    <n v="0"/>
    <s v="u=10%, k=2x10^9"/>
    <x v="7"/>
    <n v="1.2998293494583333"/>
    <n v="1.2894188486111111E-2"/>
    <n v="4.3716736996597216"/>
    <n v="1.3563068218194445"/>
    <n v="0.74012671174305555"/>
    <n v="52.07717407326389"/>
  </r>
  <r>
    <s v="istree_exp6_rebuilding_time/step10040.txt"/>
    <s v="brown_ext_ist_lf_en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7997547376499E+17"/>
    <n v="999997546"/>
    <n v="9.9997997547376499E+17"/>
    <n v="999997546"/>
    <s v="success"/>
    <n v="7"/>
    <n v="116872041"/>
    <n v="1145260651"/>
    <n v="1262132692"/>
    <n v="999997546"/>
    <n v="10.799300000000001"/>
    <n v="0.87316199999999999"/>
    <n v="4.0676899999999998"/>
    <n v="27705364272"/>
    <s v="1 31579 2150372 37054963 11831797"/>
    <s v="1 31577 2150362 37054955 11831797"/>
    <n v="34037"/>
    <n v="34538"/>
    <n v="11372786984515"/>
    <n v="234262771089"/>
    <n v="4034898701"/>
    <n v="734285936267"/>
    <n v="228106008413"/>
    <n v="326284031186"/>
    <n v="6006404923"/>
    <n v="0"/>
    <n v="667377449"/>
    <n v="6006404923"/>
    <n v="6673782372"/>
    <n v="100106748"/>
    <n v="0"/>
    <n v="11122957"/>
    <n v="100106748"/>
    <n v="111229706"/>
    <n v="24.844200000000001"/>
    <n v="15.7326"/>
    <n v="4492.42"/>
    <n v="3642.12"/>
    <n v="120152"/>
    <n v="9550"/>
    <n v="59.856773602710525"/>
    <n v="8.0367033981894735"/>
    <n v="1"/>
    <n v="31577"/>
    <n v="2150362"/>
    <n v="37054955"/>
    <n v="11831797"/>
    <n v="0"/>
    <s v="u=10%, k=2x10^9"/>
    <x v="7"/>
    <n v="1.2329619531"/>
    <n v="2.123630895263158E-2"/>
    <n v="3.8646628224578947"/>
    <n v="1.2005579390157894"/>
    <n v="1.7172843746631579"/>
    <n v="51.820070204521052"/>
  </r>
  <r>
    <s v="istree_exp6_rebuilding_time/step10041.txt"/>
    <s v="brown_ext_ist_lf_en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0646285503"/>
    <n v="1000737"/>
    <n v="1000646285503"/>
    <n v="1000737"/>
    <s v="success"/>
    <n v="6"/>
    <n v="44171"/>
    <n v="1055209"/>
    <n v="1099380"/>
    <n v="1000737"/>
    <n v="24.889199999999999"/>
    <n v="0.94837800000000005"/>
    <n v="3.0226600000000001"/>
    <n v="20421200"/>
    <s v="4014 1826095 26241153 29397772"/>
    <s v="2031 1818766 26233911 29397131"/>
    <n v="916480"/>
    <n v="1035708"/>
    <n v="1436555174291"/>
    <n v="93819779402"/>
    <n v="1091560964"/>
    <n v="109325344354"/>
    <n v="78709219494"/>
    <n v="44109493483"/>
    <n v="1523269666"/>
    <n v="0"/>
    <n v="1015446923"/>
    <n v="1523269666"/>
    <n v="2538716589"/>
    <n v="25387827"/>
    <n v="0"/>
    <n v="16924115"/>
    <n v="25387827"/>
    <n v="42311943"/>
    <n v="15.728"/>
    <n v="1.05752"/>
    <n v="1580.09"/>
    <n v="619.154"/>
    <n v="1238"/>
    <n v="27"/>
    <n v="59.856465595458332"/>
    <n v="13.627308237374999"/>
    <n v="2031"/>
    <n v="1818766"/>
    <n v="26233911"/>
    <n v="29397131"/>
    <n v="0"/>
    <n v="0"/>
    <s v="u=40%, k=2x10^6"/>
    <x v="8"/>
    <n v="3.9091574750833331"/>
    <n v="4.548170683333333E-2"/>
    <n v="4.5552226814166668"/>
    <n v="3.2795508122499997"/>
    <n v="1.8378955617916668"/>
    <n v="46.229157358083334"/>
  </r>
  <r>
    <s v="istree_exp6_rebuilding_time/step10042.txt"/>
    <s v="brown_ext_ist_lf_en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1162100999"/>
    <n v="1000620"/>
    <n v="1001162100999"/>
    <n v="1000620"/>
    <s v="success"/>
    <n v="6"/>
    <n v="67130"/>
    <n v="1102179"/>
    <n v="1169309"/>
    <n v="1000620"/>
    <n v="17.418600000000001"/>
    <n v="0.907856"/>
    <n v="3.0718399999999999"/>
    <n v="23045504"/>
    <s v="7698 2855209 27093535 39321245"/>
    <s v="2891 2848731 27071535 39319431"/>
    <n v="3710147"/>
    <n v="376236"/>
    <n v="2873108681947"/>
    <n v="244183016581"/>
    <n v="4942467013"/>
    <n v="270769624005"/>
    <n v="151725621741"/>
    <n v="102621849616"/>
    <n v="2167969464"/>
    <n v="0"/>
    <n v="1445296874"/>
    <n v="2167969464"/>
    <n v="3613266338"/>
    <n v="36132824"/>
    <n v="0"/>
    <n v="24088281"/>
    <n v="36132824"/>
    <n v="60221105"/>
    <n v="16.230899999999998"/>
    <n v="1.52861"/>
    <n v="2174.46"/>
    <n v="1033.96"/>
    <n v="1318"/>
    <n v="34"/>
    <n v="59.856430873895839"/>
    <n v="16.130053728250001"/>
    <n v="2891"/>
    <n v="2848731"/>
    <n v="27071535"/>
    <n v="39319431"/>
    <n v="0"/>
    <n v="0"/>
    <s v="u=40%, k=2x10^6"/>
    <x v="8"/>
    <n v="5.0871461787708334"/>
    <n v="0.10296806277083333"/>
    <n v="5.6410338334375005"/>
    <n v="3.1609504529375001"/>
    <n v="2.1379552003333333"/>
    <n v="43.726377145645841"/>
  </r>
  <r>
    <s v="istree_exp6_rebuilding_time/step10043.txt"/>
    <s v="brown_ext_ist_lf_en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83684784"/>
    <n v="1000403"/>
    <n v="999683684784"/>
    <n v="1000403"/>
    <s v="success"/>
    <n v="6"/>
    <n v="33067"/>
    <n v="1032484"/>
    <n v="1065551"/>
    <n v="1000403"/>
    <n v="32.223999999999997"/>
    <n v="0.96892800000000001"/>
    <n v="3.0000599999999999"/>
    <n v="19165088"/>
    <s v="9413 5528149 9578365 40632723"/>
    <s v="3519 5472915 9547908 40628834"/>
    <n v="14827291"/>
    <n v="124968"/>
    <n v="5746228714214"/>
    <n v="690468331176"/>
    <n v="27060774851"/>
    <n v="745870082231"/>
    <n v="309298205952"/>
    <n v="498040019930"/>
    <n v="2638092950"/>
    <n v="0"/>
    <n v="1758741222"/>
    <n v="2638092950"/>
    <n v="4396834172"/>
    <n v="43968215"/>
    <n v="0"/>
    <n v="29312353"/>
    <n v="43968215"/>
    <n v="73280569"/>
    <n v="19.433499999999999"/>
    <n v="6.0539100000000001"/>
    <n v="3645.6"/>
    <n v="2396"/>
    <n v="1444"/>
    <n v="163"/>
    <n v="59.856549106395839"/>
    <n v="23.653514730625002"/>
    <n v="3519"/>
    <n v="5472915"/>
    <n v="9547908"/>
    <n v="40628834"/>
    <n v="0"/>
    <n v="0"/>
    <s v="u=40%, k=2x10^6"/>
    <x v="8"/>
    <n v="7.1923784497499996"/>
    <n v="0.28188307136458335"/>
    <n v="7.7694800232395833"/>
    <n v="3.2218563119999999"/>
    <n v="5.1879168742708339"/>
    <n v="36.203034375770841"/>
  </r>
  <r>
    <s v="istree_exp6_rebuilding_time/step10044.txt"/>
    <s v="brown_ext_ist_lf_en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258707096"/>
    <n v="999038"/>
    <n v="999258707096"/>
    <n v="999038"/>
    <s v="success"/>
    <n v="6"/>
    <n v="50589"/>
    <n v="1066799"/>
    <n v="1117388"/>
    <n v="999038"/>
    <n v="22.087599999999998"/>
    <n v="0.93648200000000004"/>
    <n v="3.0365700000000002"/>
    <n v="21130816"/>
    <s v="10326 11173110 2012033 31056803"/>
    <s v="3827 11075935 1997784 31052394"/>
    <n v="36330334"/>
    <n v="61834"/>
    <n v="8619337769532"/>
    <n v="1350186850289"/>
    <n v="67979082214"/>
    <n v="1498517883038"/>
    <n v="406666901766"/>
    <n v="1070185930148"/>
    <n v="2868575013"/>
    <n v="0"/>
    <n v="1912395622"/>
    <n v="2868575013"/>
    <n v="4780970635"/>
    <n v="47809583"/>
    <n v="0"/>
    <n v="31873260"/>
    <n v="47809583"/>
    <n v="79682843"/>
    <n v="24.2849"/>
    <n v="10.4369"/>
    <n v="5029.29"/>
    <n v="3548.23"/>
    <n v="1663"/>
    <n v="288"/>
    <n v="59.856512288416667"/>
    <n v="30.510671162881945"/>
    <n v="3827"/>
    <n v="11075935"/>
    <n v="1997784"/>
    <n v="31052394"/>
    <n v="0"/>
    <n v="0"/>
    <s v="u=40%, k=2x10^6"/>
    <x v="8"/>
    <n v="9.3762975714513885"/>
    <n v="0.47207695981944447"/>
    <n v="10.406374187763889"/>
    <n v="2.8240757067083333"/>
    <n v="7.4318467371388879"/>
    <n v="29.345841125534722"/>
  </r>
  <r>
    <s v="istree_exp6_rebuilding_time/step10045.txt"/>
    <s v="brown_ext_ist_lf_en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479794904"/>
    <n v="999022"/>
    <n v="999479794904"/>
    <n v="999022"/>
    <s v="success"/>
    <n v="6"/>
    <n v="52577"/>
    <n v="1070802"/>
    <n v="1123379"/>
    <n v="999022"/>
    <n v="21.366399999999999"/>
    <n v="0.93296599999999996"/>
    <n v="3.0409199999999998"/>
    <n v="21358256"/>
    <s v="12934 10354888 5038575 41306678"/>
    <s v="4405 10238782 5002540 41299604"/>
    <n v="49176957"/>
    <n v="40434"/>
    <n v="11372812918856"/>
    <n v="1750971861486"/>
    <n v="105658584361"/>
    <n v="2017463698113"/>
    <n v="535991590920"/>
    <n v="1885639425771"/>
    <n v="3300647638"/>
    <n v="0"/>
    <n v="2200467659"/>
    <n v="3300647638"/>
    <n v="5501115297"/>
    <n v="55010793"/>
    <n v="0"/>
    <n v="36674460"/>
    <n v="55010793"/>
    <n v="91685254"/>
    <n v="24.8355"/>
    <n v="11.6873"/>
    <n v="5766"/>
    <n v="4270.2299999999996"/>
    <n v="1853"/>
    <n v="307"/>
    <n v="59.856910099242107"/>
    <n v="33.135395582373683"/>
    <n v="4405"/>
    <n v="10238782"/>
    <n v="5002540"/>
    <n v="41299604"/>
    <n v="0"/>
    <n v="0"/>
    <s v="u=40%, k=2x10^6"/>
    <x v="8"/>
    <n v="9.2156413762421057"/>
    <n v="0.55609781242631573"/>
    <n v="10.618229990068421"/>
    <n v="2.8210083732631581"/>
    <n v="9.9244180303736851"/>
    <n v="26.721514516868424"/>
  </r>
  <r>
    <s v="istree_exp6_rebuilding_time/step10046.txt"/>
    <s v="brown_ext_ist_lf_en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95138328265"/>
    <n v="10000678"/>
    <n v="99995138328265"/>
    <n v="10000678"/>
    <s v="success"/>
    <n v="7"/>
    <n v="1895349"/>
    <n v="12006010"/>
    <n v="13901359"/>
    <n v="10000678"/>
    <n v="7.33446"/>
    <n v="0.83297299999999996"/>
    <n v="4.0540000000000003"/>
    <n v="343746784"/>
    <s v="179 262946 7538940 69062693 232440"/>
    <s v="94 262361 7538573 69062355 232440"/>
    <n v="128134"/>
    <n v="448422"/>
    <n v="1436557026429"/>
    <n v="137472504390"/>
    <n v="604791442"/>
    <n v="155601024706"/>
    <n v="91411394190"/>
    <n v="64728312884"/>
    <n v="708541045"/>
    <n v="0"/>
    <n v="472274790"/>
    <n v="708541045"/>
    <n v="1180815835"/>
    <n v="11809017"/>
    <n v="0"/>
    <n v="7871246"/>
    <n v="11809017"/>
    <n v="19680263"/>
    <n v="25.9297"/>
    <n v="11.063599999999999"/>
    <n v="3371.89"/>
    <n v="2128.35"/>
    <n v="2452"/>
    <n v="155"/>
    <n v="59.856542767874998"/>
    <n v="18.742417817166665"/>
    <n v="94"/>
    <n v="262361"/>
    <n v="7538573"/>
    <n v="69062355"/>
    <n v="232440"/>
    <n v="0"/>
    <s v="u=40%, k=2x10^7"/>
    <x v="9"/>
    <n v="5.7280210162500005"/>
    <n v="2.5199643416666667E-2"/>
    <n v="6.4833760294166671"/>
    <n v="3.80880809125"/>
    <n v="2.6970130368333334"/>
    <n v="41.11412495070833"/>
  </r>
  <r>
    <s v="istree_exp6_rebuilding_time/step10047.txt"/>
    <s v="brown_ext_ist_lf_en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86932539421"/>
    <n v="9998462"/>
    <n v="99986932539421"/>
    <n v="9998462"/>
    <s v="success"/>
    <n v="7"/>
    <n v="1625791"/>
    <n v="11440810"/>
    <n v="13066601"/>
    <n v="9998462"/>
    <n v="8.0370699999999999"/>
    <n v="0.87392999999999998"/>
    <n v="4"/>
    <n v="313116224"/>
    <s v="332 475264 10396670 108791442 353745"/>
    <s v="153 474679 10395145 108790111 353744"/>
    <n v="522465"/>
    <n v="187776"/>
    <n v="2873812001292"/>
    <n v="282581780923"/>
    <n v="2764866830"/>
    <n v="362734499898"/>
    <n v="202212877810"/>
    <n v="137971798471"/>
    <n v="1147440756"/>
    <n v="0"/>
    <n v="764969287"/>
    <n v="1147440756"/>
    <n v="1912410043"/>
    <n v="19124012"/>
    <n v="0"/>
    <n v="12749488"/>
    <n v="19124012"/>
    <n v="31873500"/>
    <n v="26.697600000000001"/>
    <n v="11.686500000000001"/>
    <n v="4159.7700000000004"/>
    <n v="2780.17"/>
    <n v="2509"/>
    <n v="181"/>
    <n v="59.871083360249997"/>
    <n v="20.588871331916668"/>
    <n v="153"/>
    <n v="474679"/>
    <n v="10395145"/>
    <n v="108790111"/>
    <n v="353744"/>
    <n v="0"/>
    <s v="u=40%, k=2x10^7"/>
    <x v="9"/>
    <n v="5.8871204358958336"/>
    <n v="5.7601392291666664E-2"/>
    <n v="7.5569687478750005"/>
    <n v="4.2127682877083332"/>
    <n v="2.8744124681458332"/>
    <n v="39.282212028333333"/>
  </r>
  <r>
    <s v="istree_exp6_rebuilding_time/step10048.txt"/>
    <s v="brown_ext_ist_lf_en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0226301193"/>
    <n v="10000824"/>
    <n v="99990226301193"/>
    <n v="10000824"/>
    <s v="success"/>
    <n v="7"/>
    <n v="1625806"/>
    <n v="11443202"/>
    <n v="13069008"/>
    <n v="10000824"/>
    <n v="8.0384799999999998"/>
    <n v="0.87395299999999998"/>
    <n v="4"/>
    <n v="313155696"/>
    <s v="781 853887 12460891 185015334 538816"/>
    <s v="270 853655 12456386 185010830 538812"/>
    <n v="1900517"/>
    <n v="90076"/>
    <n v="5747657802489"/>
    <n v="505692865441"/>
    <n v="11772425924"/>
    <n v="749442453841"/>
    <n v="680908939784"/>
    <n v="257738370363"/>
    <n v="2024948288"/>
    <n v="0"/>
    <n v="1349972342"/>
    <n v="2024948288"/>
    <n v="3374920630"/>
    <n v="33749138"/>
    <n v="0"/>
    <n v="22499539"/>
    <n v="33749138"/>
    <n v="56248677"/>
    <n v="27.568999999999999"/>
    <n v="13.5426"/>
    <n v="4675.17"/>
    <n v="3209.93"/>
    <n v="2652"/>
    <n v="255"/>
    <n v="59.871435442593743"/>
    <n v="22.974531826593751"/>
    <n v="270"/>
    <n v="853655"/>
    <n v="12456386"/>
    <n v="185010830"/>
    <n v="538812"/>
    <n v="0"/>
    <s v="u=40%, k=2x10^7"/>
    <x v="9"/>
    <n v="5.2676340150104162"/>
    <n v="0.12262943670833333"/>
    <n v="7.8066922275104167"/>
    <n v="7.0928014560833335"/>
    <n v="2.68477469128125"/>
    <n v="36.896903615999996"/>
  </r>
  <r>
    <s v="istree_exp6_rebuilding_time/step10049.txt"/>
    <s v="brown_ext_ist_lf_en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99969526134611"/>
    <n v="9998307"/>
    <n v="99969526134611"/>
    <n v="9998307"/>
    <s v="success"/>
    <n v="7"/>
    <n v="1828982"/>
    <n v="11863280"/>
    <n v="13692262"/>
    <n v="9998307"/>
    <n v="7.4862700000000002"/>
    <n v="0.84279400000000004"/>
    <n v="4.0414099999999999"/>
    <n v="336138096"/>
    <s v="1292 1202224 10069058 254215569 636940"/>
    <s v="379 1201877 10062272 254206312 636931"/>
    <n v="3891810"/>
    <n v="58638"/>
    <n v="8619350401626"/>
    <n v="716079562264"/>
    <n v="24401904597"/>
    <n v="1093832502537"/>
    <n v="1284359647758"/>
    <n v="386519889720"/>
    <n v="2849706424"/>
    <n v="0"/>
    <n v="1899866930"/>
    <n v="2849706424"/>
    <n v="4749573354"/>
    <n v="47495107"/>
    <n v="0"/>
    <n v="31664448"/>
    <n v="47495107"/>
    <n v="79159555"/>
    <n v="27.8962"/>
    <n v="14.381"/>
    <n v="4941.9399999999996"/>
    <n v="3404.32"/>
    <n v="2831"/>
    <n v="325"/>
    <n v="59.856600011291661"/>
    <n v="24.341621575527778"/>
    <n v="379"/>
    <n v="1201877"/>
    <n v="10062272"/>
    <n v="254206312"/>
    <n v="636931"/>
    <n v="0"/>
    <s v="u=40%, k=2x10^7"/>
    <x v="9"/>
    <n v="4.9727747379444445"/>
    <n v="0.16945767081250002"/>
    <n v="7.5960590453958332"/>
    <n v="8.919164220541667"/>
    <n v="2.6841659008333334"/>
    <n v="35.514978435763879"/>
  </r>
  <r>
    <s v="istree_exp6_rebuilding_time/step10050.txt"/>
    <s v="brown_ext_ist_lf_en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30207905223"/>
    <n v="10003806"/>
    <n v="100030207905223"/>
    <n v="10003806"/>
    <s v="success"/>
    <n v="7"/>
    <n v="1762073"/>
    <n v="11723332"/>
    <n v="13485405"/>
    <n v="10003806"/>
    <n v="7.6531500000000001"/>
    <n v="0.85332399999999997"/>
    <n v="4.0272500000000004"/>
    <n v="328540128"/>
    <s v="1602 1452236 12247652 307205667 768889"/>
    <s v="459 1451734 12236968 307191214 768867"/>
    <n v="6106642"/>
    <n v="43954"/>
    <n v="11372756722354"/>
    <n v="918754831348"/>
    <n v="40634276127"/>
    <n v="1491171697891"/>
    <n v="2072046464616"/>
    <n v="508201046830"/>
    <n v="3443339990"/>
    <n v="0"/>
    <n v="2295515673"/>
    <n v="3443339990"/>
    <n v="5738855663"/>
    <n v="57388999"/>
    <n v="0"/>
    <n v="38258594"/>
    <n v="57388999"/>
    <n v="95647594"/>
    <n v="28.525200000000002"/>
    <n v="15.158300000000001"/>
    <n v="5362.9"/>
    <n v="3655.08"/>
    <n v="2959"/>
    <n v="373"/>
    <n v="59.856614328178949"/>
    <n v="26.477938509536845"/>
    <n v="459"/>
    <n v="1451734"/>
    <n v="12236968"/>
    <n v="307191214"/>
    <n v="768867"/>
    <n v="0"/>
    <s v="u=40%, k=2x10^7"/>
    <x v="9"/>
    <n v="4.8355517439368425"/>
    <n v="0.21386461119473685"/>
    <n v="7.848272094163157"/>
    <n v="10.905507708505262"/>
    <n v="2.674742351736842"/>
    <n v="33.378675818642108"/>
  </r>
  <r>
    <s v="istree_exp6_rebuilding_time/step10051.txt"/>
    <s v="brown_ext_ist_lf_en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826246735300"/>
    <n v="99996614"/>
    <n v="9999826246735300"/>
    <n v="99996614"/>
    <s v="success"/>
    <n v="7"/>
    <n v="14632028"/>
    <n v="117563601"/>
    <n v="132195629"/>
    <n v="99996614"/>
    <n v="9.0346799999999998"/>
    <n v="0.85057499999999997"/>
    <n v="4.0735799999999998"/>
    <n v="3055616816"/>
    <s v="10 44392 3695541 32983918 5439432"/>
    <s v="7 44323 3695513 32983898 5439430"/>
    <n v="13934"/>
    <n v="354568"/>
    <n v="1436558946135"/>
    <n v="94047497564"/>
    <n v="169612926"/>
    <n v="123693153348"/>
    <n v="89577265488"/>
    <n v="43263617374"/>
    <n v="587316487"/>
    <n v="0"/>
    <n v="391546962"/>
    <n v="587316487"/>
    <n v="978863449"/>
    <n v="9788608"/>
    <n v="0"/>
    <n v="6525782"/>
    <n v="9788608"/>
    <n v="16314390"/>
    <n v="27.5519"/>
    <n v="13.317600000000001"/>
    <n v="3943.19"/>
    <n v="2843.36"/>
    <n v="12585"/>
    <n v="1567"/>
    <n v="59.856622755625004"/>
    <n v="14.6146311125"/>
    <n v="7"/>
    <n v="44323"/>
    <n v="3695513"/>
    <n v="32983898"/>
    <n v="5439430"/>
    <n v="0"/>
    <s v="u=40%, k=2x10^8"/>
    <x v="10"/>
    <n v="3.9186457318333332"/>
    <n v="7.0672052499999999E-3"/>
    <n v="5.1538813894999995"/>
    <n v="3.7323860619999998"/>
    <n v="1.8026507239166667"/>
    <n v="45.241991643125004"/>
  </r>
  <r>
    <s v="istree_exp6_rebuilding_time/step10052.txt"/>
    <s v="brown_ext_ist_lf_en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128387637390"/>
    <n v="100002198"/>
    <n v="9999128387637390"/>
    <n v="100002198"/>
    <s v="success"/>
    <n v="7"/>
    <n v="14148105"/>
    <n v="116463238"/>
    <n v="130611343"/>
    <n v="100002198"/>
    <n v="9.2317199999999993"/>
    <n v="0.85865899999999995"/>
    <n v="4.0649800000000003"/>
    <n v="2997745472"/>
    <s v="23 103179 5640549 50540952 8431783"/>
    <s v="12 103009 5640451 50540867 8431778"/>
    <n v="68142"/>
    <n v="129122"/>
    <n v="2873126358557"/>
    <n v="234922050061"/>
    <n v="1179988197"/>
    <n v="309703091798"/>
    <n v="216404518213"/>
    <n v="104871390514"/>
    <n v="926093710"/>
    <n v="0"/>
    <n v="617373837"/>
    <n v="926093710"/>
    <n v="1543467547"/>
    <n v="15434895"/>
    <n v="0"/>
    <n v="10289563"/>
    <n v="15434895"/>
    <n v="25724459"/>
    <n v="29.635200000000001"/>
    <n v="14.3248"/>
    <n v="4941.07"/>
    <n v="3640.21"/>
    <n v="13172"/>
    <n v="1308"/>
    <n v="59.856799136604167"/>
    <n v="18.064188307979169"/>
    <n v="12"/>
    <n v="103009"/>
    <n v="5640451"/>
    <n v="50540867"/>
    <n v="8431778"/>
    <n v="0"/>
    <s v="u=40%, k=2x10^8"/>
    <x v="10"/>
    <n v="4.8942093762708332"/>
    <n v="2.4583087437499998E-2"/>
    <n v="6.4521477457916667"/>
    <n v="4.5084274627708334"/>
    <n v="2.1848206357083333"/>
    <n v="41.792610828625001"/>
  </r>
  <r>
    <s v="istree_exp6_rebuilding_time/step10053.txt"/>
    <s v="brown_ext_ist_lf_en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736498514120"/>
    <n v="99999083"/>
    <n v="9999736498514120"/>
    <n v="99999083"/>
    <s v="success"/>
    <n v="7"/>
    <n v="14937821"/>
    <n v="118264254"/>
    <n v="133202075"/>
    <n v="99999083"/>
    <n v="8.9170999999999996"/>
    <n v="0.84555599999999997"/>
    <n v="4.0817800000000002"/>
    <n v="3091619360"/>
    <s v="50 218040 8722779 90517614 15274390"/>
    <s v="22 217925 8722357 90517289 15274372"/>
    <n v="328221"/>
    <n v="56266"/>
    <n v="5746337514048"/>
    <n v="437370792607"/>
    <n v="8288414706"/>
    <n v="695847578750"/>
    <n v="679973583928"/>
    <n v="210535995071"/>
    <n v="1701064859"/>
    <n v="0"/>
    <n v="1134057733"/>
    <n v="1701064859"/>
    <n v="2835122592"/>
    <n v="28351080"/>
    <n v="0"/>
    <n v="18900962"/>
    <n v="28351080"/>
    <n v="47252043"/>
    <n v="30.6432"/>
    <n v="16.035"/>
    <n v="5259.89"/>
    <n v="3841.8"/>
    <n v="13765"/>
    <n v="1048"/>
    <n v="59.857682438000005"/>
    <n v="21.166837136062501"/>
    <n v="22"/>
    <n v="217925"/>
    <n v="8722357"/>
    <n v="90517289"/>
    <n v="15274372"/>
    <n v="0"/>
    <s v="u=40%, k=2x10^8"/>
    <x v="10"/>
    <n v="4.5559457563229167"/>
    <n v="8.6337653187499988E-2"/>
    <n v="7.2484122786458336"/>
    <n v="7.0830581659166674"/>
    <n v="2.1930832819895834"/>
    <n v="38.6908453019375"/>
  </r>
  <r>
    <s v="istree_exp6_rebuilding_time/step10054.txt"/>
    <s v="brown_ext_ist_lf_en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583130358900"/>
    <n v="99985322"/>
    <n v="9998583130358900"/>
    <n v="99985322"/>
    <s v="success"/>
    <n v="7"/>
    <n v="14572481"/>
    <n v="117421145"/>
    <n v="131993626"/>
    <n v="99985322"/>
    <n v="9.0577299999999994"/>
    <n v="0.85150999999999999"/>
    <n v="4.0721699999999998"/>
    <n v="3048483824"/>
    <s v="106 310013 11083399 124423231 21259589"/>
    <s v="31 309976 11082598 124422596 21259548"/>
    <n v="658813"/>
    <n v="34088"/>
    <n v="8619426549830"/>
    <n v="620375812451"/>
    <n v="25430502613"/>
    <n v="1107373849196"/>
    <n v="1233824376714"/>
    <n v="322002882334"/>
    <n v="2388071471"/>
    <n v="0"/>
    <n v="1592063008"/>
    <n v="2388071471"/>
    <n v="3980134479"/>
    <n v="39801191"/>
    <n v="0"/>
    <n v="26534383"/>
    <n v="39801191"/>
    <n v="66335574"/>
    <n v="30.9346"/>
    <n v="16.886399999999998"/>
    <n v="5489.46"/>
    <n v="4036.12"/>
    <n v="14183"/>
    <n v="1075"/>
    <n v="59.857128818263881"/>
    <n v="22.979218217416665"/>
    <n v="31"/>
    <n v="309976"/>
    <n v="11082598"/>
    <n v="124422596"/>
    <n v="21259548"/>
    <n v="0"/>
    <s v="u=40%, k=2x10^8"/>
    <x v="10"/>
    <n v="4.308165364243056"/>
    <n v="0.17660071259027779"/>
    <n v="7.6900961749722221"/>
    <n v="8.5682248382916661"/>
    <n v="2.2361311273194442"/>
    <n v="36.877910600847216"/>
  </r>
  <r>
    <s v="istree_exp6_rebuilding_time/step10055.txt"/>
    <s v="brown_ext_ist_lf_en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4827215368E+16"/>
    <n v="100002322"/>
    <n v="1.00004827215368E+16"/>
    <n v="100002322"/>
    <s v="success"/>
    <n v="7"/>
    <n v="14438910"/>
    <n v="117101684"/>
    <n v="131540594"/>
    <n v="100002322"/>
    <n v="9.1101500000000009"/>
    <n v="0.85397900000000004"/>
    <n v="4.0712400000000004"/>
    <n v="3031740784"/>
    <s v="137 389932 13426914 152484778 26233797"/>
    <s v="39 389893 13425572 152483847 26233722"/>
    <n v="1046017"/>
    <n v="24184"/>
    <n v="11372766743909"/>
    <n v="798971723426"/>
    <n v="43186124213"/>
    <n v="1537930859853"/>
    <n v="1847793487918"/>
    <n v="439402745258"/>
    <n v="2955942171"/>
    <n v="0"/>
    <n v="1970616349"/>
    <n v="2955942171"/>
    <n v="4926558520"/>
    <n v="49265702"/>
    <n v="0"/>
    <n v="32843605"/>
    <n v="49265702"/>
    <n v="82109308"/>
    <n v="31.3096"/>
    <n v="17.483000000000001"/>
    <n v="5767.76"/>
    <n v="4256.7"/>
    <n v="14493"/>
    <n v="1091"/>
    <n v="59.856667073205266"/>
    <n v="24.564657582463155"/>
    <n v="39"/>
    <n v="389893"/>
    <n v="13425572"/>
    <n v="152483847"/>
    <n v="26233722"/>
    <n v="0"/>
    <s v="u=40%, k=2x10^8"/>
    <x v="10"/>
    <n v="4.2051143338210526"/>
    <n v="0.22729539059473683"/>
    <n v="8.0943729465947367"/>
    <n v="9.7252288837789465"/>
    <n v="2.3126460276736842"/>
    <n v="35.29200949074211"/>
  </r>
  <r>
    <s v="istree_exp6_rebuilding_time/step10056.txt"/>
    <s v="brown_ext_ist_lf_en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1.00000843312494E+18"/>
    <n v="999995438"/>
    <n v="1.00000843312494E+18"/>
    <n v="999995438"/>
    <s v="success"/>
    <n v="7"/>
    <n v="127976186"/>
    <n v="1170526712"/>
    <n v="1298502898"/>
    <n v="999995438"/>
    <n v="10.1464"/>
    <n v="0.85431199999999996"/>
    <n v="4.0927800000000003"/>
    <n v="29031572768"/>
    <s v="0 0 126551 21375050 7027293"/>
    <s v="0 0 126550 21375050 7027293"/>
    <n v="1"/>
    <n v="339524"/>
    <n v="1436560083646"/>
    <n v="17643108977"/>
    <n v="1580"/>
    <n v="19525081397"/>
    <n v="22057420798"/>
    <n v="3859959136"/>
    <n v="541636061"/>
    <n v="0"/>
    <n v="361080992"/>
    <n v="541636061"/>
    <n v="902717053"/>
    <n v="9027267"/>
    <n v="0"/>
    <n v="6018016"/>
    <n v="9027267"/>
    <n v="15045284"/>
    <n v="26.0731"/>
    <n v="15.3691"/>
    <n v="4422.22"/>
    <n v="3503.25"/>
    <n v="62831"/>
    <n v="16525"/>
    <n v="59.856670151916667"/>
    <n v="2.6285654953333331"/>
    <n v="0"/>
    <n v="0"/>
    <n v="126550"/>
    <n v="21375050"/>
    <n v="7027293"/>
    <n v="0"/>
    <s v="u=40%, k=2x10^9"/>
    <x v="11"/>
    <n v="0.73512954070833336"/>
    <n v="6.5833333333333334E-8"/>
    <n v="0.81354505820833334"/>
    <n v="0.91905919991666662"/>
    <n v="0.16083163066666667"/>
    <n v="57.228104656583334"/>
  </r>
  <r>
    <s v="istree_exp6_rebuilding_time/step10057.txt"/>
    <s v="brown_ext_ist_lf_enabled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9.9999004234170598E+17"/>
    <n v="1000000999"/>
    <n v="9.9999004234170598E+17"/>
    <n v="1000000999"/>
    <s v="success"/>
    <n v="7"/>
    <n v="88117180"/>
    <n v="1086126003"/>
    <n v="1174243183"/>
    <n v="1000000999"/>
    <n v="13.325900000000001"/>
    <n v="0.92070399999999997"/>
    <n v="4.0073400000000001"/>
    <n v="24427810352"/>
    <s v="1 26316 2535328 34444477 9631204"/>
    <s v="1 26301 2535319 34444469 9631204"/>
    <n v="10620"/>
    <n v="115984"/>
    <n v="2873126877145"/>
    <n v="176642468256"/>
    <n v="307095434"/>
    <n v="257464130311"/>
    <n v="123738190085"/>
    <n v="89260497763"/>
    <n v="772247802"/>
    <n v="0"/>
    <n v="514804576"/>
    <n v="772247802"/>
    <n v="1287052378"/>
    <n v="12870796"/>
    <n v="0"/>
    <n v="8580076"/>
    <n v="12870796"/>
    <n v="21450872"/>
    <n v="31.869"/>
    <n v="19.148900000000001"/>
    <n v="6044.88"/>
    <n v="4885.2299999999996"/>
    <n v="85063"/>
    <n v="12146"/>
    <n v="59.856809940520833"/>
    <n v="13.487757955187499"/>
    <n v="1"/>
    <n v="26301"/>
    <n v="2535319"/>
    <n v="34444469"/>
    <n v="9631204"/>
    <n v="0"/>
    <s v="u=40%, k=2x10^9"/>
    <x v="11"/>
    <n v="3.680051422"/>
    <n v="6.397821541666667E-3"/>
    <n v="5.363836048145834"/>
    <n v="2.5778789601041665"/>
    <n v="1.8595937033958334"/>
    <n v="46.369051985333329"/>
  </r>
  <r>
    <s v="istree_exp6_rebuilding_time/step10058.txt"/>
    <s v="brown_ext_ist_lf_en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9149501882202E+17"/>
    <n v="999997641"/>
    <n v="9.9999149501882202E+17"/>
    <n v="999997641"/>
    <s v="success"/>
    <n v="7"/>
    <n v="84465057"/>
    <n v="1078802204"/>
    <n v="1163267261"/>
    <n v="999997641"/>
    <n v="13.7722"/>
    <n v="0.926952"/>
    <n v="4"/>
    <n v="24018039808"/>
    <s v="4 61894 4627679 67770108 19005785"/>
    <s v="2 61871 4627646 67770084 19005782"/>
    <n v="55026"/>
    <n v="53826"/>
    <n v="5965343426414"/>
    <n v="375426517532"/>
    <n v="5634570024"/>
    <n v="919120240988"/>
    <n v="392500802821"/>
    <n v="201204150753"/>
    <n v="1500110167"/>
    <n v="0"/>
    <n v="1000055300"/>
    <n v="1500110167"/>
    <n v="2500165467"/>
    <n v="25001836"/>
    <n v="0"/>
    <n v="16667588"/>
    <n v="25001836"/>
    <n v="41669424"/>
    <n v="33.179400000000001"/>
    <n v="20.958100000000002"/>
    <n v="5933.93"/>
    <n v="4690.79"/>
    <n v="87571"/>
    <n v="9968"/>
    <n v="62.138994025145827"/>
    <n v="19.727982105395835"/>
    <n v="2"/>
    <n v="61871"/>
    <n v="4627646"/>
    <n v="67770084"/>
    <n v="19005782"/>
    <n v="0"/>
    <s v="u=40%, k=2x10^9"/>
    <x v="11"/>
    <n v="3.9106928909583334"/>
    <n v="5.8693437750000001E-2"/>
    <n v="9.5741691769583337"/>
    <n v="4.0885500293854165"/>
    <n v="2.0958765703437501"/>
    <n v="42.411011919749996"/>
  </r>
  <r>
    <s v="istree_exp6_rebuilding_time/step10059.txt"/>
    <s v="brown_ext_ist_lf_en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7162614418803E+17"/>
    <n v="999968680"/>
    <n v="9.9997162614418803E+17"/>
    <n v="999968680"/>
    <s v="success"/>
    <n v="7"/>
    <n v="106401328"/>
    <n v="1125426266"/>
    <n v="1231827594"/>
    <n v="999968680"/>
    <n v="11.577199999999999"/>
    <n v="0.88852399999999998"/>
    <n v="4.0468299999999999"/>
    <n v="26551398256"/>
    <s v="4 74046 6372681 100154083 28188919"/>
    <s v="2 74037 6372615 100154029 28188918"/>
    <n v="95186"/>
    <n v="34212"/>
    <n v="8619624886212"/>
    <n v="471647170011"/>
    <n v="4456325190"/>
    <n v="1179146365295"/>
    <n v="557579448866"/>
    <n v="249460457250"/>
    <n v="2216427844"/>
    <n v="0"/>
    <n v="1477626082"/>
    <n v="2216427844"/>
    <n v="3694053926"/>
    <n v="36940464"/>
    <n v="0"/>
    <n v="24627101"/>
    <n v="36940464"/>
    <n v="61567565"/>
    <n v="32.019500000000001"/>
    <n v="20.553899999999999"/>
    <n v="5901.25"/>
    <n v="4676.95"/>
    <n v="120337"/>
    <n v="9444"/>
    <n v="59.858506154249994"/>
    <n v="17.099234490361113"/>
    <n v="2"/>
    <n v="74037"/>
    <n v="6372615"/>
    <n v="100154029"/>
    <n v="28188918"/>
    <n v="0"/>
    <s v="u=40%, k=2x10^9"/>
    <x v="11"/>
    <n v="3.2753275695208335"/>
    <n v="3.0946702708333336E-2"/>
    <n v="8.1885164256597207"/>
    <n v="3.8720795060138888"/>
    <n v="1.7323642864583333"/>
    <n v="42.759271663888882"/>
  </r>
  <r>
    <s v="istree_exp6_rebuilding_time/step10060.txt"/>
    <s v="brown_ext_ist_lf_en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1163437461E+18"/>
    <n v="1000003276"/>
    <n v="1.00001163437461E+18"/>
    <n v="1000003276"/>
    <s v="success"/>
    <n v="7"/>
    <n v="123048085"/>
    <n v="1158700272"/>
    <n v="1281748357"/>
    <n v="1000003276"/>
    <n v="10.416600000000001"/>
    <n v="0.863039"/>
    <n v="4.0812999999999997"/>
    <n v="28428687088"/>
    <s v="5 94771 6447673 108228461 32164593"/>
    <s v="3 94766 6447586 108228378 32164588"/>
    <n v="158470"/>
    <n v="22922"/>
    <n v="11373481066223"/>
    <n v="609185917141"/>
    <n v="9633171203"/>
    <n v="1997870139154"/>
    <n v="863742196278"/>
    <n v="478088611136"/>
    <n v="2593072773"/>
    <n v="0"/>
    <n v="1728719217"/>
    <n v="2593072773"/>
    <n v="4321791990"/>
    <n v="43217879"/>
    <n v="0"/>
    <n v="28811986"/>
    <n v="43217879"/>
    <n v="72029866"/>
    <n v="32.994199999999999"/>
    <n v="21.416"/>
    <n v="6282.65"/>
    <n v="4994.79"/>
    <n v="120726"/>
    <n v="9293"/>
    <n v="59.860426664331577"/>
    <n v="20.834315973221052"/>
    <n v="3"/>
    <n v="94766"/>
    <n v="6447586"/>
    <n v="108228378"/>
    <n v="32164588"/>
    <n v="0"/>
    <s v="u=40%, k=2x10^9"/>
    <x v="11"/>
    <n v="3.2062416691631581"/>
    <n v="5.0700901068421053E-2"/>
    <n v="10.515105995547369"/>
    <n v="4.5460115593578951"/>
    <n v="2.5162558480842105"/>
    <n v="39.026110691110517"/>
  </r>
  <r>
    <s v="istree_exp6_rebuilding_time/step10061.txt"/>
    <s v="brown_ext_ist_lf_dis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0085670527"/>
    <n v="999849"/>
    <n v="1000085670527"/>
    <n v="999849"/>
    <s v="success"/>
    <n v="6"/>
    <n v="33009"/>
    <n v="1031859"/>
    <n v="1064868"/>
    <n v="999849"/>
    <n v="32.259900000000002"/>
    <n v="0.96897800000000001"/>
    <n v="3.0000100000000001"/>
    <n v="19150448"/>
    <s v="97 81734 1176123 1314653"/>
    <s v="91 81717 1176101 1314651"/>
    <m/>
    <n v="1683424"/>
    <n v="1437334148499"/>
    <n v="3992853848"/>
    <n v="81812251017"/>
    <n v="5872304048"/>
    <n v="5111907911"/>
    <n v="2185766611"/>
    <n v="4503466086"/>
    <n v="0"/>
    <n v="45492679"/>
    <n v="4503466086"/>
    <n v="4548958765"/>
    <n v="75057768"/>
    <n v="0"/>
    <n v="758211"/>
    <n v="75057768"/>
    <n v="75815979"/>
    <n v="8.3741900000000005"/>
    <n v="9.9822800000000003E-2"/>
    <n v="882.27599999999995"/>
    <n v="262.76400000000001"/>
    <n v="1398"/>
    <n v="29"/>
    <n v="59.888922854125006"/>
    <n v="4.123961809791667"/>
    <n v="91"/>
    <n v="81717"/>
    <n v="1176101"/>
    <n v="1314651"/>
    <n v="0"/>
    <n v="0"/>
    <s v="u=1%, k=2x10^6"/>
    <x v="12"/>
    <n v="0.16636891033333334"/>
    <n v="3.4088437923749999"/>
    <n v="0.24467933533333333"/>
    <n v="0.21299616295833335"/>
    <n v="9.1073608791666663E-2"/>
    <n v="55.76496104433334"/>
  </r>
  <r>
    <s v="istree_exp6_rebuilding_time/step10062.txt"/>
    <s v="brown_ext_ist_lf_dis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769701778"/>
    <n v="1000890"/>
    <n v="1000769701778"/>
    <n v="1000890"/>
    <s v="success"/>
    <n v="7"/>
    <n v="83149"/>
    <n v="1137119"/>
    <n v="1220268"/>
    <n v="1000890"/>
    <n v="14.675700000000001"/>
    <n v="0.88019800000000004"/>
    <n v="3.1092"/>
    <n v="24945568"/>
    <s v="139 129416 1231105 1791069"/>
    <s v="131 129403 1231047 1791060"/>
    <m/>
    <n v="596168"/>
    <n v="2873121528784"/>
    <n v="9451970717"/>
    <n v="347541659169"/>
    <n v="12632557770"/>
    <n v="10459991920"/>
    <n v="4839830719"/>
    <n v="6513574209"/>
    <n v="0"/>
    <n v="65785981"/>
    <n v="6513574209"/>
    <n v="6579360190"/>
    <n v="108559570"/>
    <n v="0"/>
    <n v="1096433"/>
    <n v="108559570"/>
    <n v="109656003"/>
    <n v="8.2389799999999997"/>
    <n v="0.104073"/>
    <n v="1212.24"/>
    <n v="362.89800000000002"/>
    <n v="1577"/>
    <n v="33"/>
    <n v="59.856698516333331"/>
    <n v="8.0192918811458345"/>
    <n v="131"/>
    <n v="129403"/>
    <n v="1231047"/>
    <n v="1791060"/>
    <n v="0"/>
    <n v="0"/>
    <s v="u=1%, k=2x10^6"/>
    <x v="12"/>
    <n v="0.19691605660416667"/>
    <n v="7.2404512326875006"/>
    <n v="0.263178286875"/>
    <n v="0.21791649833333335"/>
    <n v="0.10082980664583334"/>
    <n v="51.837406635187499"/>
  </r>
  <r>
    <s v="istree_exp6_rebuilding_time/step10063.txt"/>
    <s v="brown_ext_ist_lf_dis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118517312"/>
    <n v="1000528"/>
    <n v="1000118517312"/>
    <n v="1000528"/>
    <s v="success"/>
    <n v="6"/>
    <n v="33060"/>
    <n v="1032612"/>
    <n v="1065672"/>
    <n v="1000528"/>
    <n v="32.234499999999997"/>
    <n v="0.96892900000000004"/>
    <n v="3.0000499999999999"/>
    <n v="19166576"/>
    <s v="250 349953 605647 2576051"/>
    <s v="223 349653 605491 2576030"/>
    <m/>
    <n v="254344"/>
    <n v="5751310691220"/>
    <n v="29403380691"/>
    <n v="1282416639861"/>
    <n v="28057220916"/>
    <n v="16925153397"/>
    <n v="8581668510"/>
    <n v="11033461871"/>
    <n v="0"/>
    <n v="111447483"/>
    <n v="11033461871"/>
    <n v="11144909354"/>
    <n v="183891031"/>
    <n v="0"/>
    <n v="1857458"/>
    <n v="183891031"/>
    <n v="185748489"/>
    <n v="8.2376799999999992"/>
    <n v="0.233931"/>
    <n v="1432.12"/>
    <n v="382.60899999999998"/>
    <n v="2124"/>
    <n v="151"/>
    <n v="59.909486366875001"/>
    <n v="14.222750660156251"/>
    <n v="223"/>
    <n v="349653"/>
    <n v="605491"/>
    <n v="2576030"/>
    <n v="0"/>
    <n v="0"/>
    <s v="u=1%, k=2x10^6"/>
    <x v="12"/>
    <n v="0.30628521553124999"/>
    <n v="13.35850666521875"/>
    <n v="0.29226271787499997"/>
    <n v="0.17630368121874998"/>
    <n v="8.9392380312500005E-2"/>
    <n v="45.68673570671875"/>
  </r>
  <r>
    <s v="istree_exp6_rebuilding_time/step10064.txt"/>
    <s v="brown_ext_ist_lf_dis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940540337"/>
    <n v="1000778"/>
    <n v="999940540337"/>
    <n v="1000778"/>
    <s v="success"/>
    <n v="6"/>
    <n v="51076"/>
    <n v="1069430"/>
    <n v="1120506"/>
    <n v="1000778"/>
    <n v="21.937999999999999"/>
    <n v="0.935805"/>
    <n v="3.0376799999999999"/>
    <n v="21214560"/>
    <s v="335 837260 150046 2331076"/>
    <s v="287 836607 149954 2331042"/>
    <m/>
    <n v="146734"/>
    <n v="8619366375495"/>
    <n v="51970604018"/>
    <n v="2659418347039"/>
    <n v="50792004834"/>
    <n v="22353174801"/>
    <n v="14376501302"/>
    <n v="14209883025"/>
    <n v="0"/>
    <n v="143536605"/>
    <n v="14209883025"/>
    <n v="14353419630"/>
    <n v="236831383"/>
    <n v="0"/>
    <n v="2392276"/>
    <n v="236831383"/>
    <n v="239223660"/>
    <n v="8.5047300000000003"/>
    <n v="0.33583400000000002"/>
    <n v="1644.59"/>
    <n v="400.74299999999999"/>
    <n v="2831"/>
    <n v="250"/>
    <n v="59.856710940937496"/>
    <n v="19.436879388847224"/>
    <n v="287"/>
    <n v="836607"/>
    <n v="149954"/>
    <n v="2331042"/>
    <n v="0"/>
    <n v="0"/>
    <s v="u=1%, k=2x10^6"/>
    <x v="12"/>
    <n v="0.36090697234722224"/>
    <n v="18.46818296554861"/>
    <n v="0.35272225579166666"/>
    <n v="0.15523038056250002"/>
    <n v="9.9836814597222212E-2"/>
    <n v="40.419831552090272"/>
  </r>
  <r>
    <s v="istree_exp6_rebuilding_time/step10065.txt"/>
    <s v="brown_ext_ist_lf_dis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1000940993959"/>
    <n v="1000394"/>
    <n v="1000940993959"/>
    <n v="1000394"/>
    <s v="success"/>
    <n v="6"/>
    <n v="54677"/>
    <n v="1076541"/>
    <n v="1131218"/>
    <n v="1000394"/>
    <n v="20.6891"/>
    <n v="0.92926699999999995"/>
    <n v="3.04542"/>
    <n v="21621584"/>
    <s v="399 834399 405874 3338176"/>
    <s v="355 833520 405569 3338111"/>
    <m/>
    <n v="120698"/>
    <n v="11372789358217"/>
    <n v="63033762140"/>
    <n v="3913529403314"/>
    <n v="55232928256"/>
    <n v="28873313413"/>
    <n v="15537305669"/>
    <n v="17591448571"/>
    <n v="0"/>
    <n v="177693255"/>
    <n v="17591448571"/>
    <n v="17769141826"/>
    <n v="293190809"/>
    <n v="0"/>
    <n v="2961554"/>
    <n v="293190809"/>
    <n v="296152363"/>
    <n v="8.5404900000000001"/>
    <n v="0.39095299999999999"/>
    <n v="1757.99"/>
    <n v="411.048"/>
    <n v="2745"/>
    <n v="332"/>
    <n v="59.856786095878945"/>
    <n v="21.453719541010525"/>
    <n v="355"/>
    <n v="833520"/>
    <n v="405569"/>
    <n v="3338111"/>
    <n v="0"/>
    <n v="0"/>
    <s v="u=1%, k=2x10^6"/>
    <x v="12"/>
    <n v="0.33175664284210526"/>
    <n v="20.597523175336843"/>
    <n v="0.29069962240000002"/>
    <n v="0.15196480743684213"/>
    <n v="8.1775292994736848E-2"/>
    <n v="38.403066554868417"/>
  </r>
  <r>
    <s v="istree_exp6_rebuilding_time/step10066.txt"/>
    <s v="brown_ext_ist_lf_dis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99984156365097"/>
    <n v="9996873"/>
    <n v="99984156365097"/>
    <n v="9996873"/>
    <s v="success"/>
    <n v="7"/>
    <n v="1703625"/>
    <n v="11607873"/>
    <n v="13311498"/>
    <n v="9996873"/>
    <n v="7.8136299999999999"/>
    <n v="0.86121499999999995"/>
    <n v="4.0158899999999997"/>
    <n v="322022960"/>
    <s v="3 11085 320852 2923323 9834"/>
    <s v="3 11085 320851 2923321 9834"/>
    <m/>
    <n v="716836"/>
    <n v="1436561030889"/>
    <n v="5082620150"/>
    <n v="62471427012"/>
    <n v="7159089437"/>
    <n v="5025667056"/>
    <n v="1770840850"/>
    <n v="1975970546"/>
    <n v="0"/>
    <n v="19966015"/>
    <n v="1975970546"/>
    <n v="1995936561"/>
    <n v="32932842"/>
    <n v="0"/>
    <n v="332766"/>
    <n v="32932842"/>
    <n v="33265609"/>
    <n v="16.114799999999999"/>
    <n v="5.88443"/>
    <n v="2010.05"/>
    <n v="1236.2"/>
    <n v="2662"/>
    <n v="177"/>
    <n v="59.856709620375"/>
    <n v="3.3962351877083332"/>
    <n v="3"/>
    <n v="11085"/>
    <n v="320851"/>
    <n v="2923321"/>
    <n v="9834"/>
    <n v="0"/>
    <s v="u=1%, k=2x10^7"/>
    <x v="13"/>
    <n v="0.21177583958333335"/>
    <n v="2.6029761255000001"/>
    <n v="0.29829539320833337"/>
    <n v="0.20940279399999998"/>
    <n v="7.3785035416666658E-2"/>
    <n v="56.460474432666665"/>
  </r>
  <r>
    <s v="istree_exp6_rebuilding_time/step10067.txt"/>
    <s v="brown_ext_ist_lf_dis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13366553398"/>
    <n v="10001206"/>
    <n v="100013366553398"/>
    <n v="10001206"/>
    <s v="success"/>
    <n v="7"/>
    <n v="1907456"/>
    <n v="12037904"/>
    <n v="13945360"/>
    <n v="10001206"/>
    <n v="7.3109700000000002"/>
    <n v="0.83081000000000005"/>
    <n v="4.0562100000000001"/>
    <n v="345238480"/>
    <s v="6 18676 416739 4684917 14822"/>
    <s v="6 18673 416735 4684917 14822"/>
    <m/>
    <n v="284434"/>
    <n v="2873122086599"/>
    <n v="10952003195"/>
    <n v="293761101538"/>
    <n v="16574352223"/>
    <n v="11487522620"/>
    <n v="4606506079"/>
    <n v="3263314818"/>
    <n v="0"/>
    <n v="32963671"/>
    <n v="3263314818"/>
    <n v="3296278489"/>
    <n v="54388580"/>
    <n v="0"/>
    <n v="549394"/>
    <n v="54388580"/>
    <n v="54937974"/>
    <n v="16.0273"/>
    <n v="5.9777899999999997"/>
    <n v="2431.3000000000002"/>
    <n v="1492.23"/>
    <n v="2789"/>
    <n v="183"/>
    <n v="59.856710137479162"/>
    <n v="7.0287809511458335"/>
    <n v="6"/>
    <n v="18673"/>
    <n v="416735"/>
    <n v="4684917"/>
    <n v="14822"/>
    <n v="0"/>
    <s v="u=1%, k=2x10^7"/>
    <x v="13"/>
    <n v="0.22816673322916667"/>
    <n v="6.1200229487083329"/>
    <n v="0.34529900464583335"/>
    <n v="0.23932338791666666"/>
    <n v="9.5968876645833326E-2"/>
    <n v="52.827929186333328"/>
  </r>
  <r>
    <s v="istree_exp6_rebuilding_time/step10068.txt"/>
    <s v="brown_ext_ist_lf_dis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17942623099"/>
    <n v="10000874"/>
    <n v="100017942623099"/>
    <n v="10000874"/>
    <s v="success"/>
    <n v="7"/>
    <n v="1904757"/>
    <n v="12035454"/>
    <n v="13940211"/>
    <n v="10000874"/>
    <n v="7.3186299999999997"/>
    <n v="0.830951"/>
    <n v="4.05558"/>
    <n v="344990400"/>
    <s v="12 37957 567407 8694224 25127"/>
    <s v="12 37953 567393 8694214 25127"/>
    <m/>
    <n v="135068"/>
    <n v="5746244409577"/>
    <n v="22713891300"/>
    <n v="1195501802313"/>
    <n v="32586297427"/>
    <n v="35924137028"/>
    <n v="9535475696"/>
    <n v="6260115693"/>
    <n v="0"/>
    <n v="63247013"/>
    <n v="6260115693"/>
    <n v="6323362706"/>
    <n v="104335261"/>
    <n v="0"/>
    <n v="1054116"/>
    <n v="104335261"/>
    <n v="105389378"/>
    <n v="15.985200000000001"/>
    <n v="6.3826700000000001"/>
    <n v="2521.67"/>
    <n v="1243.69"/>
    <n v="3298"/>
    <n v="239"/>
    <n v="59.856712599760414"/>
    <n v="13.502725039208334"/>
    <n v="12"/>
    <n v="37953"/>
    <n v="567393"/>
    <n v="8694214"/>
    <n v="25127"/>
    <n v="0"/>
    <s v="u=1%, k=2x10^7"/>
    <x v="13"/>
    <n v="0.23660303437499999"/>
    <n v="12.453143774093752"/>
    <n v="0.33944059819791667"/>
    <n v="0.37420976070833328"/>
    <n v="9.9327871833333345E-2"/>
    <n v="46.353987560552078"/>
  </r>
  <r>
    <s v="istree_exp6_rebuilding_time/step10069.txt"/>
    <s v="brown_ext_ist_lf_dis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27627517754"/>
    <n v="9992151"/>
    <n v="99927627517754"/>
    <n v="9992151"/>
    <s v="success"/>
    <n v="7"/>
    <n v="1898113"/>
    <n v="12004834"/>
    <n v="13902947"/>
    <n v="9992151"/>
    <n v="7.3246200000000004"/>
    <n v="0.83234399999999997"/>
    <n v="4.0547199999999997"/>
    <n v="343952064"/>
    <s v="16 50609 424573 11020032 27259"/>
    <s v="16 50607 424551 11020000 27259"/>
    <m/>
    <n v="80264"/>
    <n v="8619658283280"/>
    <n v="30440256076"/>
    <n v="2559726281817"/>
    <n v="41439312584"/>
    <n v="76692718236"/>
    <n v="12858943359"/>
    <n v="8158795421"/>
    <n v="0"/>
    <n v="82427824"/>
    <n v="8158795421"/>
    <n v="8241223245"/>
    <n v="135979923"/>
    <n v="0"/>
    <n v="1373797"/>
    <n v="135979923"/>
    <n v="137353720"/>
    <n v="16.0304"/>
    <n v="6.5119800000000003"/>
    <n v="2886.25"/>
    <n v="1250.71"/>
    <n v="3556"/>
    <n v="324"/>
    <n v="59.858738078333332"/>
    <n v="18.896927167166666"/>
    <n v="16"/>
    <n v="50607"/>
    <n v="424551"/>
    <n v="11020000"/>
    <n v="27259"/>
    <n v="0"/>
    <s v="u=1%, k=2x10^7"/>
    <x v="13"/>
    <n v="0.21139066719444444"/>
    <n v="17.775876957062501"/>
    <n v="0.28777300405555556"/>
    <n v="0.53258832108333332"/>
    <n v="8.9298217770833327E-2"/>
    <n v="40.961810911166666"/>
  </r>
  <r>
    <s v="istree_exp6_rebuilding_time/step10070.txt"/>
    <s v="brown_ext_ist_lf_dis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5829864427"/>
    <n v="10000513"/>
    <n v="100005829864427"/>
    <n v="10000513"/>
    <s v="success"/>
    <n v="7"/>
    <n v="1774116"/>
    <n v="11744745"/>
    <n v="13518861"/>
    <n v="10000513"/>
    <n v="7.62005"/>
    <n v="0.85148800000000002"/>
    <n v="4.0296799999999999"/>
    <n v="329846704"/>
    <s v="21 63257 533047 13432192 33595"/>
    <s v="20 63257 533017 13432159 33595"/>
    <m/>
    <n v="60914"/>
    <n v="11373080244637"/>
    <n v="39595689360"/>
    <n v="3905000094869"/>
    <n v="50487942237"/>
    <n v="131610427157"/>
    <n v="15854543849"/>
    <n v="9976978274"/>
    <n v="0"/>
    <n v="100789054"/>
    <n v="9976978274"/>
    <n v="10077767328"/>
    <n v="166282971"/>
    <n v="0"/>
    <n v="1679817"/>
    <n v="166282971"/>
    <n v="167962788"/>
    <n v="16.086099999999998"/>
    <n v="6.6003499999999997"/>
    <n v="3107.82"/>
    <n v="1246.3900000000001"/>
    <n v="4044"/>
    <n v="412"/>
    <n v="59.858317077036844"/>
    <n v="21.802887881431577"/>
    <n v="20"/>
    <n v="63257"/>
    <n v="533017"/>
    <n v="13432159"/>
    <n v="33595"/>
    <n v="0"/>
    <s v="u=1%, k=2x10^7"/>
    <x v="13"/>
    <n v="0.2083983650526316"/>
    <n v="20.552632078257894"/>
    <n v="0.26572601177368421"/>
    <n v="0.69268645872105261"/>
    <n v="8.3444967626315786E-2"/>
    <n v="38.055429195605271"/>
  </r>
  <r>
    <s v="istree_exp6_rebuilding_time/step10071.txt"/>
    <s v="brown_ext_ist_lf_dis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7864416918E+16"/>
    <n v="100001462"/>
    <n v="1.00007864416918E+16"/>
    <n v="100001462"/>
    <s v="success"/>
    <n v="7"/>
    <n v="14109528"/>
    <n v="116376318"/>
    <n v="130485846"/>
    <n v="100001462"/>
    <n v="9.2480700000000002"/>
    <n v="0.859294"/>
    <n v="4.0641600000000002"/>
    <n v="2993211152"/>
    <s v="0 0 5 593841 197841"/>
    <s v="0 0 5 593841 197841"/>
    <m/>
    <n v="627772"/>
    <n v="1436561104118"/>
    <n v="287298186"/>
    <m/>
    <n v="804304661"/>
    <n v="1700788488"/>
    <n v="109870119"/>
    <n v="1687603966"/>
    <n v="0"/>
    <n v="17049755"/>
    <n v="1687603966"/>
    <n v="1704653721"/>
    <n v="28126732"/>
    <n v="0"/>
    <n v="284162"/>
    <n v="28126732"/>
    <n v="28410895"/>
    <n v="18.945599999999999"/>
    <n v="8.2702100000000005"/>
    <n v="2355.42"/>
    <n v="1758.3"/>
    <n v="7481"/>
    <n v="1560"/>
    <n v="59.856712671583331"/>
    <n v="0.12092756058333333"/>
    <n v="0"/>
    <n v="0"/>
    <n v="5"/>
    <n v="593841"/>
    <n v="197841"/>
    <n v="0"/>
    <s v="u=1%, k=2x10^8"/>
    <x v="14"/>
    <n v="1.197075775E-2"/>
    <n v="0"/>
    <n v="3.3512694208333332E-2"/>
    <n v="7.0866186999999997E-2"/>
    <n v="4.5779216250000001E-3"/>
    <n v="59.735785110999998"/>
  </r>
  <r>
    <s v="istree_exp6_rebuilding_time/step10072.txt"/>
    <s v="brown_ext_ist_lf_dis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9602802052E+16"/>
    <n v="100004271"/>
    <n v="1.00009602802052E+16"/>
    <n v="100004271"/>
    <s v="success"/>
    <n v="7"/>
    <n v="14924937"/>
    <n v="118210463"/>
    <n v="133135400"/>
    <n v="100004271"/>
    <n v="8.9203299999999999"/>
    <n v="0.84598499999999999"/>
    <n v="4.0817300000000003"/>
    <n v="3089475360"/>
    <s v="0 0 14167 2018021 418674"/>
    <s v="0 0 14167 2018021 418674"/>
    <m/>
    <n v="271016"/>
    <n v="2873122610948"/>
    <n v="1436279402"/>
    <m/>
    <n v="3451734586"/>
    <n v="5517656523"/>
    <n v="595698095"/>
    <n v="2973254393"/>
    <n v="0"/>
    <n v="30023298"/>
    <n v="2973254393"/>
    <n v="3003277691"/>
    <n v="49554239"/>
    <n v="0"/>
    <n v="500388"/>
    <n v="49554239"/>
    <n v="50054628"/>
    <n v="19.057700000000001"/>
    <n v="8.3723100000000006"/>
    <n v="2672.02"/>
    <n v="1987.52"/>
    <n v="7813"/>
    <n v="1267"/>
    <n v="59.856721061416664"/>
    <n v="0.22919517929166666"/>
    <n v="0"/>
    <n v="0"/>
    <n v="14167"/>
    <n v="2018021"/>
    <n v="418674"/>
    <n v="0"/>
    <s v="u=1%, k=2x10^8"/>
    <x v="14"/>
    <n v="2.9922487541666667E-2"/>
    <n v="0"/>
    <n v="7.1911137208333337E-2"/>
    <n v="0.11495117756250001"/>
    <n v="1.2410376979166667E-2"/>
    <n v="59.627525882124999"/>
  </r>
  <r>
    <s v="istree_exp6_rebuilding_time/step10073.txt"/>
    <s v="brown_ext_ist_lf_dis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880119606320"/>
    <n v="99997037"/>
    <n v="9999880119606320"/>
    <n v="99997037"/>
    <s v="success"/>
    <n v="7"/>
    <n v="11213383"/>
    <n v="110405234"/>
    <n v="121618617"/>
    <n v="99997037"/>
    <n v="10.845800000000001"/>
    <n v="0.90572699999999995"/>
    <n v="4.0040800000000001"/>
    <n v="2663567568"/>
    <s v="1 9909 394078 3999086 672897"/>
    <s v="1 9908 394077 3999086 672897"/>
    <m/>
    <n v="106506"/>
    <n v="5770847361750"/>
    <n v="19178773352"/>
    <n v="791139479060"/>
    <n v="27634537496"/>
    <n v="59845443299"/>
    <n v="7862051820"/>
    <n v="5031606795"/>
    <n v="0"/>
    <n v="50824403"/>
    <n v="5031606795"/>
    <n v="5082431198"/>
    <n v="83860113"/>
    <n v="0"/>
    <n v="847073"/>
    <n v="83860113"/>
    <n v="84707186"/>
    <n v="19.439599999999999"/>
    <n v="9.34511"/>
    <n v="3142.41"/>
    <n v="1958.08"/>
    <n v="13116"/>
    <n v="1092"/>
    <n v="60.112993351562501"/>
    <n v="9.4339613023645832"/>
    <n v="1"/>
    <n v="9908"/>
    <n v="394077"/>
    <n v="3999086"/>
    <n v="672897"/>
    <n v="0"/>
    <s v="u=1%, k=2x10^8"/>
    <x v="14"/>
    <n v="0.19977888908333333"/>
    <n v="8.2410362402083326"/>
    <n v="0.28785976558333332"/>
    <n v="0.6233900343645834"/>
    <n v="8.1896373124999991E-2"/>
    <n v="50.679032049197922"/>
  </r>
  <r>
    <s v="istree_exp6_rebuilding_time/step10074.txt"/>
    <s v="brown_ext_ist_lf_dis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9438249558420"/>
    <n v="100003206"/>
    <n v="9999438249558420"/>
    <n v="100003206"/>
    <s v="success"/>
    <n v="7"/>
    <n v="14757272"/>
    <n v="117818337"/>
    <n v="132575609"/>
    <n v="100003206"/>
    <n v="8.9837500000000006"/>
    <n v="0.84879199999999999"/>
    <n v="4.0781400000000003"/>
    <n v="3069328240"/>
    <s v="1 9998 351564 5343767 1010038"/>
    <s v="1 9998 351562 5343767 1010038"/>
    <m/>
    <n v="73260"/>
    <n v="8638139129781"/>
    <n v="20699128953"/>
    <n v="1233334304294"/>
    <n v="31101067837"/>
    <n v="79521188758"/>
    <n v="8906343098"/>
    <n v="7468145565"/>
    <n v="0"/>
    <n v="75432986"/>
    <n v="7468145565"/>
    <n v="7543578551"/>
    <n v="124469092"/>
    <n v="0"/>
    <n v="1257216"/>
    <n v="124469092"/>
    <n v="125726309"/>
    <n v="19.259699999999999"/>
    <n v="9.4517000000000007"/>
    <n v="3151.34"/>
    <n v="1944.45"/>
    <n v="13512"/>
    <n v="1100"/>
    <n v="59.987077290145834"/>
    <n v="9.53862522875"/>
    <n v="1"/>
    <n v="9998"/>
    <n v="351562"/>
    <n v="5343767"/>
    <n v="1010038"/>
    <n v="0"/>
    <s v="u=1%, k=2x10^8"/>
    <x v="14"/>
    <n v="0.14374395106249999"/>
    <n v="8.564821557597222"/>
    <n v="0.21597963775694443"/>
    <n v="0.55223047748611109"/>
    <n v="6.1849604847222225E-2"/>
    <n v="50.448452061395834"/>
  </r>
  <r>
    <s v="istree_exp6_rebuilding_time/step10075.txt"/>
    <s v="brown_ext_ist_lf_dis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9999347632320250"/>
    <n v="99993732"/>
    <n v="9999347632320250"/>
    <n v="99993732"/>
    <s v="success"/>
    <n v="7"/>
    <n v="12539839"/>
    <n v="113106941"/>
    <n v="125646780"/>
    <n v="99993732"/>
    <n v="10.0198"/>
    <n v="0.88406399999999996"/>
    <n v="4.0297299999999998"/>
    <n v="2814320144"/>
    <s v="1 16181 676307 7718972 1305517"/>
    <s v="1 16181 676305 7718969 1305517"/>
    <m/>
    <n v="56466"/>
    <n v="11410174154160"/>
    <n v="31313596709"/>
    <n v="1653200287601"/>
    <n v="45577729767"/>
    <n v="306935608988"/>
    <n v="12624139006"/>
    <n v="9484597892"/>
    <n v="0"/>
    <n v="95804252"/>
    <n v="9484597892"/>
    <n v="9580402144"/>
    <n v="158076631"/>
    <n v="0"/>
    <n v="1596737"/>
    <n v="158076631"/>
    <n v="159673369"/>
    <n v="19.416"/>
    <n v="9.6370100000000001"/>
    <n v="3229.5"/>
    <n v="1968.81"/>
    <n v="13550"/>
    <n v="1099"/>
    <n v="60.053548179789473"/>
    <n v="10.787638747742106"/>
    <n v="1"/>
    <n v="16181"/>
    <n v="676305"/>
    <n v="7718969"/>
    <n v="1305517"/>
    <n v="0"/>
    <s v="u=1%, k=2x10^8"/>
    <x v="14"/>
    <n v="0.16480840373157893"/>
    <n v="8.7010541452684205"/>
    <n v="0.23988278824736842"/>
    <n v="1.6154505736210527"/>
    <n v="6.6442836873684213E-2"/>
    <n v="49.265909432047373"/>
  </r>
  <r>
    <s v="istree_exp6_rebuilding_time/step10076.txt"/>
    <s v="brown_ext_ist_lf_dis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378040401E+18"/>
    <n v="1000003708"/>
    <n v="1.00000378040401E+18"/>
    <n v="1000003708"/>
    <s v="success"/>
    <n v="7"/>
    <n v="87194667"/>
    <n v="1084271474"/>
    <n v="1171466141"/>
    <n v="1000003708"/>
    <n v="13.4351"/>
    <n v="0.92228200000000005"/>
    <n v="4.0054800000000004"/>
    <n v="24324153040"/>
    <s v="0 0 0 1333 15068"/>
    <s v="0 0 0 1333 15068"/>
    <m/>
    <n v="404110"/>
    <n v="1436564848815"/>
    <n v="5249542"/>
    <m/>
    <n v="24978333"/>
    <n v="837267724"/>
    <n v="1694532"/>
    <n v="1089467410"/>
    <n v="0"/>
    <n v="11003449"/>
    <n v="1089467410"/>
    <n v="1100470859"/>
    <n v="18157790"/>
    <n v="0"/>
    <n v="183390"/>
    <n v="18157790"/>
    <n v="18341180"/>
    <n v="22.076000000000001"/>
    <n v="12.883900000000001"/>
    <n v="3647.81"/>
    <n v="2918.63"/>
    <n v="59443"/>
    <n v="16128"/>
    <n v="59.856868700625"/>
    <n v="3.6216255458333332E-2"/>
    <n v="0"/>
    <n v="0"/>
    <n v="0"/>
    <n v="1333"/>
    <n v="15068"/>
    <n v="0"/>
    <s v="u=1%, k=2x10^9"/>
    <x v="15"/>
    <n v="2.1873091666666669E-4"/>
    <n v="0"/>
    <n v="1.0407638749999999E-3"/>
    <n v="3.4886155166666669E-2"/>
    <n v="7.06055E-5"/>
    <n v="59.820652445166665"/>
  </r>
  <r>
    <s v="istree_exp6_rebuilding_time/step10077.txt"/>
    <s v="brown_ext_ist_lf_dis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699707353997E+17"/>
    <n v="999995418"/>
    <n v="9.9999699707353997E+17"/>
    <n v="999995418"/>
    <s v="success"/>
    <n v="7"/>
    <n v="89412299"/>
    <n v="1088724703"/>
    <n v="1178137002"/>
    <n v="999995418"/>
    <n v="13.176500000000001"/>
    <n v="0.91850200000000004"/>
    <n v="4.00997"/>
    <n v="24573364512"/>
    <s v="0 0 0 8199 49145"/>
    <s v="0 0 0 8199 49145"/>
    <m/>
    <n v="181120"/>
    <n v="2873128975617"/>
    <n v="30146302"/>
    <m/>
    <n v="105445160"/>
    <n v="3090654608"/>
    <n v="11575965"/>
    <n v="1993832899"/>
    <n v="0"/>
    <n v="20144225"/>
    <n v="1993832899"/>
    <n v="2013977124"/>
    <n v="33230548"/>
    <n v="0"/>
    <n v="335737"/>
    <n v="33230548"/>
    <n v="33566285"/>
    <n v="22.011700000000001"/>
    <n v="12.932700000000001"/>
    <n v="3986.39"/>
    <n v="3323.04"/>
    <n v="59814"/>
    <n v="12951"/>
    <n v="59.856853658687498"/>
    <n v="6.7454625729166676E-2"/>
    <n v="0"/>
    <n v="0"/>
    <n v="0"/>
    <n v="8199"/>
    <n v="49145"/>
    <n v="0"/>
    <s v="u=1%, k=2x10^9"/>
    <x v="15"/>
    <n v="6.2804795833333333E-4"/>
    <n v="0"/>
    <n v="2.1967741666666664E-3"/>
    <n v="6.4388637666666665E-2"/>
    <n v="2.4116593750000002E-4"/>
    <n v="59.789399032958329"/>
  </r>
  <r>
    <s v="istree_exp6_rebuilding_time/step10078.txt"/>
    <s v="brown_ext_ist_lf_dis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1.00000616263882E+18"/>
    <n v="1000003371"/>
    <n v="1.00000616263882E+18"/>
    <n v="1000003371"/>
    <s v="success"/>
    <n v="7"/>
    <n v="95147090"/>
    <n v="1100295551"/>
    <n v="1195442641"/>
    <n v="1000003371"/>
    <n v="12.5642"/>
    <n v="0.90885000000000005"/>
    <n v="4.0216900000000004"/>
    <n v="25220058736"/>
    <s v="0 0 0 86440 229019"/>
    <s v="0 0 0 86440 229019"/>
    <m/>
    <n v="99140"/>
    <n v="5746256862808"/>
    <n v="195044873"/>
    <m/>
    <n v="619896909"/>
    <n v="10144440321"/>
    <n v="106387621"/>
    <n v="4419865668"/>
    <n v="0"/>
    <n v="44638679"/>
    <n v="4419865668"/>
    <n v="4464504347"/>
    <n v="73664427"/>
    <n v="0"/>
    <n v="743977"/>
    <n v="73664427"/>
    <n v="74408405"/>
    <n v="22.0518"/>
    <n v="13.763299999999999"/>
    <n v="3592.56"/>
    <n v="2874.93"/>
    <n v="60708"/>
    <n v="9931"/>
    <n v="59.856842320916662"/>
    <n v="0.11526843462500001"/>
    <n v="0"/>
    <n v="0"/>
    <n v="0"/>
    <n v="86440"/>
    <n v="229019"/>
    <n v="0"/>
    <s v="u=1%, k=2x10^9"/>
    <x v="15"/>
    <n v="2.0317174270833333E-3"/>
    <n v="0"/>
    <n v="6.4572594687500005E-3"/>
    <n v="0.10567125334374999"/>
    <n v="1.1082043854166667E-3"/>
    <n v="59.741573886291661"/>
  </r>
  <r>
    <s v="istree_exp6_rebuilding_time/step10079.txt"/>
    <s v="brown_ext_ist_lf_dis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1458622353E+18"/>
    <n v="1000001719"/>
    <n v="1.00001458622353E+18"/>
    <n v="1000001719"/>
    <s v="success"/>
    <n v="7"/>
    <n v="100005645"/>
    <n v="1110171918"/>
    <n v="1210177563"/>
    <n v="1000001719"/>
    <n v="12.101100000000001"/>
    <n v="0.90076299999999998"/>
    <n v="4.0317600000000002"/>
    <n v="25770526272"/>
    <s v="0 0 0 281274 487598"/>
    <s v="0 0 0 281274 487598"/>
    <m/>
    <n v="65728"/>
    <n v="8619384319149"/>
    <n v="521980594"/>
    <m/>
    <n v="1566331348"/>
    <n v="13183351492"/>
    <n v="313642781"/>
    <n v="6617489716"/>
    <n v="0"/>
    <n v="66859509"/>
    <n v="6617489716"/>
    <n v="6684349225"/>
    <n v="110291495"/>
    <n v="0"/>
    <n v="1114325"/>
    <n v="110291495"/>
    <n v="111405820"/>
    <n v="22.065000000000001"/>
    <n v="13.985799999999999"/>
    <n v="3598.48"/>
    <n v="2865.97"/>
    <n v="61558"/>
    <n v="9481"/>
    <n v="59.85683554964583"/>
    <n v="0.10823129315972221"/>
    <n v="0"/>
    <n v="0"/>
    <n v="0"/>
    <n v="281274"/>
    <n v="487598"/>
    <n v="0"/>
    <s v="u=1%, k=2x10^9"/>
    <x v="15"/>
    <n v="3.6248652361111108E-3"/>
    <n v="0"/>
    <n v="1.0877301027777779E-2"/>
    <n v="9.1551052027777774E-2"/>
    <n v="2.1780748680555553E-3"/>
    <n v="59.748604256486111"/>
  </r>
  <r>
    <s v="istree_exp6_rebuilding_time/step10080.txt"/>
    <s v="brown_ext_ist_lf_dis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9613497836902E+17"/>
    <n v="1000001517"/>
    <n v="9.9999613497836902E+17"/>
    <n v="1000001517"/>
    <s v="success"/>
    <n v="7"/>
    <n v="104154432"/>
    <n v="1118670239"/>
    <n v="1222824671"/>
    <n v="1000001517"/>
    <n v="11.740500000000001"/>
    <n v="0.89392000000000005"/>
    <n v="4.0404600000000004"/>
    <n v="26242715744"/>
    <s v="0 0 0 605872 794673"/>
    <s v="0 0 0 605872 794673"/>
    <m/>
    <n v="51160"/>
    <n v="11372797185806"/>
    <n v="1020440408"/>
    <m/>
    <n v="2908688177"/>
    <n v="14707702552"/>
    <n v="598867589"/>
    <n v="8651354318"/>
    <n v="0"/>
    <n v="87392537"/>
    <n v="8651354318"/>
    <n v="8738746855"/>
    <n v="144189238"/>
    <n v="0"/>
    <n v="1456542"/>
    <n v="144189238"/>
    <n v="145645780"/>
    <n v="22.1953"/>
    <n v="14.136900000000001"/>
    <n v="3631"/>
    <n v="2892.03"/>
    <n v="62234"/>
    <n v="9041"/>
    <n v="59.856827293715781"/>
    <n v="0.10124051961052631"/>
    <n v="0"/>
    <n v="0"/>
    <n v="0"/>
    <n v="605872"/>
    <n v="794673"/>
    <n v="0"/>
    <s v="u=1%, k=2x10^9"/>
    <x v="15"/>
    <n v="5.3707389894736843E-3"/>
    <n v="0"/>
    <n v="1.5308885142105265E-2"/>
    <n v="7.740896080000001E-2"/>
    <n v="3.1519346789473687E-3"/>
    <n v="59.755586774105254"/>
  </r>
  <r>
    <s v="istree_exp6_rebuilding_time/step10081.txt"/>
    <s v="brown_ext_ist_lf_dis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452414171"/>
    <n v="1000754"/>
    <n v="1000452414171"/>
    <n v="1000754"/>
    <s v="success"/>
    <n v="6"/>
    <n v="83930"/>
    <n v="1138938"/>
    <n v="1222868"/>
    <n v="1000754"/>
    <n v="14.5701"/>
    <n v="0.87867300000000004"/>
    <n v="3.11158"/>
    <n v="25049232"/>
    <s v="767 498063 7166600 8016559"/>
    <s v="554 497246 7165781 8016475"/>
    <m/>
    <n v="1050518"/>
    <n v="1436563527675"/>
    <n v="24764323416"/>
    <n v="430603094582"/>
    <n v="29846166428"/>
    <n v="11929017469"/>
    <n v="12520933755"/>
    <n v="2496907682"/>
    <n v="0"/>
    <n v="277434927"/>
    <n v="2496907682"/>
    <n v="2774342609"/>
    <n v="41615128"/>
    <n v="0"/>
    <n v="4623915"/>
    <n v="41615128"/>
    <n v="46239043"/>
    <n v="9.8332200000000007"/>
    <n v="0.38775500000000002"/>
    <n v="1441.99"/>
    <n v="344.678"/>
    <n v="1682"/>
    <n v="30"/>
    <n v="59.856813653124995"/>
    <n v="21.235980652083331"/>
    <n v="554"/>
    <n v="497246"/>
    <n v="7165781"/>
    <n v="8016475"/>
    <n v="0"/>
    <n v="0"/>
    <s v="u=10%, k=2x10^6"/>
    <x v="16"/>
    <n v="1.0318468089999999"/>
    <n v="17.941795607583334"/>
    <n v="1.2435902678333333"/>
    <n v="0.49704239454166665"/>
    <n v="0.52170557312499999"/>
    <n v="38.62083300104166"/>
  </r>
  <r>
    <s v="istree_exp6_rebuilding_time/step10082.txt"/>
    <s v="brown_ext_ist_lf_dis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1038448851"/>
    <n v="1000680"/>
    <n v="1001038448851"/>
    <n v="1000680"/>
    <s v="success"/>
    <n v="6"/>
    <n v="33047"/>
    <n v="1032739"/>
    <n v="1065786"/>
    <n v="1000680"/>
    <n v="32.250599999999999"/>
    <n v="0.96895699999999996"/>
    <n v="3.0000200000000001"/>
    <n v="19167568"/>
    <s v="905 609130 5782629 8393447"/>
    <s v="617 608541 5780708 8393301"/>
    <m/>
    <n v="291910"/>
    <n v="2873232618201"/>
    <n v="44236112326"/>
    <n v="1448776454934"/>
    <n v="50086558255"/>
    <n v="21639148415"/>
    <n v="21516230807"/>
    <n v="2776191916"/>
    <n v="0"/>
    <n v="308438875"/>
    <n v="2776191916"/>
    <n v="3084630791"/>
    <n v="46269865"/>
    <n v="0"/>
    <n v="5140647"/>
    <n v="46269865"/>
    <n v="51410513"/>
    <n v="9.8468300000000006"/>
    <n v="0.47510400000000003"/>
    <n v="2586.37"/>
    <n v="501.40899999999999"/>
    <n v="2064"/>
    <n v="30"/>
    <n v="59.859012879187503"/>
    <n v="33.046968848687499"/>
    <n v="617"/>
    <n v="608541"/>
    <n v="5780708"/>
    <n v="8393301"/>
    <n v="0"/>
    <n v="0"/>
    <s v="u=10%, k=2x10^6"/>
    <x v="16"/>
    <n v="0.92158567345833331"/>
    <n v="30.182842811124999"/>
    <n v="1.0434699636458333"/>
    <n v="0.45081559197916671"/>
    <n v="0.44825480847916666"/>
    <n v="26.812044030500005"/>
  </r>
  <r>
    <s v="istree_exp6_rebuilding_time/step10083.txt"/>
    <s v="brown_ext_ist_lf_dis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879382844"/>
    <n v="999810"/>
    <n v="999879382844"/>
    <n v="999810"/>
    <s v="success"/>
    <n v="6"/>
    <n v="52584"/>
    <n v="1071746"/>
    <n v="1124330"/>
    <n v="999810"/>
    <n v="21.381599999999999"/>
    <n v="0.93288000000000004"/>
    <n v="3.0411000000000001"/>
    <n v="21375856"/>
    <s v="1114 1078920 1868255 7938109"/>
    <s v="687 1073072 1865304 7937755"/>
    <m/>
    <n v="84866"/>
    <n v="5746269928052"/>
    <n v="107822187016"/>
    <n v="3812038751239"/>
    <n v="80553185712"/>
    <n v="51041420165"/>
    <n v="25656632252"/>
    <n v="3092480127"/>
    <n v="0"/>
    <n v="343602033"/>
    <n v="3092480127"/>
    <n v="3436082160"/>
    <n v="51541335"/>
    <n v="0"/>
    <n v="5726700"/>
    <n v="51541335"/>
    <n v="57268036"/>
    <n v="10.365399999999999"/>
    <n v="1.49119"/>
    <n v="4649.75"/>
    <n v="783.14200000000005"/>
    <n v="2938"/>
    <n v="149"/>
    <n v="59.856978417208332"/>
    <n v="42.469918503999999"/>
    <n v="687"/>
    <n v="1073072"/>
    <n v="1865304"/>
    <n v="7937755"/>
    <n v="0"/>
    <n v="0"/>
    <s v="u=10%, k=2x10^6"/>
    <x v="16"/>
    <n v="1.1231477814166666"/>
    <n v="39.708736992072915"/>
    <n v="0.83909568450000005"/>
    <n v="0.53168146005208328"/>
    <n v="0.26725658595833335"/>
    <n v="17.387059913208326"/>
  </r>
  <r>
    <s v="istree_exp6_rebuilding_time/step10084.txt"/>
    <s v="brown_ext_ist_lf_dis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1380323421"/>
    <n v="1001060"/>
    <n v="1001380323421"/>
    <n v="1001060"/>
    <s v="success"/>
    <n v="6"/>
    <n v="33071"/>
    <n v="1033169"/>
    <n v="1066240"/>
    <n v="1001060"/>
    <n v="32.240900000000003"/>
    <n v="0.96892199999999995"/>
    <n v="3.00007"/>
    <n v="19176368"/>
    <s v="1206 1983498 357084 5518020"/>
    <s v="680 1974123 355726 5517597"/>
    <m/>
    <n v="44004"/>
    <n v="8626027479012"/>
    <n v="156317844885"/>
    <n v="6153434302968"/>
    <n v="117744858383"/>
    <n v="357440299605"/>
    <n v="32403466810"/>
    <n v="3057900265"/>
    <n v="0"/>
    <n v="339762943"/>
    <n v="3057900265"/>
    <n v="3397663208"/>
    <n v="50965004"/>
    <n v="0"/>
    <n v="5662715"/>
    <n v="50965004"/>
    <n v="56627720"/>
    <n v="11.4483"/>
    <n v="2.4249499999999999"/>
    <n v="6974.82"/>
    <n v="1004.6"/>
    <n v="3663"/>
    <n v="370"/>
    <n v="59.902968604249999"/>
    <n v="47.342644254520835"/>
    <n v="680"/>
    <n v="1974123"/>
    <n v="355726"/>
    <n v="5517597"/>
    <n v="0"/>
    <n v="0"/>
    <s v="u=10%, k=2x10^6"/>
    <x v="16"/>
    <n v="1.0855405894791668"/>
    <n v="42.732182659500005"/>
    <n v="0.81767262765972215"/>
    <n v="2.4822243028124999"/>
    <n v="0.22502407506944444"/>
    <n v="12.560324349729164"/>
  </r>
  <r>
    <s v="istree_exp6_rebuilding_time/step10085.txt"/>
    <s v="brown_ext_ist_lf_dis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977010635"/>
    <n v="1000193"/>
    <n v="999977010635"/>
    <n v="1000193"/>
    <s v="success"/>
    <n v="6"/>
    <n v="53608"/>
    <n v="1074025"/>
    <n v="1127633"/>
    <n v="1000193"/>
    <n v="21.034800000000001"/>
    <n v="0.931257"/>
    <n v="3.0429200000000001"/>
    <n v="21492256"/>
    <s v="1452 1970008 957412 7869751"/>
    <s v="838 1958156 953944 7869063"/>
    <m/>
    <n v="37426"/>
    <n v="11372842134892"/>
    <n v="202290053778"/>
    <n v="7822897022925"/>
    <n v="124298156124"/>
    <n v="829380713682"/>
    <n v="33870620587"/>
    <n v="3771611624"/>
    <n v="0"/>
    <n v="419036791"/>
    <n v="3771611624"/>
    <n v="4190648415"/>
    <n v="62860193"/>
    <n v="0"/>
    <n v="6983946"/>
    <n v="62860193"/>
    <n v="69844140"/>
    <n v="11.5412"/>
    <n v="2.7721200000000001"/>
    <n v="7388.65"/>
    <n v="1130.05"/>
    <n v="3099"/>
    <n v="256"/>
    <n v="59.857063867852631"/>
    <n v="47.435455616294739"/>
    <n v="838"/>
    <n v="1958156"/>
    <n v="953944"/>
    <n v="7869063"/>
    <n v="0"/>
    <n v="0"/>
    <s v="u=10%, k=2x10^6"/>
    <x v="16"/>
    <n v="1.064684493568421"/>
    <n v="41.173142225921055"/>
    <n v="0.65420082170526317"/>
    <n v="4.3651616509578943"/>
    <n v="0.17826642414210525"/>
    <n v="12.421608251557899"/>
  </r>
  <r>
    <s v="istree_exp6_rebuilding_time/step10086.txt"/>
    <s v="brown_ext_ist_lf_dis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26114405589"/>
    <n v="10001248"/>
    <n v="100026114405589"/>
    <n v="10001248"/>
    <s v="success"/>
    <n v="7"/>
    <n v="1625791"/>
    <n v="11443588"/>
    <n v="13069379"/>
    <n v="10001248"/>
    <n v="8.0387799999999991"/>
    <n v="0.87396099999999999"/>
    <n v="4"/>
    <n v="313160672"/>
    <s v="26 67018 1923648 17555442 58609"/>
    <s v="24 66954 1923608 17555416 58609"/>
    <m/>
    <n v="426984"/>
    <n v="1443604423203"/>
    <n v="31733986583"/>
    <n v="473338459708"/>
    <n v="37315642285"/>
    <n v="23907841000"/>
    <n v="11647333683"/>
    <n v="1079891428"/>
    <n v="0"/>
    <n v="119982203"/>
    <n v="1079891428"/>
    <n v="1199873631"/>
    <n v="17998190"/>
    <n v="0"/>
    <n v="1999703"/>
    <n v="17998190"/>
    <n v="19997893"/>
    <n v="17.979399999999998"/>
    <n v="7.1655100000000003"/>
    <n v="3344.44"/>
    <n v="1433.95"/>
    <n v="3359"/>
    <n v="154"/>
    <n v="60.150184300124998"/>
    <n v="24.080969302458332"/>
    <n v="24"/>
    <n v="66954"/>
    <n v="1923608"/>
    <n v="17555416"/>
    <n v="58609"/>
    <n v="0"/>
    <s v="u=10%, k=2x10^7"/>
    <x v="17"/>
    <n v="1.3222494409583334"/>
    <n v="19.722435821166666"/>
    <n v="1.5548184285416669"/>
    <n v="0.99616004166666672"/>
    <n v="0.48530557012499997"/>
    <n v="36.069214997666663"/>
  </r>
  <r>
    <s v="istree_exp6_rebuilding_time/step10087.txt"/>
    <s v="brown_ext_ist_lf_dis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84183561184"/>
    <n v="9998110"/>
    <n v="99984183561184"/>
    <n v="9998110"/>
    <s v="success"/>
    <n v="7"/>
    <n v="1894192"/>
    <n v="12001611"/>
    <n v="13895803"/>
    <n v="9998110"/>
    <n v="7.3360099999999999"/>
    <n v="0.83306400000000003"/>
    <n v="4.0538100000000004"/>
    <n v="343584000"/>
    <s v="41 96283 2107541 22334466 72317"/>
    <s v="31 96229 2107424 22334384 72317"/>
    <m/>
    <n v="137654"/>
    <n v="2873125679516"/>
    <n v="53405384641"/>
    <n v="1374035652011"/>
    <n v="65983274901"/>
    <n v="62277561364"/>
    <n v="20876779418"/>
    <n v="1415871540"/>
    <n v="0"/>
    <n v="157324781"/>
    <n v="1415871540"/>
    <n v="1573196321"/>
    <n v="23597859"/>
    <n v="0"/>
    <n v="2622079"/>
    <n v="23597859"/>
    <n v="26219938"/>
    <n v="18.157299999999999"/>
    <n v="7.3438699999999999"/>
    <n v="5067.88"/>
    <n v="1757.71"/>
    <n v="3757"/>
    <n v="204"/>
    <n v="59.856784989916669"/>
    <n v="32.845388590312503"/>
    <n v="31"/>
    <n v="96229"/>
    <n v="2107424"/>
    <n v="22334384"/>
    <n v="72317"/>
    <n v="0"/>
    <s v="u=10%, k=2x10^7"/>
    <x v="17"/>
    <n v="1.1126121800208333"/>
    <n v="28.625742750229165"/>
    <n v="1.3746515604375"/>
    <n v="1.2974491950833333"/>
    <n v="0.43493290454166672"/>
    <n v="27.011396399604173"/>
  </r>
  <r>
    <s v="istree_exp6_rebuilding_time/step10088.txt"/>
    <s v="brown_ext_ist_lf_dis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23635474609"/>
    <n v="10002099"/>
    <n v="100023635474609"/>
    <n v="10002099"/>
    <s v="success"/>
    <n v="7"/>
    <n v="1853277"/>
    <n v="11914102"/>
    <n v="13767379"/>
    <n v="10002099"/>
    <n v="7.4286700000000003"/>
    <n v="0.83951799999999999"/>
    <n v="4.0455500000000004"/>
    <n v="338897168"/>
    <s v="72 113826 1658405 24819599 71834"/>
    <s v="36 113821 1658203 24819385 71834"/>
    <m/>
    <n v="47338"/>
    <n v="5746567954443"/>
    <n v="62595921422"/>
    <n v="3666525973369"/>
    <n v="79584422877"/>
    <n v="445795087513"/>
    <n v="24607923316"/>
    <n v="1633721611"/>
    <n v="0"/>
    <n v="181511645"/>
    <n v="1633721611"/>
    <n v="1815233256"/>
    <n v="27228693"/>
    <n v="0"/>
    <n v="3025194"/>
    <n v="27228693"/>
    <n v="30253887"/>
    <n v="18.2729"/>
    <n v="7.6767700000000003"/>
    <n v="8284.8700000000008"/>
    <n v="1648.38"/>
    <n v="4478"/>
    <n v="253"/>
    <n v="59.860082858781254"/>
    <n v="44.574055505177085"/>
    <n v="36"/>
    <n v="113821"/>
    <n v="1658203"/>
    <n v="24819385"/>
    <n v="71834"/>
    <n v="0"/>
    <s v="u=10%, k=2x10^7"/>
    <x v="17"/>
    <n v="0.65204084814583341"/>
    <n v="38.192978889260417"/>
    <n v="0.82900440496874994"/>
    <n v="4.6436988282604164"/>
    <n v="0.25633253454166666"/>
    <n v="15.286027353604169"/>
  </r>
  <r>
    <s v="istree_exp6_rebuilding_time/step10089.txt"/>
    <s v="brown_ext_ist_lf_dis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99971660485884"/>
    <n v="9997696"/>
    <n v="99971660485884"/>
    <n v="9997696"/>
    <s v="success"/>
    <n v="7"/>
    <n v="1625308"/>
    <n v="11439648"/>
    <n v="13064956"/>
    <n v="9997696"/>
    <n v="8.0384499999999992"/>
    <n v="0.87395100000000003"/>
    <n v="4.0000099999999996"/>
    <n v="313058992"/>
    <s v="52 110715 928461 23418174 59037"/>
    <s v="35 110710 928289 23417884 59037"/>
    <m/>
    <n v="27280"/>
    <n v="8650804601250"/>
    <n v="60272759222"/>
    <n v="5985527627255"/>
    <n v="77916397660"/>
    <n v="1074348868880"/>
    <n v="25285996811"/>
    <n v="1575225978"/>
    <n v="0"/>
    <n v="175029688"/>
    <n v="1575225978"/>
    <n v="1750255666"/>
    <n v="26253766"/>
    <n v="0"/>
    <n v="2917161"/>
    <n v="26253766"/>
    <n v="29170927"/>
    <n v="18.3828"/>
    <n v="7.9800599999999999"/>
    <n v="12194"/>
    <n v="1633.67"/>
    <n v="4745"/>
    <n v="359"/>
    <n v="60.075031953124999"/>
    <n v="50.162164234916666"/>
    <n v="35"/>
    <n v="110710"/>
    <n v="928289"/>
    <n v="23417884"/>
    <n v="59037"/>
    <n v="0"/>
    <s v="u=10%, k=2x10^7"/>
    <x v="17"/>
    <n v="0.41856082793055555"/>
    <n v="41.566164078159723"/>
    <n v="0.54108609486111114"/>
    <n v="7.460756033888889"/>
    <n v="0.1755972000763889"/>
    <n v="9.9128677182083251"/>
  </r>
  <r>
    <s v="istree_exp6_rebuilding_time/step10090.txt"/>
    <s v="brown_ext_ist_lf_dis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81477004973"/>
    <n v="9997430"/>
    <n v="99981477004973"/>
    <n v="9997430"/>
    <s v="success"/>
    <n v="7"/>
    <n v="1625325"/>
    <n v="11439399"/>
    <n v="13064724"/>
    <n v="9997430"/>
    <n v="8.0382200000000008"/>
    <n v="0.87394700000000003"/>
    <n v="4.0000099999999996"/>
    <n v="313056368"/>
    <s v="58 113880 961929 24092625 60625"/>
    <s v="36 113869 961737 24092267 60624"/>
    <m/>
    <n v="19824"/>
    <n v="11449173431213"/>
    <n v="63449042916"/>
    <n v="7969529268421"/>
    <n v="82356412426"/>
    <n v="1831766763461"/>
    <n v="25642336974"/>
    <n v="1619693609"/>
    <n v="0"/>
    <n v="179954214"/>
    <n v="1619693609"/>
    <n v="1799647823"/>
    <n v="26994893"/>
    <n v="0"/>
    <n v="2999236"/>
    <n v="26994893"/>
    <n v="29994130"/>
    <n v="18.490600000000001"/>
    <n v="8.1856299999999997"/>
    <n v="14972.3"/>
    <n v="1657.7"/>
    <n v="5140"/>
    <n v="387"/>
    <n v="60.258807532699997"/>
    <n v="52.488125390515791"/>
    <n v="36"/>
    <n v="113869"/>
    <n v="961737"/>
    <n v="24092267"/>
    <n v="60624"/>
    <n v="0"/>
    <s v="u=10%, k=2x10^7"/>
    <x v="17"/>
    <n v="0.33394233113684213"/>
    <n v="41.944890886426315"/>
    <n v="0.43345480224210531"/>
    <n v="9.6408777024263159"/>
    <n v="0.13495966828421052"/>
    <n v="7.7706821421842136"/>
  </r>
  <r>
    <s v="istree_exp6_rebuilding_time/step10091.txt"/>
    <s v="brown_ext_ist_lf_dis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9885017261650"/>
    <n v="99996743"/>
    <n v="9999885017261650"/>
    <n v="99996743"/>
    <s v="success"/>
    <n v="7"/>
    <n v="11010009"/>
    <n v="109996753"/>
    <n v="121006762"/>
    <n v="99996743"/>
    <n v="10.990600000000001"/>
    <n v="0.90908800000000001"/>
    <n v="4"/>
    <n v="2640748752"/>
    <s v="2 12734 994217 8434617 1382514"/>
    <s v="2 12722 994215 8434616 1382514"/>
    <m/>
    <n v="365614"/>
    <n v="1469870895930"/>
    <n v="24222579104"/>
    <n v="444620473380"/>
    <n v="31848658053"/>
    <n v="29681711833"/>
    <n v="10079732204"/>
    <n v="900146590"/>
    <n v="0"/>
    <n v="100023039"/>
    <n v="900146590"/>
    <n v="1000169629"/>
    <n v="15002443"/>
    <n v="0"/>
    <n v="1667050"/>
    <n v="15002443"/>
    <n v="16669493"/>
    <n v="21.054200000000002"/>
    <n v="9.5873100000000004"/>
    <n v="4020.3"/>
    <n v="2032.47"/>
    <n v="9853"/>
    <n v="1555"/>
    <n v="61.244620663749998"/>
    <n v="22.518881440583332"/>
    <n v="2"/>
    <n v="12722"/>
    <n v="994215"/>
    <n v="8434616"/>
    <n v="1382514"/>
    <n v="0"/>
    <s v="u=10%, k=2x10^8"/>
    <x v="18"/>
    <n v="1.0092741293333334"/>
    <n v="18.525853057500001"/>
    <n v="1.327027418875"/>
    <n v="1.2367379930416667"/>
    <n v="0.41998884183333335"/>
    <n v="38.725739223166656"/>
  </r>
  <r>
    <s v="istree_exp6_rebuilding_time/step10092.txt"/>
    <s v="brown_ext_ist_lf_dis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8320079014260"/>
    <n v="99982017"/>
    <n v="9998320079014260"/>
    <n v="99982017"/>
    <s v="success"/>
    <n v="7"/>
    <n v="11010010"/>
    <n v="109982036"/>
    <n v="120992046"/>
    <n v="99982017"/>
    <n v="10.9893"/>
    <n v="0.909076"/>
    <n v="4"/>
    <n v="2640513360"/>
    <s v="3 25759 1409907 12477461 2055523"/>
    <s v="3 25741 1409900 12477452 2055522"/>
    <m/>
    <n v="135956"/>
    <n v="3331372608743"/>
    <n v="57223913020"/>
    <n v="1394060886424"/>
    <n v="70568470556"/>
    <n v="188172138847"/>
    <n v="21031748814"/>
    <n v="1349617897"/>
    <n v="0"/>
    <n v="149982406"/>
    <n v="1349617897"/>
    <n v="1499600303"/>
    <n v="22493631"/>
    <n v="0"/>
    <n v="2499706"/>
    <n v="22493631"/>
    <n v="24993338"/>
    <n v="21.654199999999999"/>
    <n v="9.8567300000000007"/>
    <n v="5923.62"/>
    <n v="2393.41"/>
    <n v="13295"/>
    <n v="1295"/>
    <n v="69.403596015479167"/>
    <n v="36.063690784604169"/>
    <n v="3"/>
    <n v="25741"/>
    <n v="1409900"/>
    <n v="12477452"/>
    <n v="2055522"/>
    <n v="0"/>
    <s v="u=10%, k=2x10^8"/>
    <x v="18"/>
    <n v="1.1921648545833332"/>
    <n v="29.042935133833335"/>
    <n v="1.4701764699166666"/>
    <n v="3.9202528926458338"/>
    <n v="0.43816143362499999"/>
    <n v="33.339905230875004"/>
  </r>
  <r>
    <s v="istree_exp6_rebuilding_time/step10093.txt"/>
    <s v="brown_ext_ist_lf_dis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8231459971740"/>
    <n v="99986570"/>
    <n v="9998231459971740"/>
    <n v="99986570"/>
    <s v="success"/>
    <n v="7"/>
    <n v="14758868"/>
    <n v="117810043"/>
    <n v="132568911"/>
    <n v="99986570"/>
    <n v="8.9823199999999996"/>
    <n v="0.84870999999999996"/>
    <n v="4.0782299999999996"/>
    <n v="3069345344"/>
    <s v="4 29728 1186178 13445054 2360317"/>
    <s v="3 29721 1186161 13445039 2360315"/>
    <m/>
    <n v="49318"/>
    <n v="5765863199937"/>
    <n v="58942624265"/>
    <n v="2616213292012"/>
    <n v="73791058234"/>
    <n v="1120818663848"/>
    <n v="20481752434"/>
    <n v="1579477784"/>
    <n v="0"/>
    <n v="175480186"/>
    <n v="1579477784"/>
    <n v="1754957970"/>
    <n v="26324629"/>
    <n v="0"/>
    <n v="2924669"/>
    <n v="26324629"/>
    <n v="29249299"/>
    <n v="21.7607"/>
    <n v="10.4626"/>
    <n v="7526.74"/>
    <n v="2277.61"/>
    <n v="13236"/>
    <n v="1132"/>
    <n v="60.061074999343752"/>
    <n v="40.523410320760412"/>
    <n v="3"/>
    <n v="29721"/>
    <n v="1186161"/>
    <n v="13445039"/>
    <n v="2360315"/>
    <n v="0"/>
    <s v="u=10%, k=2x10^8"/>
    <x v="18"/>
    <n v="0.61398566942708332"/>
    <n v="27.252221791791666"/>
    <n v="0.76865685660416672"/>
    <n v="11.675194415083332"/>
    <n v="0.21335158785416666"/>
    <n v="19.537664678583333"/>
  </r>
  <r>
    <s v="istree_exp6_rebuilding_time/step10094.txt"/>
    <s v="brown_ext_ist_lf_dis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9443230234470"/>
    <n v="99992696"/>
    <n v="9999443230234470"/>
    <n v="99992696"/>
    <s v="success"/>
    <n v="7"/>
    <n v="12951061"/>
    <n v="113973026"/>
    <n v="126924087"/>
    <n v="99992696"/>
    <n v="9.8002800000000008"/>
    <n v="0.87733700000000003"/>
    <n v="4.0380900000000004"/>
    <n v="2861591552"/>
    <s v="6 34751 1378029 15518315 2637813"/>
    <s v="3 34751 1377999 15518292 2637812"/>
    <m/>
    <n v="33610"/>
    <n v="8640307566706"/>
    <n v="67012914539"/>
    <n v="3971757745945"/>
    <n v="101141839991"/>
    <n v="2372317085598"/>
    <n v="22938263274"/>
    <n v="1759165467"/>
    <n v="0"/>
    <n v="195454894"/>
    <n v="1759165467"/>
    <n v="1954620361"/>
    <n v="29319424"/>
    <n v="0"/>
    <n v="3257581"/>
    <n v="29319424"/>
    <n v="32577006"/>
    <n v="21.9481"/>
    <n v="10.790100000000001"/>
    <n v="9292.6299999999992"/>
    <n v="2311.7199999999998"/>
    <n v="17323"/>
    <n v="1056"/>
    <n v="60.002135879902781"/>
    <n v="45.383110064909722"/>
    <n v="3"/>
    <n v="34751"/>
    <n v="1377999"/>
    <n v="15518292"/>
    <n v="2637812"/>
    <n v="0"/>
    <s v="u=10%, k=2x10^8"/>
    <x v="18"/>
    <n v="0.46536746207638885"/>
    <n v="27.581651013506942"/>
    <n v="0.70237388882638885"/>
    <n v="16.474424205541666"/>
    <n v="0.15929349495833334"/>
    <n v="14.619025814993059"/>
  </r>
  <r>
    <s v="istree_exp6_rebuilding_time/step10096.txt"/>
    <s v="brown_ext_ist_lf_dis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1.00001926493677E+18"/>
    <n v="1000006262"/>
    <n v="1.00001926493677E+18"/>
    <n v="1000006262"/>
    <s v="success"/>
    <n v="7"/>
    <n v="107456426"/>
    <n v="1125482854"/>
    <n v="1232939280"/>
    <n v="1000006262"/>
    <n v="11.4739"/>
    <n v="0.888513"/>
    <n v="4.0474399999999999"/>
    <n v="26620144096"/>
    <s v="0 0 0 1024028 1105348"/>
    <s v="0 0 0 1024028 1105348"/>
    <m/>
    <n v="388644"/>
    <n v="1436562374035"/>
    <n v="872649003"/>
    <m/>
    <n v="1785405558"/>
    <n v="2220458535"/>
    <n v="245178066"/>
    <n v="946250583"/>
    <n v="0"/>
    <n v="105124490"/>
    <n v="946250583"/>
    <n v="1051375073"/>
    <n v="15770843"/>
    <n v="0"/>
    <n v="1752074"/>
    <n v="15770843"/>
    <n v="17522917"/>
    <n v="22.944800000000001"/>
    <n v="13.476800000000001"/>
    <n v="3811.72"/>
    <n v="3045.87"/>
    <n v="61805"/>
    <n v="16110"/>
    <n v="59.856765584791667"/>
    <n v="0.21348713175"/>
    <n v="0"/>
    <n v="0"/>
    <n v="0"/>
    <n v="1024028"/>
    <n v="1105348"/>
    <n v="0"/>
    <s v="u=10%, k=2x10^9"/>
    <x v="19"/>
    <n v="3.6360375125000004E-2"/>
    <n v="0"/>
    <n v="7.4391898249999991E-2"/>
    <n v="9.2519105625E-2"/>
    <n v="1.0215752749999999E-2"/>
    <n v="59.643278453041667"/>
  </r>
  <r>
    <s v="istree_exp6_rebuilding_time/step10097.txt"/>
    <s v="brown_ext_ist_lf_dis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7822820635699E+17"/>
    <n v="999995659"/>
    <n v="9.9997822820635699E+17"/>
    <n v="999995659"/>
    <s v="success"/>
    <n v="7"/>
    <n v="119403296"/>
    <n v="1150699082"/>
    <n v="1270102378"/>
    <n v="999995659"/>
    <n v="10.6371"/>
    <n v="0.86903300000000006"/>
    <n v="4.0732299999999997"/>
    <n v="28000485520"/>
    <s v="0 0 0 4932497 2912421"/>
    <s v="0 0 0 4932497 2912421"/>
    <m/>
    <n v="171972"/>
    <n v="2873124682383"/>
    <n v="5191055744"/>
    <m/>
    <n v="9196681269"/>
    <n v="9175489162"/>
    <n v="1763535676"/>
    <n v="1704608727"/>
    <n v="0"/>
    <n v="189389624"/>
    <n v="1704608727"/>
    <n v="1893998351"/>
    <n v="28410145"/>
    <n v="0"/>
    <n v="3156493"/>
    <n v="28410145"/>
    <n v="31566639"/>
    <n v="23.151399999999999"/>
    <n v="13.6998"/>
    <n v="4230.93"/>
    <n v="3524.49"/>
    <n v="63677"/>
    <n v="12555"/>
    <n v="59.856764216312506"/>
    <n v="0.52764087189583331"/>
    <n v="0"/>
    <n v="0"/>
    <n v="0"/>
    <n v="4932497"/>
    <n v="2912421"/>
    <n v="0"/>
    <s v="u=10%, k=2x10^9"/>
    <x v="19"/>
    <n v="0.10814699466666666"/>
    <n v="0"/>
    <n v="0.19159752643750003"/>
    <n v="0.19115602420833333"/>
    <n v="3.6740326583333337E-2"/>
    <n v="59.329123344416672"/>
  </r>
  <r>
    <s v="istree_exp6_rebuilding_time/step10098.txt"/>
    <s v="brown_ext_ist_lf_dis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9561946075098E+17"/>
    <n v="999994135"/>
    <n v="9.9999561946075098E+17"/>
    <n v="999994135"/>
    <s v="success"/>
    <n v="7"/>
    <n v="126249664"/>
    <n v="1167288942"/>
    <n v="1293538606"/>
    <n v="999994135"/>
    <n v="10.245900000000001"/>
    <n v="0.85668100000000003"/>
    <n v="4.0892900000000001"/>
    <n v="28841019872"/>
    <s v="0 0 456404 25865558 7897184"/>
    <s v="0 0 456403 25865553 7897184"/>
    <m/>
    <n v="90336"/>
    <n v="5746249627696"/>
    <n v="32883047286"/>
    <n v="348154"/>
    <n v="46015861003"/>
    <n v="41393331340"/>
    <n v="11426464499"/>
    <n v="3604987022"/>
    <n v="0"/>
    <n v="400580080"/>
    <n v="3604987022"/>
    <n v="4005567102"/>
    <n v="60083117"/>
    <n v="0"/>
    <n v="6676334"/>
    <n v="60083117"/>
    <n v="66759451"/>
    <n v="23.607700000000001"/>
    <n v="14.677199999999999"/>
    <n v="3997.34"/>
    <n v="3224.78"/>
    <n v="66653"/>
    <n v="9985"/>
    <n v="59.85676695516667"/>
    <n v="1.3720734612708334"/>
    <n v="0"/>
    <n v="0"/>
    <n v="456403"/>
    <n v="25865553"/>
    <n v="7897184"/>
    <n v="0"/>
    <s v="u=10%, k=2x10^9"/>
    <x v="19"/>
    <n v="0.34253174256250002"/>
    <n v="3.6266041666666664E-6"/>
    <n v="0.47933188544791666"/>
    <n v="0.43118053479166668"/>
    <n v="0.11902567186458334"/>
    <n v="58.48469349389584"/>
  </r>
  <r>
    <s v="istree_exp6_rebuilding_time/step10100.txt"/>
    <s v="brown_ext_ist_lf_dis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4756237762803E+17"/>
    <n v="999967026"/>
    <n v="9.9994756237762803E+17"/>
    <n v="999967026"/>
    <s v="success"/>
    <n v="7"/>
    <n v="84465089"/>
    <n v="1078771653"/>
    <n v="1163236742"/>
    <n v="999967026"/>
    <n v="13.771800000000001"/>
    <n v="0.92695000000000005"/>
    <n v="4"/>
    <n v="24017553552"/>
    <s v="1 31597 2150038 33455622 9428166"/>
    <s v="1 31595 2150030 33455614 9428166"/>
    <m/>
    <n v="28374"/>
    <n v="20726419412509"/>
    <n v="232979490870"/>
    <n v="12653473091583"/>
    <n v="310858274841"/>
    <n v="179473603866"/>
    <n v="87433341714"/>
    <n v="4500155324"/>
    <n v="0"/>
    <n v="499973364"/>
    <n v="4500155324"/>
    <n v="5000128688"/>
    <n v="75002588"/>
    <n v="0"/>
    <n v="8332889"/>
    <n v="75002588"/>
    <n v="83335478"/>
    <n v="25.147099999999998"/>
    <n v="15.9932"/>
    <n v="11476.3"/>
    <n v="3544.29"/>
    <n v="104111"/>
    <n v="9065"/>
    <n v="109.08641796057368"/>
    <n v="70.864304225652631"/>
    <n v="1"/>
    <n v="31595"/>
    <n v="2150030"/>
    <n v="33455614"/>
    <n v="9428166"/>
    <n v="0"/>
    <s v="u=10%, k=2x10^9"/>
    <x v="19"/>
    <n v="1.2262078466842106"/>
    <n v="66.597226797805263"/>
    <n v="1.6360961833736842"/>
    <n v="0.94459791508421043"/>
    <n v="0.46017548270526315"/>
    <n v="38.222113734921052"/>
  </r>
  <r>
    <s v="istree_exp6_rebuilding_time/step10101.txt"/>
    <s v="brown_ext_ist_lf_dis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1102416254"/>
    <n v="1000551"/>
    <n v="1001102416254"/>
    <n v="1000551"/>
    <s v="success"/>
    <n v="6"/>
    <n v="70024"/>
    <n v="1110378"/>
    <n v="1180402"/>
    <n v="1000551"/>
    <n v="16.857099999999999"/>
    <n v="0.90108999999999995"/>
    <n v="3.0812200000000001"/>
    <n v="23454032"/>
    <s v="1914 899498 12934419 14435746"/>
    <s v="1000 895972 12930870 14435437"/>
    <m/>
    <n v="510284"/>
    <n v="1436557344927"/>
    <n v="45640466022"/>
    <n v="751191045444"/>
    <n v="51007825569"/>
    <n v="17929851046"/>
    <n v="22287400470"/>
    <n v="750530744"/>
    <n v="0"/>
    <n v="500367273"/>
    <n v="750530744"/>
    <n v="1250898017"/>
    <n v="12508845"/>
    <n v="0"/>
    <n v="8339454"/>
    <n v="12508845"/>
    <n v="20848300"/>
    <n v="14.850300000000001"/>
    <n v="1.2583"/>
    <n v="3194.38"/>
    <n v="594.85"/>
    <n v="1754"/>
    <n v="28"/>
    <n v="59.856556038625001"/>
    <n v="37.002357856291667"/>
    <n v="1000"/>
    <n v="895972"/>
    <n v="12930870"/>
    <n v="14435437"/>
    <n v="0"/>
    <n v="0"/>
    <s v="u=40%, k=2x10^6"/>
    <x v="20"/>
    <n v="1.9016860842499999"/>
    <n v="31.299626893500001"/>
    <n v="2.1253260653749999"/>
    <n v="0.74707712691666661"/>
    <n v="0.9286416862500001"/>
    <n v="22.854198182333334"/>
  </r>
  <r>
    <s v="istree_exp6_rebuilding_time/step10102.txt"/>
    <s v="brown_ext_ist_lf_dis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0207369527"/>
    <n v="999967"/>
    <n v="1000207369527"/>
    <n v="999967"/>
    <s v="success"/>
    <n v="6"/>
    <n v="33019"/>
    <n v="1031996"/>
    <n v="1065015"/>
    <n v="999967"/>
    <n v="32.254600000000003"/>
    <n v="0.96896400000000005"/>
    <n v="3.0000300000000002"/>
    <n v="19153440"/>
    <s v="2296 890855 8450278 12271907"/>
    <s v="902 888687 8444063 12271291"/>
    <m/>
    <n v="119568"/>
    <n v="2874469811660"/>
    <n v="69756090385"/>
    <n v="2045297743408"/>
    <n v="70773427797"/>
    <n v="30407258098"/>
    <n v="30850078252"/>
    <n v="676506475"/>
    <n v="0"/>
    <n v="450934976"/>
    <n v="676506475"/>
    <n v="1127441451"/>
    <n v="11275107"/>
    <n v="0"/>
    <n v="7515582"/>
    <n v="11275107"/>
    <n v="18790690"/>
    <n v="14.9154"/>
    <n v="1.63174"/>
    <n v="7093.6"/>
    <n v="984.38"/>
    <n v="2203"/>
    <n v="82"/>
    <n v="59.884787742916664"/>
    <n v="46.814262457083338"/>
    <n v="902"/>
    <n v="888687"/>
    <n v="8444063"/>
    <n v="12271291"/>
    <n v="0"/>
    <n v="0"/>
    <s v="u=40%, k=2x10^6"/>
    <x v="20"/>
    <n v="1.4532518830208332"/>
    <n v="42.610369654333333"/>
    <n v="1.4744464124374999"/>
    <n v="0.63348454370833329"/>
    <n v="0.64270996358333332"/>
    <n v="13.070525285833327"/>
  </r>
  <r>
    <s v="istree_exp6_rebuilding_time/step10103.txt"/>
    <s v="brown_ext_ist_lf_dis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1001054380913"/>
    <n v="1000650"/>
    <n v="1001054380913"/>
    <n v="1000650"/>
    <s v="success"/>
    <n v="6"/>
    <n v="33054"/>
    <n v="1032726"/>
    <n v="1065780"/>
    <n v="1000650"/>
    <n v="32.243600000000001"/>
    <n v="0.96894000000000002"/>
    <n v="3.0000399999999998"/>
    <n v="19167920"/>
    <s v="1805 1201604 2080587 8838437"/>
    <s v="765 1189961 2074939 8837631"/>
    <m/>
    <n v="33460"/>
    <n v="5750483629599"/>
    <n v="134931937164"/>
    <n v="4408129400097"/>
    <n v="91707764395"/>
    <n v="307024984583"/>
    <n v="28547332209"/>
    <n v="573459344"/>
    <n v="0"/>
    <n v="382335843"/>
    <n v="573459344"/>
    <n v="955795187"/>
    <n v="9557655"/>
    <n v="0"/>
    <n v="6372264"/>
    <n v="9557655"/>
    <n v="15929919"/>
    <n v="17.249300000000002"/>
    <n v="5.5177100000000001"/>
    <n v="16511.099999999999"/>
    <n v="2198.79"/>
    <n v="3007"/>
    <n v="120"/>
    <n v="59.900871141656246"/>
    <n v="51.774389775499998"/>
    <n v="765"/>
    <n v="1189961"/>
    <n v="2074939"/>
    <n v="8837631"/>
    <n v="0"/>
    <n v="0"/>
    <s v="u=40%, k=2x10^6"/>
    <x v="20"/>
    <n v="1.405541012125"/>
    <n v="45.918014584343751"/>
    <n v="0.95528921244791665"/>
    <n v="3.1981769227395831"/>
    <n v="0.29736804384374999"/>
    <n v="8.1264813661562485"/>
  </r>
  <r>
    <s v="istree_exp6_rebuilding_time/step10104.txt"/>
    <s v="brown_ext_ist_lf_dis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966940677"/>
    <n v="1000042"/>
    <n v="999966940677"/>
    <n v="1000042"/>
    <s v="success"/>
    <n v="6"/>
    <n v="33067"/>
    <n v="1032138"/>
    <n v="1065205"/>
    <n v="1000042"/>
    <n v="32.213500000000003"/>
    <n v="0.96890299999999996"/>
    <n v="3.0000599999999999"/>
    <n v="19159552"/>
    <s v="1676 2066442 371828 5745691"/>
    <s v="708 2050553 369694 5744922"/>
    <m/>
    <n v="16214"/>
    <n v="8621737744560"/>
    <n v="191362325158"/>
    <n v="6707426087739"/>
    <n v="125870838287"/>
    <n v="739343911799"/>
    <n v="32740270489"/>
    <n v="530574558"/>
    <n v="0"/>
    <n v="353720866"/>
    <n v="530574558"/>
    <n v="884295424"/>
    <n v="8842909"/>
    <n v="0"/>
    <n v="5895347"/>
    <n v="8842909"/>
    <n v="14738257"/>
    <n v="20.719000000000001"/>
    <n v="8.8373100000000004"/>
    <n v="26075.200000000001"/>
    <n v="2925.61"/>
    <n v="3677"/>
    <n v="181"/>
    <n v="59.873178781666667"/>
    <n v="54.144051621333332"/>
    <n v="708"/>
    <n v="2050553"/>
    <n v="369694"/>
    <n v="5744922"/>
    <n v="0"/>
    <n v="0"/>
    <s v="u=40%, k=2x10^6"/>
    <x v="20"/>
    <n v="1.3289050358194445"/>
    <n v="46.579347831520835"/>
    <n v="0.87410304365972225"/>
    <n v="5.1343327208263894"/>
    <n v="0.22736298950694442"/>
    <n v="5.7291271603333342"/>
  </r>
  <r>
    <s v="istree_exp6_rebuilding_time/step10105.txt"/>
    <s v="brown_ext_ist_lf_dis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862918120"/>
    <n v="999659"/>
    <n v="999862918120"/>
    <n v="999659"/>
    <s v="success"/>
    <n v="6"/>
    <n v="33040"/>
    <n v="1031738"/>
    <n v="1064778"/>
    <n v="999659"/>
    <n v="32.226900000000001"/>
    <n v="0.96890799999999999"/>
    <n v="3.0000800000000001"/>
    <n v="19150992"/>
    <s v="1390 1682299 817820 6715630"/>
    <s v="716 1671125 813215 6714673"/>
    <m/>
    <n v="10774"/>
    <n v="11380453015829"/>
    <n v="202711759053"/>
    <n v="9014167954705"/>
    <n v="119751427155"/>
    <n v="1097386391220"/>
    <n v="29855967589"/>
    <n v="536456089"/>
    <n v="0"/>
    <n v="357662195"/>
    <n v="536456089"/>
    <n v="894118284"/>
    <n v="8940934"/>
    <n v="0"/>
    <n v="5961036"/>
    <n v="8940934"/>
    <n v="14901971"/>
    <n v="20.813099999999999"/>
    <n v="9.6488899999999997"/>
    <n v="33925.1"/>
    <n v="3467.2"/>
    <n v="4016"/>
    <n v="331"/>
    <n v="59.897121135942108"/>
    <n v="55.073018419589474"/>
    <n v="716"/>
    <n v="1671125"/>
    <n v="813215"/>
    <n v="6714673"/>
    <n v="0"/>
    <n v="0"/>
    <s v="u=40%, k=2x10^6"/>
    <x v="20"/>
    <n v="1.0669039950157895"/>
    <n v="47.442989235289481"/>
    <n v="0.63027066923684216"/>
    <n v="5.7757178485263152"/>
    <n v="0.15713667152105262"/>
    <n v="4.8241027163526269"/>
  </r>
  <r>
    <s v="istree_exp6_rebuilding_time/step10106.txt"/>
    <s v="brown_ext_ist_lf_dis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100030731504316"/>
    <n v="10004278"/>
    <n v="100030731504316"/>
    <n v="10004278"/>
    <s v="success"/>
    <n v="7"/>
    <n v="1625788"/>
    <n v="11446619"/>
    <n v="13072407"/>
    <n v="10004278"/>
    <n v="8.0406600000000008"/>
    <n v="0.87399400000000005"/>
    <n v="4"/>
    <n v="313208928"/>
    <s v="66 120216 3446020 31467715 104714"/>
    <s v="43 119986 3445846 31467562 104714"/>
    <m/>
    <n v="207582"/>
    <n v="1449747769141"/>
    <n v="54687518276"/>
    <n v="808432646344"/>
    <n v="63395568656"/>
    <n v="57527967573"/>
    <n v="20380873477"/>
    <n v="322465127"/>
    <n v="0"/>
    <n v="214993469"/>
    <n v="322465127"/>
    <n v="537458596"/>
    <n v="5374418"/>
    <n v="0"/>
    <n v="3583224"/>
    <n v="5374418"/>
    <n v="8957643"/>
    <n v="24.335899999999999"/>
    <n v="10.549200000000001"/>
    <n v="7442.04"/>
    <n v="1940.93"/>
    <n v="3851"/>
    <n v="155"/>
    <n v="60.406157047541662"/>
    <n v="41.851023930250001"/>
    <n v="43"/>
    <n v="119986"/>
    <n v="3445846"/>
    <n v="31467562"/>
    <n v="104714"/>
    <n v="0"/>
    <s v="u=40%, k=2x10^7"/>
    <x v="21"/>
    <n v="2.2786465948333334"/>
    <n v="33.684693597666666"/>
    <n v="2.6414820273333333"/>
    <n v="2.3969986488749999"/>
    <n v="0.84920306154166669"/>
    <n v="18.555133117291668"/>
  </r>
  <r>
    <s v="istree_exp6_rebuilding_time/step10107.txt"/>
    <s v="brown_ext_ist_lf_dis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21524036542"/>
    <n v="10002567"/>
    <n v="100021524036542"/>
    <n v="10002567"/>
    <s v="success"/>
    <n v="7"/>
    <n v="1625794"/>
    <n v="11444915"/>
    <n v="13070709"/>
    <n v="10002567"/>
    <n v="8.0395800000000008"/>
    <n v="0.87397499999999995"/>
    <n v="4"/>
    <n v="313182144"/>
    <s v="98 133663 2923178 30572614 99804"/>
    <s v="43 133495 2922822 30572263 99804"/>
    <m/>
    <n v="55862"/>
    <n v="2907394003258"/>
    <n v="70796252380"/>
    <n v="2043807477190"/>
    <n v="88198950074"/>
    <n v="150534119588"/>
    <n v="27383592738"/>
    <n v="322467831"/>
    <n v="0"/>
    <n v="214988411"/>
    <n v="322467831"/>
    <n v="537456242"/>
    <n v="5374463"/>
    <n v="0"/>
    <n v="3583140"/>
    <n v="5374463"/>
    <n v="8957604"/>
    <n v="24.885999999999999"/>
    <n v="11.0427"/>
    <n v="14731.2"/>
    <n v="2490.85"/>
    <n v="4392"/>
    <n v="168"/>
    <n v="60.570708401208329"/>
    <n v="49.598341499375003"/>
    <n v="43"/>
    <n v="133495"/>
    <n v="2922822"/>
    <n v="30572263"/>
    <n v="99804"/>
    <n v="0"/>
    <s v="u=40%, k=2x10^7"/>
    <x v="21"/>
    <n v="1.4749219245833334"/>
    <n v="42.579322441458338"/>
    <n v="1.8374781265416666"/>
    <n v="3.136127491416667"/>
    <n v="0.57049151537499998"/>
    <n v="10.972366901833325"/>
  </r>
  <r>
    <s v="istree_exp6_rebuilding_time/step10108.txt"/>
    <s v="brown_ext_ist_lf_dis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9166614554"/>
    <n v="9998867"/>
    <n v="99999166614554"/>
    <n v="9998867"/>
    <s v="success"/>
    <n v="7"/>
    <n v="1625806"/>
    <n v="11441240"/>
    <n v="13067046"/>
    <n v="9998867"/>
    <n v="8.0372699999999995"/>
    <n v="0.87393200000000004"/>
    <n v="4"/>
    <n v="313124304"/>
    <s v="97 123321 1799132 26725067 78027"/>
    <s v="39 123296 1798866 26724591 78025"/>
    <m/>
    <n v="26634"/>
    <n v="5842078309617"/>
    <n v="65518077163"/>
    <n v="4113452061917"/>
    <n v="85217984391"/>
    <n v="1026530739455"/>
    <n v="26539070118"/>
    <n v="292496169"/>
    <n v="0"/>
    <n v="194994921"/>
    <n v="292496169"/>
    <n v="487491090"/>
    <n v="4874936"/>
    <n v="0"/>
    <n v="3249915"/>
    <n v="4874936"/>
    <n v="8124851"/>
    <n v="25.654800000000002"/>
    <n v="12.579000000000001"/>
    <n v="28184.6"/>
    <n v="2625.02"/>
    <n v="4598"/>
    <n v="219"/>
    <n v="60.854982391843748"/>
    <n v="55.388103469208339"/>
    <n v="39"/>
    <n v="123296"/>
    <n v="1798866"/>
    <n v="26724591"/>
    <n v="78025"/>
    <n v="0"/>
    <s v="u=40%, k=2x10^7"/>
    <x v="21"/>
    <n v="0.68247997044791664"/>
    <n v="42.848458978302084"/>
    <n v="0.88768733740625005"/>
    <n v="10.693028535989583"/>
    <n v="0.2764486470625"/>
    <n v="5.4668789226354164"/>
  </r>
  <r>
    <s v="istree_exp6_rebuilding_time/step10109.txt"/>
    <s v="brown_ext_ist_lf_dis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23119051483"/>
    <n v="10000358"/>
    <n v="100023119051483"/>
    <n v="10000358"/>
    <s v="success"/>
    <n v="7"/>
    <n v="1625817"/>
    <n v="11442759"/>
    <n v="13068576"/>
    <n v="10000358"/>
    <n v="8.0381599999999995"/>
    <n v="0.873946"/>
    <n v="4.0000099999999996"/>
    <n v="313149488"/>
    <s v="81 117037 978979 24753403 61794"/>
    <s v="37 117025 978711 24752782 61792"/>
    <m/>
    <n v="15884"/>
    <n v="8708542431815"/>
    <n v="60229615318"/>
    <n v="6326957813413"/>
    <n v="80818531014"/>
    <n v="1702236063712"/>
    <n v="26084814677"/>
    <n v="277417587"/>
    <n v="0"/>
    <n v="184980488"/>
    <n v="277417587"/>
    <n v="462398075"/>
    <n v="4623626"/>
    <n v="0"/>
    <n v="3083008"/>
    <n v="4623626"/>
    <n v="7706634"/>
    <n v="25.900700000000001"/>
    <n v="13.180300000000001"/>
    <n v="42443.8"/>
    <n v="2700.3"/>
    <n v="4889"/>
    <n v="341"/>
    <n v="60.475989109826386"/>
    <n v="56.918936375930556"/>
    <n v="37"/>
    <n v="117025"/>
    <n v="978711"/>
    <n v="24752782"/>
    <n v="61792"/>
    <n v="0"/>
    <s v="u=40%, k=2x10^7"/>
    <x v="21"/>
    <n v="0.41826121748611111"/>
    <n v="43.937207037590277"/>
    <n v="0.56123979870833329"/>
    <n v="11.821083775777778"/>
    <n v="0.18114454636805555"/>
    <n v="3.55705273389583"/>
  </r>
  <r>
    <s v="istree_exp6_rebuilding_time/step10110.txt"/>
    <s v="brown_ext_ist_lf_dis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08181123627"/>
    <n v="9999172"/>
    <n v="100008181123627"/>
    <n v="9999172"/>
    <s v="success"/>
    <n v="7"/>
    <n v="1625833"/>
    <n v="11441599"/>
    <n v="13067432"/>
    <n v="9999172"/>
    <n v="8.0373800000000006"/>
    <n v="0.87393100000000001"/>
    <n v="4.0000099999999996"/>
    <n v="313132208"/>
    <s v="92 120201 1013469 25426750 63455"/>
    <s v="38 120185 1013108 25425979 63451"/>
    <m/>
    <n v="11716"/>
    <n v="11553166772929"/>
    <n v="61360751953"/>
    <n v="8468037397182"/>
    <n v="86019049465"/>
    <n v="2386098517458"/>
    <n v="26188048103"/>
    <n v="284977879"/>
    <n v="0"/>
    <n v="189936616"/>
    <n v="284977879"/>
    <n v="474914495"/>
    <n v="4749631"/>
    <n v="0"/>
    <n v="3165610"/>
    <n v="4749631"/>
    <n v="7915241"/>
    <n v="26.225899999999999"/>
    <n v="13.717000000000001"/>
    <n v="53927.9"/>
    <n v="2865.2"/>
    <n v="5465"/>
    <n v="360"/>
    <n v="60.806140910152635"/>
    <n v="58.040546127163161"/>
    <n v="38"/>
    <n v="120185"/>
    <n v="1013108"/>
    <n v="25425979"/>
    <n v="63451"/>
    <n v="0"/>
    <s v="u=40%, k=2x10^7"/>
    <x v="21"/>
    <n v="0.32295132606842103"/>
    <n v="44.568617879905268"/>
    <n v="0.45273183928947364"/>
    <n v="12.558413249778948"/>
    <n v="0.13783183212105263"/>
    <n v="2.7655947829894671"/>
  </r>
  <r>
    <s v="istree_exp6_rebuilding_time/step10111.txt"/>
    <s v="brown_ext_ist_lf_dis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72195035920"/>
    <n v="99992972"/>
    <n v="9999572195035920"/>
    <n v="99992972"/>
    <s v="success"/>
    <n v="7"/>
    <n v="14415466"/>
    <n v="117041637"/>
    <n v="131457103"/>
    <n v="99992972"/>
    <n v="9.1191700000000004"/>
    <n v="0.85433700000000001"/>
    <n v="4.0677099999999999"/>
    <n v="3029565760"/>
    <s v="3 19156 1821228 16473694 2716288"/>
    <s v="3 19134 1821215 16473688 2716288"/>
    <m/>
    <n v="185244"/>
    <n v="1436604896730"/>
    <n v="41359403649"/>
    <n v="683021783657"/>
    <n v="53296947793"/>
    <n v="89167209709"/>
    <n v="16593658645"/>
    <n v="292417607"/>
    <n v="0"/>
    <n v="194928013"/>
    <n v="292417607"/>
    <n v="487345620"/>
    <n v="4873626"/>
    <n v="0"/>
    <n v="3248800"/>
    <n v="4873626"/>
    <n v="8122427"/>
    <n v="26.6248"/>
    <n v="12.519299999999999"/>
    <n v="7827.82"/>
    <n v="2670.41"/>
    <n v="12754"/>
    <n v="1560"/>
    <n v="59.858537363750003"/>
    <n v="36.809958477208333"/>
    <n v="3"/>
    <n v="19134"/>
    <n v="1821215"/>
    <n v="16473688"/>
    <n v="2716288"/>
    <n v="0"/>
    <s v="u=40%, k=2x10^8"/>
    <x v="22"/>
    <n v="1.723308485375"/>
    <n v="28.459240985708334"/>
    <n v="2.2207061580416667"/>
    <n v="3.7153004045416669"/>
    <n v="0.69140244354166669"/>
    <n v="23.048578886541669"/>
  </r>
  <r>
    <s v="istree_exp6_rebuilding_time/step10112.txt"/>
    <s v="brown_ext_ist_lf_dis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483762764750"/>
    <n v="100001771"/>
    <n v="9999483762764750"/>
    <n v="100001771"/>
    <s v="success"/>
    <n v="7"/>
    <n v="11011111"/>
    <n v="110002790"/>
    <n v="121013901"/>
    <n v="100001771"/>
    <n v="10.9902"/>
    <n v="0.909084"/>
    <n v="4"/>
    <n v="2640933504"/>
    <s v="5 34347 1878843 16637019 2743968"/>
    <s v="4 34325 1878813 16636994 2743967"/>
    <m/>
    <n v="54882"/>
    <n v="3226163869730"/>
    <n v="74764110549"/>
    <n v="1972122411261"/>
    <n v="90387614578"/>
    <n v="420368631423"/>
    <n v="27032035934"/>
    <n v="299974355"/>
    <n v="0"/>
    <n v="199969550"/>
    <n v="299974355"/>
    <n v="499943905"/>
    <n v="4999572"/>
    <n v="0"/>
    <n v="3332825"/>
    <n v="4999572"/>
    <n v="8332398"/>
    <n v="29.682700000000001"/>
    <n v="13.657299999999999"/>
    <n v="16441.8"/>
    <n v="3460.88"/>
    <n v="13295"/>
    <n v="1283"/>
    <n v="67.211747286041671"/>
    <n v="53.847391744687506"/>
    <n v="4"/>
    <n v="34325"/>
    <n v="1878813"/>
    <n v="16636994"/>
    <n v="2743967"/>
    <n v="0"/>
    <s v="u=40%, k=2x10^8"/>
    <x v="22"/>
    <n v="1.5575856364374998"/>
    <n v="41.085883567937501"/>
    <n v="1.8830753037083332"/>
    <n v="8.7576798213125002"/>
    <n v="0.5631674152916667"/>
    <n v="13.364355541354172"/>
  </r>
  <r>
    <s v="istree_exp6_rebuilding_time/step10113.txt"/>
    <s v="brown_ext_ist_lf_dis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847320166790"/>
    <n v="100001892"/>
    <n v="9999847320166790"/>
    <n v="100001892"/>
    <s v="success"/>
    <n v="7"/>
    <n v="11965067"/>
    <n v="111889856"/>
    <n v="123854923"/>
    <n v="100001892"/>
    <n v="10.3514"/>
    <n v="0.89375300000000002"/>
    <n v="4.0179799999999997"/>
    <n v="2748059584"/>
    <s v="8 38114 1573751 15971060 2679184"/>
    <s v="3 38110 1573708 15971019 2679181"/>
    <m/>
    <n v="28212"/>
    <n v="5762278610181"/>
    <n v="70244975573"/>
    <n v="2803571990653"/>
    <n v="84629859215"/>
    <n v="2134795208286"/>
    <n v="23212805434"/>
    <n v="297273708"/>
    <n v="0"/>
    <n v="198160773"/>
    <n v="297273708"/>
    <n v="495434481"/>
    <n v="4954561"/>
    <n v="0"/>
    <n v="3302679"/>
    <n v="4954561"/>
    <n v="8257241"/>
    <n v="30.192499999999999"/>
    <n v="15.0542"/>
    <n v="22036.6"/>
    <n v="3325.96"/>
    <n v="14416"/>
    <n v="1029"/>
    <n v="60.023735522718745"/>
    <n v="53.296404574593744"/>
    <n v="3"/>
    <n v="38110"/>
    <n v="1573708"/>
    <n v="15971019"/>
    <n v="2679181"/>
    <n v="0"/>
    <s v="u=40%, k=2x10^8"/>
    <x v="22"/>
    <n v="0.73171849555208335"/>
    <n v="29.203874902635416"/>
    <n v="0.88156103348958326"/>
    <n v="22.237450086312503"/>
    <n v="0.24180005660416667"/>
    <n v="6.7273309481249868"/>
  </r>
  <r>
    <s v="istree_exp6_rebuilding_time/step10114.txt"/>
    <s v="brown_ext_ist_lf_dis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789160343400"/>
    <n v="99995663"/>
    <n v="9998789160343400"/>
    <n v="99995663"/>
    <s v="success"/>
    <n v="7"/>
    <n v="12188211"/>
    <n v="112365404"/>
    <n v="124553615"/>
    <n v="99995663"/>
    <n v="10.219200000000001"/>
    <n v="0.88991500000000001"/>
    <n v="4.0225900000000001"/>
    <n v="2773870128"/>
    <s v="8 37443 1393780 15564110 2641957"/>
    <s v="3 37440 1393753 15564061 2641954"/>
    <m/>
    <n v="19584"/>
    <n v="8663760574181"/>
    <n v="66972440403"/>
    <n v="4264914999901"/>
    <n v="85936281693"/>
    <n v="3565469939503"/>
    <n v="22773868679"/>
    <n v="294657024"/>
    <n v="0"/>
    <n v="196438134"/>
    <n v="294657024"/>
    <n v="491095158"/>
    <n v="4910950"/>
    <n v="0"/>
    <n v="3273968"/>
    <n v="4910950"/>
    <n v="8184919"/>
    <n v="30.434000000000001"/>
    <n v="15.744199999999999"/>
    <n v="30433.8"/>
    <n v="3272.03"/>
    <n v="15602"/>
    <n v="1067"/>
    <n v="60.16500398736806"/>
    <n v="55.597691181798609"/>
    <n v="3"/>
    <n v="37440"/>
    <n v="1393753"/>
    <n v="15564061"/>
    <n v="2641954"/>
    <n v="0"/>
    <s v="u=40%, k=2x10^8"/>
    <x v="22"/>
    <n v="0.46508639168749993"/>
    <n v="29.617465277090275"/>
    <n v="0.59677973397916662"/>
    <n v="24.760207913215279"/>
    <n v="0.15815186582638888"/>
    <n v="4.5673128055694505"/>
  </r>
  <r>
    <s v="istree_exp6_rebuilding_time/step10115.txt"/>
    <s v="brown_ext_ist_lf_dis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9999515102696430"/>
    <n v="99993175"/>
    <n v="9999515102696430"/>
    <n v="99993175"/>
    <s v="success"/>
    <n v="7"/>
    <n v="11899807"/>
    <n v="111752788"/>
    <n v="123652595"/>
    <n v="99993175"/>
    <n v="10.3911"/>
    <n v="0.89477099999999998"/>
    <n v="4.0167999999999999"/>
    <n v="2740579232"/>
    <s v="4 38666 1372522 15519798 2642485"/>
    <s v="3 38666 1372480 15519748 2642479"/>
    <m/>
    <n v="16348"/>
    <n v="11426591651468"/>
    <n v="65799810350"/>
    <n v="5105465715324"/>
    <n v="87657789608"/>
    <n v="5467307820005"/>
    <n v="22701710318"/>
    <n v="295399401"/>
    <n v="0"/>
    <n v="196882557"/>
    <n v="295399401"/>
    <n v="492281958"/>
    <n v="4923323"/>
    <n v="0"/>
    <n v="3281375"/>
    <n v="4923323"/>
    <n v="8204699"/>
    <n v="30.9191"/>
    <n v="16.420200000000001"/>
    <n v="34678.5"/>
    <n v="3095.36"/>
    <n v="18533"/>
    <n v="1066"/>
    <n v="60.139956060357889"/>
    <n v="56.57333076634211"/>
    <n v="3"/>
    <n v="38666"/>
    <n v="1372480"/>
    <n v="15519748"/>
    <n v="2642479"/>
    <n v="0"/>
    <s v="u=40%, k=2x10^8"/>
    <x v="22"/>
    <n v="0.34631479131578946"/>
    <n v="26.870872185915786"/>
    <n v="0.46135678741052633"/>
    <n v="28.775304315815792"/>
    <n v="0.11948268588421053"/>
    <n v="3.5666252940157861"/>
  </r>
  <r>
    <s v="istree_exp6_rebuilding_time/step10116.txt"/>
    <s v="brown_ext_ist_lf_dis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5787318800602E+17"/>
    <n v="999992301"/>
    <n v="9.9995787318800602E+17"/>
    <n v="999992301"/>
    <s v="success"/>
    <n v="7"/>
    <n v="127998465"/>
    <n v="1170572059"/>
    <n v="1298570524"/>
    <n v="999992301"/>
    <n v="10.145200000000001"/>
    <n v="0.85427699999999995"/>
    <n v="4.0928199999999997"/>
    <n v="29033849840"/>
    <s v="0 0 123865 21306173 7017134"/>
    <s v="0 0 123865 21306173 7017134"/>
    <m/>
    <n v="338896"/>
    <n v="1436560924226"/>
    <n v="17495845976"/>
    <n v="16525"/>
    <n v="19590452885"/>
    <n v="22210022094"/>
    <n v="3761105892"/>
    <n v="540732941"/>
    <n v="0"/>
    <n v="360528120"/>
    <n v="540732941"/>
    <n v="901261061"/>
    <n v="9012215"/>
    <n v="0"/>
    <n v="6008802"/>
    <n v="9012215"/>
    <n v="15021017"/>
    <n v="26.0686"/>
    <n v="15.3779"/>
    <n v="4429.22"/>
    <n v="3518.46"/>
    <n v="62772"/>
    <n v="16532"/>
    <n v="59.856705176083331"/>
    <n v="2.6273934738333335"/>
    <n v="0"/>
    <n v="0"/>
    <n v="123865"/>
    <n v="21306173"/>
    <n v="7017134"/>
    <n v="0"/>
    <s v="u=40%, k=2x10^9"/>
    <x v="23"/>
    <n v="0.72899358233333322"/>
    <n v="6.885416666666666E-7"/>
    <n v="0.81626887020833339"/>
    <n v="0.92541758725000001"/>
    <n v="0.1567127455"/>
    <n v="57.229311702249994"/>
  </r>
  <r>
    <s v="istree_exp6_rebuilding_time/step10118.txt"/>
    <s v="brown_ext_ist_lf_dis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6869400501005E+17"/>
    <n v="1000005100"/>
    <n v="9.9996869400501005E+17"/>
    <n v="1000005100"/>
    <s v="success"/>
    <n v="7"/>
    <n v="84465063"/>
    <n v="1078809672"/>
    <n v="1163274735"/>
    <n v="1000005100"/>
    <n v="13.7723"/>
    <n v="0.926952"/>
    <n v="4"/>
    <n v="24018159776"/>
    <s v="1 30982 2314269 33886216 9493867"/>
    <s v="1 30963 2314259 33886208 9493865"/>
    <m/>
    <n v="28270"/>
    <n v="9374433811672"/>
    <n v="171343922921"/>
    <n v="6619796655684"/>
    <n v="357732103035"/>
    <n v="135629901140"/>
    <n v="78035786054"/>
    <n v="750113279"/>
    <n v="0"/>
    <n v="500026012"/>
    <n v="750113279"/>
    <n v="1250139291"/>
    <n v="12501887"/>
    <n v="0"/>
    <n v="8333766"/>
    <n v="12501887"/>
    <n v="20835654"/>
    <n v="32.323799999999999"/>
    <n v="20.1053"/>
    <n v="20481.3"/>
    <n v="4456.13"/>
    <n v="88836"/>
    <n v="9650"/>
    <n v="97.650352204916658"/>
    <n v="76.693108008687503"/>
    <n v="1"/>
    <n v="30963"/>
    <n v="2314259"/>
    <n v="33886208"/>
    <n v="9493865"/>
    <n v="0"/>
    <s v="u=40%, k=2x10^9"/>
    <x v="23"/>
    <n v="1.7848325304270833"/>
    <n v="68.956215163375006"/>
    <n v="3.7263760732812501"/>
    <n v="1.4128114702083332"/>
    <n v="0.81287277139583336"/>
    <n v="20.957244196229155"/>
  </r>
  <r>
    <s v="istree_exp6_rebuilding_time/step10119.txt"/>
    <s v="brown_ext_ist_lf_dis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832874079206E+17"/>
    <n v="999983180"/>
    <n v="9.9998832874079206E+17"/>
    <n v="999983180"/>
    <s v="success"/>
    <n v="7"/>
    <n v="84465072"/>
    <n v="1078787770"/>
    <n v="1163252842"/>
    <n v="999983180"/>
    <n v="13.772"/>
    <n v="0.92695099999999997"/>
    <n v="4"/>
    <n v="24017810064"/>
    <s v="5 31579 2163336 33496526 9433176"/>
    <s v="1 31579 2163314 33496511 9433176"/>
    <m/>
    <n v="12746"/>
    <n v="12644241051996"/>
    <n v="173608516382"/>
    <n v="9983528066389"/>
    <n v="218647382321"/>
    <n v="142782731356"/>
    <n v="78007100848"/>
    <n v="750060458"/>
    <n v="0"/>
    <n v="500017757"/>
    <n v="750060458"/>
    <n v="1250078215"/>
    <n v="12501007"/>
    <n v="0"/>
    <n v="8333629"/>
    <n v="12501007"/>
    <n v="20834636"/>
    <n v="32.456499999999998"/>
    <n v="20.537700000000001"/>
    <n v="28106.1"/>
    <n v="4527.1499999999996"/>
    <n v="121345"/>
    <n v="9478"/>
    <n v="87.807229527749996"/>
    <n v="73.587318036777774"/>
    <n v="1"/>
    <n v="31579"/>
    <n v="2163314"/>
    <n v="33496511"/>
    <n v="9433176"/>
    <n v="0"/>
    <s v="u=40%, k=2x10^9"/>
    <x v="23"/>
    <n v="1.2056146970972224"/>
    <n v="69.330056016590277"/>
    <n v="1.5183845994513889"/>
    <n v="0.99154674552777777"/>
    <n v="0.54171597811111105"/>
    <n v="14.219911490972208"/>
  </r>
  <r>
    <s v="istree_exp6_rebuilding_time/step10120.txt"/>
    <s v="brown_ext_ist_lf_dis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0555509495E+18"/>
    <n v="1000008284"/>
    <n v="1.00000555509495E+18"/>
    <n v="1000008284"/>
    <s v="success"/>
    <n v="7"/>
    <n v="84465081"/>
    <n v="1078812878"/>
    <n v="1163277959"/>
    <n v="1000008284"/>
    <n v="13.7723"/>
    <n v="0.926952"/>
    <n v="4"/>
    <n v="24018212512"/>
    <s v="4 31577 2148708 33456921 9429444"/>
    <s v="1 31574 2148685 33456894 9429443"/>
    <m/>
    <n v="7664"/>
    <n v="16020817081082"/>
    <n v="177906355370"/>
    <n v="13267317564877"/>
    <n v="232639601930"/>
    <n v="165030863503"/>
    <n v="77669259130"/>
    <n v="749943106"/>
    <n v="0"/>
    <n v="499986658"/>
    <n v="749943106"/>
    <n v="1249929764"/>
    <n v="12499051"/>
    <n v="0"/>
    <n v="8333110"/>
    <n v="12499051"/>
    <n v="20832162"/>
    <n v="32.688699999999997"/>
    <n v="20.8565"/>
    <n v="35621"/>
    <n v="4684.8599999999997"/>
    <n v="121933"/>
    <n v="9125"/>
    <n v="84.320089900431569"/>
    <n v="73.266124446368423"/>
    <n v="1"/>
    <n v="31574"/>
    <n v="2148685"/>
    <n v="33456894"/>
    <n v="9429443"/>
    <n v="0"/>
    <s v="u=40%, k=2x10^9"/>
    <x v="23"/>
    <n v="0.93634923878947374"/>
    <n v="69.827987183563152"/>
    <n v="1.2244189575263158"/>
    <n v="0.86858349212105268"/>
    <n v="0.40878557436842106"/>
    <n v="11.05396545406316"/>
  </r>
  <r>
    <s v="istree_exp6_rebuilding_time/step10121.txt"/>
    <s v="brown_ext_ist_lf_en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9729238979"/>
    <n v="999006"/>
    <n v="999729238979"/>
    <n v="999006"/>
    <s v="success"/>
    <n v="6"/>
    <n v="80809"/>
    <n v="1131699"/>
    <n v="1212508"/>
    <n v="999006"/>
    <n v="15.0046"/>
    <n v="0.88274900000000001"/>
    <n v="3.1050399999999998"/>
    <n v="24675808"/>
    <s v="98 84510 1223437 1371958"/>
    <s v="94 84499 1223420 1371957"/>
    <n v="7608"/>
    <n v="1752708"/>
    <n v="1436561302768"/>
    <n v="4168324044"/>
    <n v="38614883"/>
    <n v="5611402712"/>
    <n v="6549799027"/>
    <n v="2099519866"/>
    <n v="4690205131"/>
    <n v="0"/>
    <n v="47380845"/>
    <n v="4690205131"/>
    <n v="4737585976"/>
    <n v="78170085"/>
    <n v="0"/>
    <n v="789680"/>
    <n v="78170085"/>
    <n v="78959766"/>
    <n v="8.5459300000000002"/>
    <n v="9.7557199999999997E-2"/>
    <n v="847.39099999999996"/>
    <n v="285.47899999999998"/>
    <n v="1187"/>
    <n v="28"/>
    <n v="59.856720948666663"/>
    <n v="0.76948585550000004"/>
    <n v="94"/>
    <n v="84499"/>
    <n v="1223420"/>
    <n v="1371957"/>
    <n v="0"/>
    <n v="0"/>
    <s v="u=1%, k=2x10^6"/>
    <x v="0"/>
    <n v="0.17368016850000001"/>
    <n v="1.6089534583333335E-3"/>
    <n v="0.23380844633333334"/>
    <n v="0.27290829279166667"/>
    <n v="8.7479994416666665E-2"/>
    <n v="59.087235093166662"/>
  </r>
  <r>
    <s v="istree_exp6_rebuilding_time/step10122.txt"/>
    <s v="brown_ext_ist_lf_en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012469118"/>
    <n v="999889"/>
    <n v="1000012469118"/>
    <n v="999889"/>
    <s v="success"/>
    <n v="6"/>
    <n v="66586"/>
    <n v="1102221"/>
    <n v="1168807"/>
    <n v="999889"/>
    <n v="17.5533"/>
    <n v="0.90715800000000002"/>
    <n v="3.07315"/>
    <n v="23028480"/>
    <s v="157 144476 1374986 1996876"/>
    <s v="146 144461 1374899 1996869"/>
    <n v="33854"/>
    <n v="665278"/>
    <n v="2873122789254"/>
    <n v="10461296346"/>
    <n v="217165077"/>
    <n v="13809735629"/>
    <n v="12591296414"/>
    <n v="5227077317"/>
    <n v="7262321312"/>
    <n v="0"/>
    <n v="73371481"/>
    <n v="7262321312"/>
    <n v="7335692793"/>
    <n v="121038688"/>
    <n v="0"/>
    <n v="1222858"/>
    <n v="121038688"/>
    <n v="122261546"/>
    <n v="8.4546100000000006"/>
    <n v="0.109778"/>
    <n v="1086.3599999999999"/>
    <n v="393.94900000000001"/>
    <n v="1217"/>
    <n v="53"/>
    <n v="59.856724776124999"/>
    <n v="0.88138689131249992"/>
    <n v="146"/>
    <n v="144461"/>
    <n v="1374899"/>
    <n v="1996869"/>
    <n v="0"/>
    <n v="0"/>
    <s v="u=1%, k=2x10^6"/>
    <x v="0"/>
    <n v="0.21794367387499999"/>
    <n v="4.5242724375E-3"/>
    <n v="0.28770282560416666"/>
    <n v="0.26231867529166669"/>
    <n v="0.10889744410416667"/>
    <n v="58.975337884812497"/>
  </r>
  <r>
    <s v="istree_exp6_rebuilding_time/step10123.txt"/>
    <s v="brown_ext_ist_lf_en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659782098"/>
    <n v="1000519"/>
    <n v="1000659782098"/>
    <n v="1000519"/>
    <s v="success"/>
    <n v="6"/>
    <n v="56681"/>
    <n v="1080724"/>
    <n v="1137405"/>
    <n v="1000519"/>
    <n v="20.066800000000001"/>
    <n v="0.925786"/>
    <n v="3.0494599999999998"/>
    <n v="21849696"/>
    <s v="307 430704 748057 3176729"/>
    <s v="274 430333 747875 3176702"/>
    <n v="172265"/>
    <n v="313626"/>
    <n v="5746245575844"/>
    <n v="36142670411"/>
    <n v="1142494737"/>
    <n v="47438139749"/>
    <n v="30999491401"/>
    <n v="41662939048"/>
    <n v="13589887894"/>
    <n v="0"/>
    <n v="137285308"/>
    <n v="13589887894"/>
    <n v="13727173202"/>
    <n v="226498131"/>
    <n v="0"/>
    <n v="2288088"/>
    <n v="226498131"/>
    <n v="228786220"/>
    <n v="8.5134299999999996"/>
    <n v="0.25029099999999999"/>
    <n v="1163.3699999999999"/>
    <n v="442.61200000000002"/>
    <n v="1280"/>
    <n v="250"/>
    <n v="59.856724748375001"/>
    <n v="1.6394347431874998"/>
    <n v="274"/>
    <n v="430333"/>
    <n v="747875"/>
    <n v="3176702"/>
    <n v="0"/>
    <n v="0"/>
    <s v="u=1%, k=2x10^6"/>
    <x v="0"/>
    <n v="0.37648615011458331"/>
    <n v="1.1900986843750001E-2"/>
    <n v="0.49414728905208333"/>
    <n v="0.32291136876041665"/>
    <n v="0.43398894841666663"/>
    <n v="58.2172900051875"/>
  </r>
  <r>
    <s v="istree_exp6_rebuilding_time/step10124.txt"/>
    <s v="brown_ext_ist_lf_en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1000870099637"/>
    <n v="1000499"/>
    <n v="1000870099637"/>
    <n v="1000499"/>
    <s v="success"/>
    <n v="6"/>
    <n v="51880"/>
    <n v="1070555"/>
    <n v="1122435"/>
    <n v="1000499"/>
    <n v="21.635200000000001"/>
    <n v="0.93456099999999998"/>
    <n v="3.0391900000000001"/>
    <n v="21295456"/>
    <s v="431 1118563 201255 3116715"/>
    <s v="383 1117684 201139 3116671"/>
    <n v="424149"/>
    <n v="196460"/>
    <n v="8619369098321"/>
    <n v="68347677374"/>
    <n v="3485737618"/>
    <n v="101049725331"/>
    <n v="32884881350"/>
    <n v="120089953014"/>
    <n v="18986436237"/>
    <n v="0"/>
    <n v="191779680"/>
    <n v="18986436237"/>
    <n v="19178215917"/>
    <n v="316440603"/>
    <n v="0"/>
    <n v="3196328"/>
    <n v="316440603"/>
    <n v="319636931"/>
    <n v="8.6389499999999995"/>
    <n v="0.35938100000000001"/>
    <n v="1236.2"/>
    <n v="500.63600000000002"/>
    <n v="1367"/>
    <n v="271"/>
    <n v="59.856729849451391"/>
    <n v="2.2629026019930558"/>
    <n v="383"/>
    <n v="1117684"/>
    <n v="201139"/>
    <n v="3116671"/>
    <n v="0"/>
    <n v="0"/>
    <s v="u=1%, k=2x10^6"/>
    <x v="0"/>
    <n v="0.47463664843055553"/>
    <n v="2.420651123611111E-2"/>
    <n v="0.70173420368750006"/>
    <n v="0.22836723159722222"/>
    <n v="0.83395800704166667"/>
    <n v="57.593827247458336"/>
  </r>
  <r>
    <s v="istree_exp6_rebuilding_time/step10125.txt"/>
    <s v="brown_ext_ist_lf_en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1000223359138"/>
    <n v="1000155"/>
    <n v="1000223359138"/>
    <n v="1000155"/>
    <s v="success"/>
    <n v="6"/>
    <n v="55827"/>
    <n v="1078888"/>
    <n v="1134715"/>
    <n v="1000155"/>
    <n v="20.325600000000001"/>
    <n v="0.92702399999999996"/>
    <n v="3.0479699999999998"/>
    <n v="21754672"/>
    <s v="545 1145362 556527 4578905"/>
    <s v="488 1144195 556188 4578851"/>
    <n v="625952"/>
    <n v="167810"/>
    <n v="11372778844436"/>
    <n v="84751022989"/>
    <n v="6448688713"/>
    <n v="147817160261"/>
    <n v="42176387607"/>
    <n v="236416582357"/>
    <n v="24144789844"/>
    <n v="0"/>
    <n v="243920032"/>
    <n v="24144789844"/>
    <n v="24388709876"/>
    <n v="402413164"/>
    <n v="0"/>
    <n v="4065333"/>
    <n v="402413164"/>
    <n v="406478497"/>
    <n v="8.7175399999999996"/>
    <n v="0.41633300000000001"/>
    <n v="1284.0899999999999"/>
    <n v="545.82299999999998"/>
    <n v="1433"/>
    <n v="265"/>
    <n v="59.856730760189471"/>
    <n v="2.724262325931579"/>
    <n v="488"/>
    <n v="1144195"/>
    <n v="556188"/>
    <n v="4578851"/>
    <n v="0"/>
    <n v="0"/>
    <s v="u=1%, k=2x10^6"/>
    <x v="0"/>
    <n v="0.44605801573157899"/>
    <n v="3.3940466910526317E-2"/>
    <n v="0.77798505400526319"/>
    <n v="0.22198098740526317"/>
    <n v="1.2442978018789475"/>
    <n v="57.132468434257895"/>
  </r>
  <r>
    <s v="istree_exp6_rebuilding_time/step10126.txt"/>
    <s v="brown_ext_ist_lf_en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11897880070"/>
    <n v="10000075"/>
    <n v="100011897880070"/>
    <n v="10000075"/>
    <s v="success"/>
    <n v="7"/>
    <n v="1801020"/>
    <n v="11801336"/>
    <n v="13602356"/>
    <n v="10000075"/>
    <n v="7.5525799999999998"/>
    <n v="0.84736800000000001"/>
    <n v="4.0350599999999996"/>
    <n v="332905584"/>
    <s v="5 11164 321169 3001691 9815"/>
    <s v="4 11160 321166 3001689 9815"/>
    <n v="847"/>
    <n v="757006"/>
    <n v="1436565900668"/>
    <n v="5922102907"/>
    <n v="11739384"/>
    <n v="8355052805"/>
    <n v="6515055633"/>
    <n v="2640474909"/>
    <n v="2081276128"/>
    <n v="0"/>
    <n v="21020708"/>
    <n v="2081276128"/>
    <n v="2102296836"/>
    <n v="34687935"/>
    <n v="0"/>
    <n v="350345"/>
    <n v="34687935"/>
    <n v="35038280"/>
    <n v="16.150200000000002"/>
    <n v="5.8975999999999997"/>
    <n v="1906.97"/>
    <n v="1231.7"/>
    <n v="2435"/>
    <n v="155"/>
    <n v="59.856912527833337"/>
    <n v="0.9768510682499999"/>
    <n v="4"/>
    <n v="11160"/>
    <n v="321166"/>
    <n v="3001689"/>
    <n v="9815"/>
    <n v="0"/>
    <s v="u=1%, k=2x10^7"/>
    <x v="1"/>
    <n v="0.24675428779166667"/>
    <n v="4.8914100000000001E-4"/>
    <n v="0.34812720020833332"/>
    <n v="0.27146065137500003"/>
    <n v="0.110019787875"/>
    <n v="58.880061459583338"/>
  </r>
  <r>
    <s v="istree_exp6_rebuilding_time/step10127.txt"/>
    <s v="brown_ext_ist_lf_en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37664845726"/>
    <n v="10004831"/>
    <n v="100037664845726"/>
    <n v="10004831"/>
    <s v="success"/>
    <n v="7"/>
    <n v="1823690"/>
    <n v="11853454"/>
    <n v="13677144"/>
    <n v="10004831"/>
    <n v="7.4997100000000003"/>
    <n v="0.84404400000000002"/>
    <n v="4.0394899999999998"/>
    <n v="335555040"/>
    <s v="7 21762 475428 5081208 16329"/>
    <s v="7 21761 475423 5081208 16329"/>
    <n v="4413"/>
    <n v="313328"/>
    <n v="2873135521910"/>
    <n v="13473779588"/>
    <n v="131582406"/>
    <n v="21041440026"/>
    <n v="16143027565"/>
    <n v="6415955992"/>
    <n v="3587629031"/>
    <n v="0"/>
    <n v="36234687"/>
    <n v="3587629031"/>
    <n v="3623863718"/>
    <n v="59793817"/>
    <n v="0"/>
    <n v="603911"/>
    <n v="59793817"/>
    <n v="60397728"/>
    <n v="16.173100000000002"/>
    <n v="6.0086199999999996"/>
    <n v="2205.35"/>
    <n v="1510.64"/>
    <n v="2480"/>
    <n v="169"/>
    <n v="59.856990039791668"/>
    <n v="1.1917871995208333"/>
    <n v="7"/>
    <n v="21761"/>
    <n v="475423"/>
    <n v="5081208"/>
    <n v="16329"/>
    <n v="0"/>
    <s v="u=1%, k=2x10^7"/>
    <x v="1"/>
    <n v="0.28070374141666665"/>
    <n v="2.7413001250000003E-3"/>
    <n v="0.43836333387499998"/>
    <n v="0.33631307427083335"/>
    <n v="0.13366574983333332"/>
    <n v="58.665202840270837"/>
  </r>
  <r>
    <s v="istree_exp6_rebuilding_time/step10128.txt"/>
    <s v="brown_ext_ist_lf_en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17943394398"/>
    <n v="10002832"/>
    <n v="100017943394398"/>
    <n v="10002832"/>
    <s v="success"/>
    <n v="7"/>
    <n v="1905514"/>
    <n v="12033014"/>
    <n v="13938528"/>
    <n v="10002832"/>
    <n v="7.3148400000000002"/>
    <n v="0.83128199999999997"/>
    <n v="4.0560200000000002"/>
    <n v="345002336"/>
    <s v="19 47431 697472 10650816 30921"/>
    <s v="15 47431 697450 10650803 30921"/>
    <n v="17776"/>
    <n v="165498"/>
    <n v="5746268953937"/>
    <n v="29655365112"/>
    <n v="1172216935"/>
    <n v="55172026075"/>
    <n v="54664759632"/>
    <n v="14407513878"/>
    <n v="7693396522"/>
    <n v="0"/>
    <n v="77712098"/>
    <n v="7693396522"/>
    <n v="7771108620"/>
    <n v="128223275"/>
    <n v="0"/>
    <n v="1295201"/>
    <n v="128223275"/>
    <n v="129518477"/>
    <n v="16.302099999999999"/>
    <n v="6.4349299999999996"/>
    <n v="2038.36"/>
    <n v="1290.4100000000001"/>
    <n v="2546"/>
    <n v="255"/>
    <n v="59.856968270177084"/>
    <n v="1.6153321003333332"/>
    <n v="15"/>
    <n v="47431"/>
    <n v="697450"/>
    <n v="10650803"/>
    <n v="30921"/>
    <n v="0"/>
    <s v="u=1%, k=2x10^7"/>
    <x v="1"/>
    <n v="0.30891005324999998"/>
    <n v="1.2210593072916666E-2"/>
    <n v="0.57470860494791665"/>
    <n v="0.56942457950000003"/>
    <n v="0.15007826956250001"/>
    <n v="58.241636169843751"/>
  </r>
  <r>
    <s v="istree_exp6_rebuilding_time/step10129.txt"/>
    <s v="brown_ext_ist_lf_en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84019046161"/>
    <n v="10000015"/>
    <n v="99984019046161"/>
    <n v="10000015"/>
    <s v="success"/>
    <n v="7"/>
    <n v="1761189"/>
    <n v="11723305"/>
    <n v="13484494"/>
    <n v="10000015"/>
    <n v="7.6564699999999997"/>
    <n v="0.85300299999999996"/>
    <n v="4.0278600000000004"/>
    <n v="328470208"/>
    <s v="22 72740 607569 15304878 38511"/>
    <s v="22 72737 607541 15304848 38510"/>
    <n v="39551"/>
    <n v="111716"/>
    <n v="8619400507411"/>
    <n v="44484615133"/>
    <n v="2663006839"/>
    <n v="80672512126"/>
    <n v="91523380614"/>
    <n v="22030767491"/>
    <n v="11322057801"/>
    <n v="0"/>
    <n v="114353732"/>
    <n v="11322057801"/>
    <n v="11436411533"/>
    <n v="188700963"/>
    <n v="0"/>
    <n v="1905895"/>
    <n v="188700963"/>
    <n v="190606858"/>
    <n v="16.334499999999998"/>
    <n v="6.5815999999999999"/>
    <n v="2079.17"/>
    <n v="1310.31"/>
    <n v="2637"/>
    <n v="352"/>
    <n v="59.856947968131941"/>
    <n v="1.6762102930763889"/>
    <n v="22"/>
    <n v="72737"/>
    <n v="607541"/>
    <n v="15304848"/>
    <n v="38510"/>
    <n v="0"/>
    <s v="u=1%, k=2x10^7"/>
    <x v="1"/>
    <n v="0.30892093842361112"/>
    <n v="1.8493103048611112E-2"/>
    <n v="0.56022577865277778"/>
    <n v="0.63557903204166666"/>
    <n v="0.15299144090972222"/>
    <n v="58.180737675055553"/>
  </r>
  <r>
    <s v="istree_exp6_rebuilding_time/step10130.txt"/>
    <s v="brown_ext_ist_lf_en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36732747442"/>
    <n v="10003826"/>
    <n v="100036732747442"/>
    <n v="10003826"/>
    <s v="success"/>
    <n v="7"/>
    <n v="1737885"/>
    <n v="11682218"/>
    <n v="13420103"/>
    <n v="10003826"/>
    <n v="7.7220899999999997"/>
    <n v="0.85632900000000001"/>
    <n v="4.0227199999999996"/>
    <n v="325955328"/>
    <s v="31 94320 796682 19953398 50316"/>
    <s v="29 94316 796627 19953351 50316"/>
    <n v="72890"/>
    <n v="91544"/>
    <n v="11372818935238"/>
    <n v="60559516221"/>
    <n v="6762826438"/>
    <n v="118020631363"/>
    <n v="135704136169"/>
    <n v="46191162018"/>
    <n v="14737881282"/>
    <n v="0"/>
    <n v="148880761"/>
    <n v="14737881282"/>
    <n v="14886762043"/>
    <n v="245631354"/>
    <n v="0"/>
    <n v="2481346"/>
    <n v="245631354"/>
    <n v="248112700"/>
    <n v="16.3507"/>
    <n v="6.6654200000000001"/>
    <n v="2104.15"/>
    <n v="1326.36"/>
    <n v="2739"/>
    <n v="385"/>
    <n v="59.856941764410522"/>
    <n v="1.9328330116263157"/>
    <n v="29"/>
    <n v="94316"/>
    <n v="796627"/>
    <n v="19953351"/>
    <n v="50316"/>
    <n v="0"/>
    <s v="u=1%, k=2x10^7"/>
    <x v="1"/>
    <n v="0.31873429590000002"/>
    <n v="3.5593823357894738E-2"/>
    <n v="0.62116121769999999"/>
    <n v="0.71423229562631585"/>
    <n v="0.24311137904210525"/>
    <n v="57.924108752784207"/>
  </r>
  <r>
    <s v="istree_exp6_rebuilding_time/step10131.txt"/>
    <s v="brown_ext_ist_lf_en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9999638698088010"/>
    <n v="99995272"/>
    <n v="9999638698088010"/>
    <n v="99995272"/>
    <s v="success"/>
    <n v="7"/>
    <n v="14112778"/>
    <n v="116378873"/>
    <n v="130491651"/>
    <n v="99995272"/>
    <n v="9.2463499999999996"/>
    <n v="0.85922200000000004"/>
    <n v="4.0643200000000004"/>
    <n v="2993748512"/>
    <s v="0 0 9 604582 201158"/>
    <s v="0 0 9 604582 201158"/>
    <m/>
    <n v="632922"/>
    <n v="1436565672815"/>
    <n v="291143746"/>
    <m/>
    <n v="826979504"/>
    <n v="1594164356"/>
    <n v="114163656"/>
    <n v="1701744692"/>
    <n v="0"/>
    <n v="17185451"/>
    <n v="1701744692"/>
    <n v="1718930143"/>
    <n v="28362411"/>
    <n v="0"/>
    <n v="286424"/>
    <n v="28362411"/>
    <n v="28648835"/>
    <n v="18.878499999999999"/>
    <n v="8.2700399999999998"/>
    <n v="2335.92"/>
    <n v="1743.64"/>
    <n v="7483"/>
    <n v="1552"/>
    <n v="59.856903033958332"/>
    <n v="0.11776880258333333"/>
    <n v="0"/>
    <n v="0"/>
    <n v="9"/>
    <n v="604582"/>
    <n v="201158"/>
    <n v="0"/>
    <s v="u=1%, k=2x10^8"/>
    <x v="2"/>
    <n v="1.2130989416666666E-2"/>
    <n v="0"/>
    <n v="3.4457479333333332E-2"/>
    <n v="6.6423514833333336E-2"/>
    <n v="4.7568189999999998E-3"/>
    <n v="59.739134231374997"/>
  </r>
  <r>
    <s v="istree_exp6_rebuilding_time/step10132.txt"/>
    <s v="brown_ext_ist_lf_en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7392517463E+16"/>
    <n v="100002468"/>
    <n v="1.00007392517463E+16"/>
    <n v="100002468"/>
    <s v="success"/>
    <n v="7"/>
    <n v="14927168"/>
    <n v="118214709"/>
    <n v="133141877"/>
    <n v="100002468"/>
    <n v="8.9194300000000002"/>
    <n v="0.845939"/>
    <n v="4.0817800000000002"/>
    <n v="3089742336"/>
    <s v="0 0 14762 2027955 421210"/>
    <s v="0 0 14762 2027955 421210"/>
    <n v="1"/>
    <n v="271658"/>
    <n v="2873130503221"/>
    <n v="1462045936"/>
    <n v="669"/>
    <n v="3531969748"/>
    <n v="5575336470"/>
    <n v="586960732"/>
    <n v="2979332920"/>
    <n v="0"/>
    <n v="30107732"/>
    <n v="2979332920"/>
    <n v="3009440652"/>
    <n v="49655548"/>
    <n v="0"/>
    <n v="501795"/>
    <n v="49655548"/>
    <n v="50157344"/>
    <n v="19.081"/>
    <n v="8.3718699999999995"/>
    <n v="2666.38"/>
    <n v="1987.77"/>
    <n v="7814"/>
    <n v="1278"/>
    <n v="59.856885483770832"/>
    <n v="0.2324231990625"/>
    <n v="0"/>
    <n v="0"/>
    <n v="14762"/>
    <n v="2027955"/>
    <n v="421210"/>
    <n v="0"/>
    <s v="u=1%, k=2x10^8"/>
    <x v="2"/>
    <n v="3.0459290333333333E-2"/>
    <n v="1.39375E-8"/>
    <n v="7.3582703083333326E-2"/>
    <n v="0.116152843125"/>
    <n v="1.2228348583333333E-2"/>
    <n v="59.624462284708329"/>
  </r>
  <r>
    <s v="istree_exp6_rebuilding_time/step10133.txt"/>
    <s v="brown_ext_ist_lf_en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548659835650"/>
    <n v="100001846"/>
    <n v="9999548659835650"/>
    <n v="100001846"/>
    <s v="success"/>
    <n v="7"/>
    <n v="12959845"/>
    <n v="113956840"/>
    <n v="126916685"/>
    <n v="100001846"/>
    <n v="9.7930700000000002"/>
    <n v="0.87754100000000002"/>
    <n v="4.0398899999999998"/>
    <n v="2861097056"/>
    <s v="2 9903 394528 4115523 744773"/>
    <s v="1 9903 394528 4115522 744773"/>
    <n v="2374"/>
    <n v="122112"/>
    <n v="5746260028126"/>
    <n v="19376419891"/>
    <n v="63717668"/>
    <n v="54875950170"/>
    <n v="44148346187"/>
    <n v="8906954739"/>
    <n v="5834122969"/>
    <n v="0"/>
    <n v="58929232"/>
    <n v="5834122969"/>
    <n v="5893052201"/>
    <n v="97235382"/>
    <n v="0"/>
    <n v="982153"/>
    <n v="97235382"/>
    <n v="98217536"/>
    <n v="19.302399999999999"/>
    <n v="9.2970400000000009"/>
    <n v="2692.55"/>
    <n v="1951.36"/>
    <n v="11284"/>
    <n v="1050"/>
    <n v="59.856875292979169"/>
    <n v="1.3267852984895834"/>
    <n v="1"/>
    <n v="9903"/>
    <n v="394528"/>
    <n v="4115522"/>
    <n v="744773"/>
    <n v="0"/>
    <s v="u=1%, k=2x10^8"/>
    <x v="2"/>
    <n v="0.20183770719791669"/>
    <n v="6.6372570833333339E-4"/>
    <n v="0.57162448093750007"/>
    <n v="0.45987860611458337"/>
    <n v="9.2780778531249997E-2"/>
    <n v="58.530089994489586"/>
  </r>
  <r>
    <s v="istree_exp6_rebuilding_time/step10134.txt"/>
    <s v="brown_ext_ist_lf_en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0914827441E+16"/>
    <n v="100003640"/>
    <n v="1.00000914827441E+16"/>
    <n v="100003640"/>
    <s v="success"/>
    <n v="7"/>
    <n v="14863056"/>
    <n v="118103000"/>
    <n v="132966056"/>
    <n v="100003640"/>
    <n v="8.9460800000000003"/>
    <n v="0.84674899999999997"/>
    <n v="4.0796999999999999"/>
    <n v="3083012064"/>
    <s v="1 9999 447736 6837299 1197826"/>
    <s v="1 9999 447734 6837296 1197826"/>
    <n v="3913"/>
    <n v="81154"/>
    <n v="8619388499735"/>
    <n v="22553962778"/>
    <n v="177836667"/>
    <n v="77923728717"/>
    <n v="52664494570"/>
    <n v="11581192796"/>
    <n v="8624848985"/>
    <n v="0"/>
    <n v="87099377"/>
    <n v="8624848985"/>
    <n v="8711948362"/>
    <n v="143747483"/>
    <n v="0"/>
    <n v="1451656"/>
    <n v="143747483"/>
    <n v="145199139"/>
    <n v="19.366099999999999"/>
    <n v="9.5146999999999995"/>
    <n v="2729.54"/>
    <n v="1975.11"/>
    <n v="13334"/>
    <n v="1058"/>
    <n v="59.856864581493056"/>
    <n v="1.1451473300555555"/>
    <n v="1"/>
    <n v="9999"/>
    <n v="447734"/>
    <n v="6837296"/>
    <n v="1197826"/>
    <n v="0"/>
    <s v="u=1%, k=2x10^8"/>
    <x v="2"/>
    <n v="0.15662474151388889"/>
    <n v="1.2349768541666667E-3"/>
    <n v="0.54113700497916672"/>
    <n v="0.36572565673611113"/>
    <n v="8.0424949972222215E-2"/>
    <n v="58.711717251437499"/>
  </r>
  <r>
    <s v="istree_exp6_rebuilding_time/step10135.txt"/>
    <s v="brown_ext_ist_lf_en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10430772324E+16"/>
    <n v="100004682"/>
    <n v="1.00010430772324E+16"/>
    <n v="100004682"/>
    <s v="success"/>
    <n v="7"/>
    <n v="13680382"/>
    <n v="115462933"/>
    <n v="129143315"/>
    <n v="100004682"/>
    <n v="9.4400399999999998"/>
    <n v="0.86611899999999997"/>
    <n v="4.05504"/>
    <n v="2943657648"/>
    <s v="2 19995 687657 8113315 1472007"/>
    <s v="2 19994 687647 8113313 1472007"/>
    <n v="9196"/>
    <n v="58744"/>
    <n v="11372802175723"/>
    <n v="41662583376"/>
    <n v="779933967"/>
    <n v="174754336192"/>
    <n v="87714778326"/>
    <n v="23084857218"/>
    <n v="11237528391"/>
    <n v="0"/>
    <n v="113517971"/>
    <n v="11237528391"/>
    <n v="11351046362"/>
    <n v="187292139"/>
    <n v="0"/>
    <n v="1891966"/>
    <n v="187292139"/>
    <n v="189184106"/>
    <n v="19.4221"/>
    <n v="9.6250999999999998"/>
    <n v="2742.4"/>
    <n v="1993.86"/>
    <n v="13842"/>
    <n v="1092"/>
    <n v="59.856853556436839"/>
    <n v="1.7262973109421054"/>
    <n v="2"/>
    <n v="19994"/>
    <n v="687647"/>
    <n v="8113313"/>
    <n v="1472007"/>
    <n v="0"/>
    <s v="u=1%, k=2x10^8"/>
    <x v="2"/>
    <n v="0.21927675461052631"/>
    <n v="4.104915615789473E-3"/>
    <n v="0.91975966416842114"/>
    <n v="0.46165672803157898"/>
    <n v="0.12149924851578947"/>
    <n v="58.130556245494731"/>
  </r>
  <r>
    <s v="istree_exp6_rebuilding_time/step10136.txt"/>
    <s v="brown_ext_ist_lf_en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68261087E+18"/>
    <n v="1000000588"/>
    <n v="1.0000068261087E+18"/>
    <n v="1000000588"/>
    <s v="success"/>
    <n v="7"/>
    <n v="87202334"/>
    <n v="1084286821"/>
    <n v="1171489155"/>
    <n v="1000000588"/>
    <n v="13.434100000000001"/>
    <n v="0.92226600000000003"/>
    <n v="4.0054999999999996"/>
    <n v="24325016896"/>
    <s v="0 0 0 1368 14968"/>
    <s v="0 0 0 1368 14968"/>
    <m/>
    <n v="405296"/>
    <n v="1436564053230"/>
    <n v="5206410"/>
    <m/>
    <n v="27742072"/>
    <n v="630687777"/>
    <n v="1789804"/>
    <n v="1092602646"/>
    <n v="0"/>
    <n v="11042514"/>
    <n v="1092602646"/>
    <n v="1103645160"/>
    <n v="18210044"/>
    <n v="0"/>
    <n v="184041"/>
    <n v="18210044"/>
    <n v="18394086"/>
    <n v="22.003399999999999"/>
    <n v="12.8833"/>
    <n v="3637.51"/>
    <n v="2913.3"/>
    <n v="59444"/>
    <n v="16333"/>
    <n v="59.856835551249993"/>
    <n v="2.772608595833333E-2"/>
    <n v="0"/>
    <n v="0"/>
    <n v="0"/>
    <n v="1368"/>
    <n v="14968"/>
    <n v="0"/>
    <s v="u=1%, k=2x10^9"/>
    <x v="3"/>
    <n v="2.1693375E-4"/>
    <n v="0"/>
    <n v="1.1559196666666666E-3"/>
    <n v="2.6278657375E-2"/>
    <n v="7.457516666666667E-5"/>
    <n v="59.829109465291658"/>
  </r>
  <r>
    <s v="istree_exp6_rebuilding_time/step10137.txt"/>
    <s v="brown_ext_ist_lf_en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250202077901E+17"/>
    <n v="999998278"/>
    <n v="9.9999250202077901E+17"/>
    <n v="999998278"/>
    <s v="success"/>
    <n v="7"/>
    <n v="89412525"/>
    <n v="1088725173"/>
    <n v="1178137698"/>
    <n v="999998278"/>
    <n v="13.176399999999999"/>
    <n v="0.91850399999999999"/>
    <n v="4.00997"/>
    <n v="24573374720"/>
    <s v="0 0 0 8050 49334"/>
    <s v="0 0 0 8050 49334"/>
    <m/>
    <n v="181058"/>
    <n v="2873127592923"/>
    <n v="28106982"/>
    <m/>
    <n v="112618952"/>
    <n v="2984085155"/>
    <n v="11670782"/>
    <n v="1993703606"/>
    <n v="0"/>
    <n v="20140694"/>
    <n v="1993703606"/>
    <n v="2013844300"/>
    <n v="33228393"/>
    <n v="0"/>
    <n v="335678"/>
    <n v="33228393"/>
    <n v="33564071"/>
    <n v="21.9953"/>
    <n v="12.908200000000001"/>
    <n v="3985.76"/>
    <n v="3326.45"/>
    <n v="59814"/>
    <n v="11406"/>
    <n v="59.856824852562504"/>
    <n v="6.5343372312499995E-2"/>
    <n v="0"/>
    <n v="0"/>
    <n v="0"/>
    <n v="8050"/>
    <n v="49334"/>
    <n v="0"/>
    <s v="u=1%, k=2x10^9"/>
    <x v="3"/>
    <n v="5.8556212500000002E-4"/>
    <n v="0"/>
    <n v="2.3462281666666667E-3"/>
    <n v="6.2168440729166663E-2"/>
    <n v="2.4314129166666664E-4"/>
    <n v="59.791481480250006"/>
  </r>
  <r>
    <s v="istree_exp6_rebuilding_time/step10138.txt"/>
    <s v="brown_ext_ist_lf_en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713788182003E+17"/>
    <n v="1000001129"/>
    <n v="9.9997713788182003E+17"/>
    <n v="1000001129"/>
    <s v="success"/>
    <n v="7"/>
    <n v="95108417"/>
    <n v="1100218261"/>
    <n v="1195326678"/>
    <n v="1000001129"/>
    <n v="12.568"/>
    <n v="0.90891200000000005"/>
    <n v="4.0216099999999999"/>
    <n v="25215642720"/>
    <s v="0 0 0 85437 226349"/>
    <s v="0 0 0 85437 226349"/>
    <m/>
    <n v="98772"/>
    <n v="5746254721817"/>
    <n v="181376808"/>
    <m/>
    <n v="647545287"/>
    <n v="9983327388"/>
    <n v="110482733"/>
    <n v="4401476668"/>
    <n v="0"/>
    <n v="44460338"/>
    <n v="4401476668"/>
    <n v="4445937006"/>
    <n v="73357944"/>
    <n v="0"/>
    <n v="741005"/>
    <n v="73357944"/>
    <n v="74098950"/>
    <n v="22.080400000000001"/>
    <n v="13.7849"/>
    <n v="3607.82"/>
    <n v="2886.07"/>
    <n v="60704"/>
    <n v="10337"/>
    <n v="59.856820018927088"/>
    <n v="0.11377846058333334"/>
    <n v="0"/>
    <n v="0"/>
    <n v="0"/>
    <n v="85437"/>
    <n v="226349"/>
    <n v="0"/>
    <s v="u=1%, k=2x10^9"/>
    <x v="3"/>
    <n v="1.8893417499999999E-3"/>
    <n v="0"/>
    <n v="6.7452634062500003E-3"/>
    <n v="0.10399299362499999"/>
    <n v="1.1508618020833333E-3"/>
    <n v="59.743041558343755"/>
  </r>
  <r>
    <s v="istree_exp6_rebuilding_time/step10139.txt"/>
    <s v="brown_ext_ist_lf_en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931596554E+18"/>
    <n v="1000005037"/>
    <n v="1.00000931596554E+18"/>
    <n v="1000005037"/>
    <s v="success"/>
    <n v="7"/>
    <n v="99969641"/>
    <n v="1110099355"/>
    <n v="1210068996"/>
    <n v="1000005037"/>
    <n v="12.1044"/>
    <n v="0.90082499999999999"/>
    <n v="4.0316900000000002"/>
    <n v="25766454848"/>
    <s v="0 0 0 279797 486105"/>
    <s v="0 0 0 279797 486105"/>
    <m/>
    <n v="65542"/>
    <n v="8619381301212"/>
    <n v="500957978"/>
    <m/>
    <n v="1710655564"/>
    <n v="12991797035"/>
    <n v="309354410"/>
    <n v="6602074148"/>
    <n v="0"/>
    <n v="66673958"/>
    <n v="6602074148"/>
    <n v="6668748106"/>
    <n v="110034569"/>
    <n v="0"/>
    <n v="1111232"/>
    <n v="110034569"/>
    <n v="111145801"/>
    <n v="22.0929"/>
    <n v="14.0047"/>
    <n v="3606.51"/>
    <n v="2879.73"/>
    <n v="61554"/>
    <n v="9403"/>
    <n v="59.856814591750009"/>
    <n v="0.10772753463194445"/>
    <n v="0"/>
    <n v="0"/>
    <n v="0"/>
    <n v="279797"/>
    <n v="486105"/>
    <n v="0"/>
    <s v="u=1%, k=2x10^9"/>
    <x v="3"/>
    <n v="3.4788748472222219E-3"/>
    <n v="0"/>
    <n v="1.1879552527777778E-2"/>
    <n v="9.0220812743055545E-2"/>
    <n v="2.1482945138888892E-3"/>
    <n v="59.749087057118068"/>
  </r>
  <r>
    <s v="istree_exp6_rebuilding_time/step10140.txt"/>
    <s v="brown_ext_ist_lf_en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9668292663898E+17"/>
    <n v="999991474"/>
    <n v="9.9999668292663898E+17"/>
    <n v="999991474"/>
    <s v="success"/>
    <n v="7"/>
    <n v="104085244"/>
    <n v="1118528672"/>
    <n v="1222613916"/>
    <n v="999991474"/>
    <n v="11.7463"/>
    <n v="0.89402400000000004"/>
    <n v="4.0403099999999998"/>
    <n v="26234855792"/>
    <s v="0 0 0 600113 791112"/>
    <s v="0 0 0 600113 791112"/>
    <m/>
    <n v="51212"/>
    <n v="11372793700514"/>
    <n v="981978433"/>
    <m/>
    <n v="3083511355"/>
    <n v="14866456492"/>
    <n v="579618008"/>
    <n v="8619195507"/>
    <n v="0"/>
    <n v="87056348"/>
    <n v="8619195507"/>
    <n v="8706251855"/>
    <n v="143653258"/>
    <n v="0"/>
    <n v="1450939"/>
    <n v="143653258"/>
    <n v="145104197"/>
    <n v="22.209299999999999"/>
    <n v="14.1738"/>
    <n v="3644.07"/>
    <n v="2907.35"/>
    <n v="62223"/>
    <n v="9077"/>
    <n v="59.856808950073678"/>
    <n v="0.10269244362105262"/>
    <n v="0"/>
    <n v="0"/>
    <n v="0"/>
    <n v="600113"/>
    <n v="791112"/>
    <n v="0"/>
    <s v="u=1%, k=2x10^9"/>
    <x v="3"/>
    <n v="5.168307542105263E-3"/>
    <n v="0"/>
    <n v="1.6229007131578949E-2"/>
    <n v="7.8244507852631581E-2"/>
    <n v="3.050621094736842E-3"/>
    <n v="59.754116506452625"/>
  </r>
  <r>
    <s v="istree_exp6_rebuilding_time/step10141.txt"/>
    <s v="brown_ext_ist_lf_en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133064722"/>
    <n v="999194"/>
    <n v="998133064722"/>
    <n v="999194"/>
    <s v="success"/>
    <n v="6"/>
    <n v="56660"/>
    <n v="1079317"/>
    <n v="1135977"/>
    <n v="999194"/>
    <n v="20.048999999999999"/>
    <n v="0.92576499999999995"/>
    <n v="3.0491000000000001"/>
    <n v="21820336"/>
    <s v="1060 698228 10038268 11252562"/>
    <s v="777 697111 10037115 11252475"/>
    <n v="179674"/>
    <n v="1475410"/>
    <n v="1436563165197"/>
    <n v="34980834646"/>
    <n v="317481359"/>
    <n v="41285372709"/>
    <n v="32732715058"/>
    <n v="16772249798"/>
    <n v="3497317663"/>
    <n v="0"/>
    <n v="388586469"/>
    <n v="3497317663"/>
    <n v="3885904132"/>
    <n v="58288627"/>
    <n v="0"/>
    <n v="6476441"/>
    <n v="58288627"/>
    <n v="64765068"/>
    <n v="10.233700000000001"/>
    <n v="0.35946600000000001"/>
    <n v="1032.8499999999999"/>
    <n v="369.755"/>
    <n v="1207"/>
    <n v="30"/>
    <n v="59.856798549875002"/>
    <n v="5.2536938987499999"/>
    <n v="777"/>
    <n v="697111"/>
    <n v="10037115"/>
    <n v="11252475"/>
    <n v="0"/>
    <n v="0"/>
    <s v="u=10%, k=2x10^6"/>
    <x v="4"/>
    <n v="1.4575347769166667"/>
    <n v="1.3228389958333335E-2"/>
    <n v="1.720223862875"/>
    <n v="1.3638631274166666"/>
    <n v="0.6988437415833334"/>
    <n v="54.603104651125001"/>
  </r>
  <r>
    <s v="istree_exp6_rebuilding_time/step10142.txt"/>
    <s v="brown_ext_ist_lf_en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109752512"/>
    <n v="999967"/>
    <n v="1000109752512"/>
    <n v="999967"/>
    <s v="success"/>
    <n v="6"/>
    <n v="57762"/>
    <n v="1083817"/>
    <n v="1141579"/>
    <n v="999967"/>
    <n v="19.763500000000001"/>
    <n v="0.92263499999999998"/>
    <n v="3.0534300000000001"/>
    <n v="22005680"/>
    <s v="1669 1130903 10740479 15594992"/>
    <s v="1145 1129885 10736649 15594723"/>
    <n v="747939"/>
    <n v="541850"/>
    <n v="2873126347659"/>
    <n v="87668506583"/>
    <n v="1539005064"/>
    <n v="104325037112"/>
    <n v="56894734656"/>
    <n v="40482640229"/>
    <n v="5154611112"/>
    <n v="0"/>
    <n v="572752108"/>
    <n v="5154611112"/>
    <n v="5727363220"/>
    <n v="85910185"/>
    <n v="0"/>
    <n v="9545868"/>
    <n v="85910185"/>
    <n v="95456053"/>
    <n v="10.3635"/>
    <n v="0.47364600000000001"/>
    <n v="1389.71"/>
    <n v="594.42499999999995"/>
    <n v="1254"/>
    <n v="74"/>
    <n v="59.856798909562507"/>
    <n v="6.0606234092499998"/>
    <n v="1145"/>
    <n v="1129885"/>
    <n v="10736649"/>
    <n v="15594723"/>
    <n v="0"/>
    <n v="0"/>
    <s v="u=10%, k=2x10^6"/>
    <x v="4"/>
    <n v="1.8264272204791665"/>
    <n v="3.2062605500000001E-2"/>
    <n v="2.1734382731666666"/>
    <n v="1.185306972"/>
    <n v="0.84338833810416658"/>
    <n v="53.796175500312508"/>
  </r>
  <r>
    <s v="istree_exp6_rebuilding_time/step10143.txt"/>
    <s v="brown_ext_ist_lf_en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1000764697824"/>
    <n v="1000330"/>
    <n v="1000764697824"/>
    <n v="1000330"/>
    <s v="success"/>
    <n v="6"/>
    <n v="62845"/>
    <n v="1093585"/>
    <n v="1156430"/>
    <n v="1000330"/>
    <n v="18.401299999999999"/>
    <n v="0.91472500000000001"/>
    <n v="3.0632999999999999"/>
    <n v="22565520"/>
    <s v="2973 2781550 4817960 20489706"/>
    <s v="1772 2767137 4810312 20488823"/>
    <n v="3837284"/>
    <n v="220068"/>
    <n v="5746252491553"/>
    <n v="273045106853"/>
    <n v="9552178001"/>
    <n v="337127094445"/>
    <n v="147991040784"/>
    <n v="263674706182"/>
    <n v="7973528438"/>
    <n v="0"/>
    <n v="885910228"/>
    <n v="7973528438"/>
    <n v="8859438666"/>
    <n v="132892140"/>
    <n v="0"/>
    <n v="14765170"/>
    <n v="132892140"/>
    <n v="147657311"/>
    <n v="11.131"/>
    <n v="1.61686"/>
    <n v="1809.3"/>
    <n v="988.49199999999996"/>
    <n v="1364"/>
    <n v="145"/>
    <n v="59.856796787010417"/>
    <n v="10.74364714859375"/>
    <n v="1772"/>
    <n v="2767137"/>
    <n v="4810312"/>
    <n v="20488823"/>
    <n v="0"/>
    <n v="0"/>
    <s v="u=10%, k=2x10^6"/>
    <x v="4"/>
    <n v="2.8442198630520834"/>
    <n v="9.9501854177083335E-2"/>
    <n v="3.5117405671354169"/>
    <n v="1.5415733415000001"/>
    <n v="2.7466115227291668"/>
    <n v="49.113149638416665"/>
  </r>
  <r>
    <s v="istree_exp6_rebuilding_time/step10144.txt"/>
    <s v="brown_ext_ist_lf_en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998345198904"/>
    <n v="998448"/>
    <n v="998345198904"/>
    <n v="998448"/>
    <s v="success"/>
    <n v="6"/>
    <n v="49787"/>
    <n v="1064487"/>
    <n v="1114274"/>
    <n v="998448"/>
    <n v="22.380800000000001"/>
    <n v="0.93796199999999996"/>
    <n v="3.0344600000000002"/>
    <n v="21023904"/>
    <s v="3893 6301458 1133446 17535183"/>
    <s v="2161 6272003 1129257 17534063"/>
    <n v="9933995"/>
    <n v="123942"/>
    <n v="8619378387705"/>
    <n v="526583182500"/>
    <n v="24069667118"/>
    <n v="701157545579"/>
    <n v="181245012829"/>
    <n v="635284538885"/>
    <n v="9716826741"/>
    <n v="0"/>
    <n v="1079655955"/>
    <n v="9716826741"/>
    <n v="10796482696"/>
    <n v="161947112"/>
    <n v="0"/>
    <n v="17994265"/>
    <n v="161947112"/>
    <n v="179941378"/>
    <n v="12.3377"/>
    <n v="2.70967"/>
    <n v="2224.83"/>
    <n v="1358.39"/>
    <n v="1520"/>
    <n v="172"/>
    <n v="59.856794359062491"/>
    <n v="14.36347185354861"/>
    <n v="2161"/>
    <n v="6272003"/>
    <n v="1129257"/>
    <n v="17534063"/>
    <n v="0"/>
    <n v="0"/>
    <s v="u=10%, k=2x10^6"/>
    <x v="4"/>
    <n v="3.6568276562499999"/>
    <n v="0.16715046609722223"/>
    <n v="4.8691496220763888"/>
    <n v="1.2586459224236111"/>
    <n v="4.4116981867013889"/>
    <n v="45.493322505513881"/>
  </r>
  <r>
    <s v="istree_exp6_rebuilding_time/step10145.txt"/>
    <s v="brown_ext_ist_lf_en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1202683189"/>
    <n v="1000964"/>
    <n v="1001202683189"/>
    <n v="1000964"/>
    <s v="success"/>
    <n v="6"/>
    <n v="58098"/>
    <n v="1083868"/>
    <n v="1141966"/>
    <n v="1000964"/>
    <n v="19.655899999999999"/>
    <n v="0.92351099999999997"/>
    <n v="3.0527500000000001"/>
    <n v="22018064"/>
    <s v="4605 5970919 2904763 23842251"/>
    <s v="2543 5936487 2893818 23840252"/>
    <n v="13219529"/>
    <n v="85502"/>
    <n v="11372791268283"/>
    <n v="650485950696"/>
    <n v="38138099068"/>
    <n v="958284605313"/>
    <n v="235102129836"/>
    <n v="1132555726482"/>
    <n v="11431490907"/>
    <n v="0"/>
    <n v="1270217449"/>
    <n v="11431490907"/>
    <n v="12701708356"/>
    <n v="190524848"/>
    <n v="0"/>
    <n v="21170290"/>
    <n v="190524848"/>
    <n v="211695139"/>
    <n v="12.623200000000001"/>
    <n v="3.1184099999999999"/>
    <n v="2496.71"/>
    <n v="1627.1"/>
    <n v="1647"/>
    <n v="298"/>
    <n v="59.856796148857889"/>
    <n v="15.866139533657893"/>
    <n v="2543"/>
    <n v="5936487"/>
    <n v="2893818"/>
    <n v="23840252"/>
    <n v="0"/>
    <n v="0"/>
    <s v="u=10%, k=2x10^6"/>
    <x v="4"/>
    <n v="3.4236102668210528"/>
    <n v="0.20072683720000001"/>
    <n v="5.0436031858578954"/>
    <n v="1.2373796307157894"/>
    <n v="5.9608196130631574"/>
    <n v="43.990656615199995"/>
  </r>
  <r>
    <s v="istree_exp6_rebuilding_time/step10146.txt"/>
    <s v="brown_ext_ist_lf_en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82949447387"/>
    <n v="9997397"/>
    <n v="99982949447387"/>
    <n v="9997397"/>
    <s v="success"/>
    <n v="7"/>
    <n v="1889679"/>
    <n v="11990406"/>
    <n v="13880085"/>
    <n v="9997397"/>
    <n v="7.3452099999999998"/>
    <n v="0.83378300000000005"/>
    <n v="4.0530200000000001"/>
    <n v="343042624"/>
    <s v="39 95004 2728274 25144061 84594"/>
    <s v="34 94906 2728223 25144022 84594"/>
    <n v="25429"/>
    <n v="612068"/>
    <n v="1436562804503"/>
    <n v="50883689459"/>
    <n v="205898266"/>
    <n v="58844279363"/>
    <n v="39137464056"/>
    <n v="22945332094"/>
    <n v="1549501902"/>
    <n v="0"/>
    <n v="172191056"/>
    <n v="1549501902"/>
    <n v="1721692958"/>
    <n v="25825031"/>
    <n v="0"/>
    <n v="2869850"/>
    <n v="25825031"/>
    <n v="28694882"/>
    <n v="18.4876"/>
    <n v="7.3163999999999998"/>
    <n v="2309.09"/>
    <n v="1500.83"/>
    <n v="2439"/>
    <n v="152"/>
    <n v="59.856783520958338"/>
    <n v="7.1673609682500006"/>
    <n v="34"/>
    <n v="94906"/>
    <n v="2728223"/>
    <n v="25144022"/>
    <n v="84594"/>
    <n v="0"/>
    <s v="u=10%, k=2x10^7"/>
    <x v="5"/>
    <n v="2.1201537274583333"/>
    <n v="8.5790944166666671E-3"/>
    <n v="2.4518449734583334"/>
    <n v="1.6307276689999999"/>
    <n v="0.95605550391666672"/>
    <n v="52.689422552708336"/>
  </r>
  <r>
    <s v="istree_exp6_rebuilding_time/step10147.txt"/>
    <s v="brown_ext_ist_lf_en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100001886913156"/>
    <n v="9999693"/>
    <n v="100001886913156"/>
    <n v="9999693"/>
    <s v="success"/>
    <n v="7"/>
    <n v="1873059"/>
    <n v="11975589"/>
    <n v="13848648"/>
    <n v="9999693"/>
    <n v="7.3936000000000002"/>
    <n v="0.83500600000000003"/>
    <n v="4.0477800000000004"/>
    <n v="341500896"/>
    <s v="78 180250 3985570 41864042 136411"/>
    <s v="58 180153 3985357 41863832 136411"/>
    <n v="112768"/>
    <n v="257614"/>
    <n v="2873126851603"/>
    <n v="111595345249"/>
    <n v="1003503808"/>
    <n v="144267271801"/>
    <n v="86236785358"/>
    <n v="52779152825"/>
    <n v="2646582904"/>
    <n v="0"/>
    <n v="294074267"/>
    <n v="2646582904"/>
    <n v="2940657171"/>
    <n v="44109715"/>
    <n v="0"/>
    <n v="4901237"/>
    <n v="44109715"/>
    <n v="49010952"/>
    <n v="18.767800000000001"/>
    <n v="7.5006599999999999"/>
    <n v="2699.68"/>
    <n v="1851.51"/>
    <n v="2493"/>
    <n v="157"/>
    <n v="59.856809408395833"/>
    <n v="8.2475428966875004"/>
    <n v="58"/>
    <n v="180153"/>
    <n v="3985357"/>
    <n v="41863832"/>
    <n v="136411"/>
    <n v="0"/>
    <s v="u=10%, k=2x10^7"/>
    <x v="5"/>
    <n v="2.3249030260208334"/>
    <n v="2.0906329333333334E-2"/>
    <n v="3.005568162520833"/>
    <n v="1.7965996949583334"/>
    <n v="1.0995656838541665"/>
    <n v="51.609266511708334"/>
  </r>
  <r>
    <s v="istree_exp6_rebuilding_time/step10148.txt"/>
    <s v="brown_ext_ist_lf_en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19570723391"/>
    <n v="10001734"/>
    <n v="100019570723391"/>
    <n v="10001734"/>
    <s v="success"/>
    <n v="7"/>
    <n v="1745344"/>
    <n v="11687413"/>
    <n v="13432757"/>
    <n v="10001734"/>
    <n v="7.6963400000000002"/>
    <n v="0.85577000000000003"/>
    <n v="4.0239099999999999"/>
    <n v="326626752"/>
    <s v="165 369982 5396336 80197572 233766"/>
    <s v="117 369936 5395410 80196803 233766"/>
    <n v="477829"/>
    <n v="133630"/>
    <n v="5746250704411"/>
    <n v="223170247935"/>
    <n v="4870941039"/>
    <n v="328755141753"/>
    <n v="282451672041"/>
    <n v="111016326370"/>
    <n v="5271178086"/>
    <n v="0"/>
    <n v="585627503"/>
    <n v="5271178086"/>
    <n v="5856805589"/>
    <n v="87852968"/>
    <n v="0"/>
    <n v="9760458"/>
    <n v="87852968"/>
    <n v="97613426"/>
    <n v="18.997800000000002"/>
    <n v="7.9587300000000001"/>
    <n v="2703.67"/>
    <n v="1807.6"/>
    <n v="2614"/>
    <n v="223"/>
    <n v="59.856778170947912"/>
    <n v="9.8985867618541672"/>
    <n v="117"/>
    <n v="369936"/>
    <n v="5395410"/>
    <n v="80196803"/>
    <n v="233766"/>
    <n v="0"/>
    <s v="u=10%, k=2x10^7"/>
    <x v="5"/>
    <n v="2.3246900826562498"/>
    <n v="5.0738969156250001E-2"/>
    <n v="3.4245327265937497"/>
    <n v="2.9422049170937501"/>
    <n v="1.1564200663541666"/>
    <n v="49.958191409093743"/>
  </r>
  <r>
    <s v="istree_exp6_rebuilding_time/step10149.txt"/>
    <s v="brown_ext_ist_lf_en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12103412649"/>
    <n v="10002373"/>
    <n v="100012103412649"/>
    <n v="10002373"/>
    <s v="success"/>
    <n v="7"/>
    <n v="1705307"/>
    <n v="11605096"/>
    <n v="13310403"/>
    <n v="10002373"/>
    <n v="7.8052799999999998"/>
    <n v="0.86189499999999997"/>
    <n v="4.0159000000000002"/>
    <n v="322106144"/>
    <s v="277 531450 4448184 112411664 281717"/>
    <s v="168 531370 4446850 112410154 281716"/>
    <n v="987187"/>
    <n v="88476"/>
    <n v="8619376319568"/>
    <n v="320218811524"/>
    <n v="8832207361"/>
    <n v="482371720856"/>
    <n v="515295197743"/>
    <n v="169497939002"/>
    <n v="7563697262"/>
    <n v="0"/>
    <n v="840399993"/>
    <n v="7563697262"/>
    <n v="8404097255"/>
    <n v="126061621"/>
    <n v="0"/>
    <n v="14006666"/>
    <n v="126061621"/>
    <n v="140068287"/>
    <n v="19.110099999999999"/>
    <n v="8.2705500000000001"/>
    <n v="2820.48"/>
    <n v="1908.39"/>
    <n v="2779"/>
    <n v="386"/>
    <n v="59.856779997000004"/>
    <n v="10.390388031152778"/>
    <n v="168"/>
    <n v="531370"/>
    <n v="4446850"/>
    <n v="112410154"/>
    <n v="281716"/>
    <n v="0"/>
    <s v="u=10%, k=2x10^7"/>
    <x v="5"/>
    <n v="2.2237417466944445"/>
    <n v="6.133477334027778E-2"/>
    <n v="3.3498036170555556"/>
    <n v="3.5784388732152781"/>
    <n v="1.1770690208472223"/>
    <n v="49.466391965847222"/>
  </r>
  <r>
    <s v="istree_exp6_rebuilding_time/step10150.txt"/>
    <s v="brown_ext_ist_lf_en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93361572583"/>
    <n v="9998941"/>
    <n v="99993361572583"/>
    <n v="9998941"/>
    <s v="success"/>
    <n v="7"/>
    <n v="1855360"/>
    <n v="11929438"/>
    <n v="13784798"/>
    <n v="9998941"/>
    <n v="7.4297199999999997"/>
    <n v="0.83817399999999997"/>
    <n v="4.0456200000000004"/>
    <n v="339333792"/>
    <s v="351 671274 5668365 142358437 357068"/>
    <s v="212 671169 5665944 142355820 357066"/>
    <n v="1691931"/>
    <n v="69390"/>
    <n v="11372792908459"/>
    <n v="429260617337"/>
    <n v="15964508167"/>
    <n v="686402081233"/>
    <n v="793472274828"/>
    <n v="238798018162"/>
    <n v="9568188736"/>
    <n v="0"/>
    <n v="1063145520"/>
    <n v="9568188736"/>
    <n v="10631334256"/>
    <n v="159469812"/>
    <n v="0"/>
    <n v="17719092"/>
    <n v="159469812"/>
    <n v="177188904"/>
    <n v="19.2745"/>
    <n v="8.5315999999999992"/>
    <n v="2928.04"/>
    <n v="1985.21"/>
    <n v="2879"/>
    <n v="387"/>
    <n v="59.856804781363152"/>
    <n v="11.388934209089475"/>
    <n v="212"/>
    <n v="671169"/>
    <n v="5665944"/>
    <n v="142355820"/>
    <n v="357066"/>
    <n v="0"/>
    <s v="u=10%, k=2x10^7"/>
    <x v="5"/>
    <n v="2.2592664070368422"/>
    <n v="8.4023727194736844E-2"/>
    <n v="3.6126425328052632"/>
    <n v="4.1761698675157897"/>
    <n v="1.2568316745368422"/>
    <n v="48.467870572273675"/>
  </r>
  <r>
    <s v="istree_exp6_rebuilding_time/step10151.txt"/>
    <s v="brown_ext_ist_lf_en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13282147834E+16"/>
    <n v="100012985"/>
    <n v="1.00013282147834E+16"/>
    <n v="100012985"/>
    <s v="success"/>
    <n v="7"/>
    <n v="14349452"/>
    <n v="116883501"/>
    <n v="131232953"/>
    <n v="100012985"/>
    <n v="9.1455000000000002"/>
    <n v="0.85566399999999998"/>
    <n v="4.0657899999999998"/>
    <n v="3021633136"/>
    <s v="3 12702 1366198 12364166 2034421"/>
    <s v="2 12689 1366195 12364159 2034421"/>
    <n v="2285"/>
    <n v="532834"/>
    <n v="1436562546887"/>
    <n v="28996318001"/>
    <n v="32488020"/>
    <n v="38279267298"/>
    <n v="29593963719"/>
    <n v="12097923940"/>
    <n v="1314637019"/>
    <n v="0"/>
    <n v="146058233"/>
    <n v="1314637019"/>
    <n v="1460695252"/>
    <n v="21910616"/>
    <n v="0"/>
    <n v="2434303"/>
    <n v="21910616"/>
    <n v="24344920"/>
    <n v="20.862300000000001"/>
    <n v="9.4352699999999992"/>
    <n v="2724.23"/>
    <n v="2012.26"/>
    <n v="10145"/>
    <n v="1553"/>
    <n v="59.856772786958338"/>
    <n v="4.5416650407499999"/>
    <n v="2"/>
    <n v="12689"/>
    <n v="1366195"/>
    <n v="12364159"/>
    <n v="2034421"/>
    <n v="0"/>
    <s v="u=10%, k=2x10^8"/>
    <x v="6"/>
    <n v="1.2081799167083334"/>
    <n v="1.3536675E-3"/>
    <n v="1.59496947075"/>
    <n v="1.2330818216250001"/>
    <n v="0.50408016416666668"/>
    <n v="55.315107746208341"/>
  </r>
  <r>
    <s v="istree_exp6_rebuilding_time/step10152.txt"/>
    <s v="brown_ext_ist_lf_en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714195988670"/>
    <n v="99995568"/>
    <n v="9999714195988670"/>
    <n v="99995568"/>
    <s v="success"/>
    <n v="7"/>
    <n v="14504536"/>
    <n v="117252964"/>
    <n v="131757500"/>
    <n v="99995568"/>
    <n v="9.0838800000000006"/>
    <n v="0.85281899999999999"/>
    <n v="4.0700799999999999"/>
    <n v="3040211584"/>
    <s v="4 34419 2163202 20334684 3363124"/>
    <s v="4 34384 2163174 20334671 3363124"/>
    <n v="14236"/>
    <n v="212652"/>
    <n v="2873124977691"/>
    <n v="82804355437"/>
    <n v="191087927"/>
    <n v="110610075454"/>
    <n v="76659774552"/>
    <n v="35047780241"/>
    <n v="2192844747"/>
    <n v="0"/>
    <n v="243681142"/>
    <n v="2192844747"/>
    <n v="2436525889"/>
    <n v="36547412"/>
    <n v="0"/>
    <n v="4061352"/>
    <n v="36547412"/>
    <n v="40608764"/>
    <n v="21.496700000000001"/>
    <n v="9.8157200000000007"/>
    <n v="3233.74"/>
    <n v="2422.88"/>
    <n v="13386"/>
    <n v="1264"/>
    <n v="59.856770368562501"/>
    <n v="6.3606890335625001"/>
    <n v="4"/>
    <n v="34384"/>
    <n v="2163174"/>
    <n v="20334671"/>
    <n v="3363124"/>
    <n v="0"/>
    <s v="u=10%, k=2x10^8"/>
    <x v="6"/>
    <n v="1.7250907382708334"/>
    <n v="3.9809984791666668E-3"/>
    <n v="2.3043765719583331"/>
    <n v="1.5970786365"/>
    <n v="0.73016208835416663"/>
    <n v="53.496081335"/>
  </r>
  <r>
    <s v="istree_exp6_rebuilding_time/step10153.txt"/>
    <s v="brown_ext_ist_lf_en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1.00005717818276E+16"/>
    <n v="100002196"/>
    <n v="1.00005717818276E+16"/>
    <n v="100002196"/>
    <s v="success"/>
    <n v="7"/>
    <n v="11365192"/>
    <n v="110713350"/>
    <n v="122078542"/>
    <n v="100002196"/>
    <n v="10.741400000000001"/>
    <n v="0.90325299999999997"/>
    <n v="4.0071199999999996"/>
    <n v="2680666880"/>
    <s v="12 89192 3551782 35979249 6052095"/>
    <s v="9 89165 3551694 35979212 6052092"/>
    <n v="84748"/>
    <n v="82700"/>
    <n v="5746470131300"/>
    <n v="183151319573"/>
    <n v="1673287640"/>
    <n v="326052940794"/>
    <n v="260544251624"/>
    <n v="85804026210"/>
    <n v="4062637850"/>
    <n v="0"/>
    <n v="451405575"/>
    <n v="4062637850"/>
    <n v="4514043425"/>
    <n v="67710630"/>
    <n v="0"/>
    <n v="7523426"/>
    <n v="67710630"/>
    <n v="75234057"/>
    <n v="22.139399999999998"/>
    <n v="10.863300000000001"/>
    <n v="3375.09"/>
    <n v="2490.94"/>
    <n v="13171"/>
    <n v="1133"/>
    <n v="59.859063867708329"/>
    <n v="8.9294356858437496"/>
    <n v="9"/>
    <n v="89165"/>
    <n v="3551694"/>
    <n v="35979212"/>
    <n v="6052092"/>
    <n v="0"/>
    <s v="u=10%, k=2x10^8"/>
    <x v="6"/>
    <n v="1.9078262455520834"/>
    <n v="1.7430079583333334E-2"/>
    <n v="3.3963847999375001"/>
    <n v="2.7140026210833335"/>
    <n v="0.89379193968750004"/>
    <n v="50.92962818186458"/>
  </r>
  <r>
    <s v="istree_exp6_rebuilding_time/step10154.txt"/>
    <s v="brown_ext_ist_lf_en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8722617140980"/>
    <n v="99986641"/>
    <n v="9998722617140980"/>
    <n v="99986641"/>
    <s v="success"/>
    <n v="7"/>
    <n v="11374190"/>
    <n v="110715434"/>
    <n v="122089624"/>
    <n v="99986641"/>
    <n v="10.7339"/>
    <n v="0.90309600000000001"/>
    <n v="4.00732"/>
    <n v="2681422928"/>
    <s v="22 129966 4547674 50694594 8666332"/>
    <s v="13 129958 4547516 50694495 8666327"/>
    <n v="174876"/>
    <n v="48374"/>
    <n v="8619785344950"/>
    <n v="266094236719"/>
    <n v="5278433137"/>
    <n v="580813233290"/>
    <n v="482900189614"/>
    <n v="135232131828"/>
    <n v="5863672923"/>
    <n v="0"/>
    <n v="651501740"/>
    <n v="5863672923"/>
    <n v="6515174663"/>
    <n v="97727882"/>
    <n v="0"/>
    <n v="10858362"/>
    <n v="97727882"/>
    <n v="108586244"/>
    <n v="22.2529"/>
    <n v="11.1845"/>
    <n v="3435.51"/>
    <n v="2542.66"/>
    <n v="14045"/>
    <n v="1113"/>
    <n v="59.859620451041664"/>
    <n v="10.210543226305555"/>
    <n v="13"/>
    <n v="129958"/>
    <n v="4547516"/>
    <n v="50694495"/>
    <n v="8666327"/>
    <n v="0"/>
    <s v="u=10%, k=2x10^8"/>
    <x v="6"/>
    <n v="1.8478766438819443"/>
    <n v="3.6655785673611115E-2"/>
    <n v="4.033425231180555"/>
    <n v="3.353473538986111"/>
    <n v="0.93911202658333337"/>
    <n v="49.649077224736111"/>
  </r>
  <r>
    <s v="istree_exp6_rebuilding_time/step10155.txt"/>
    <s v="brown_ext_ist_lf_en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556226317490"/>
    <n v="99996075"/>
    <n v="9999556226317490"/>
    <n v="99996075"/>
    <s v="success"/>
    <n v="7"/>
    <n v="14904084"/>
    <n v="118191056"/>
    <n v="133095140"/>
    <n v="99996075"/>
    <n v="8.9301100000000009"/>
    <n v="0.846055"/>
    <n v="4.0808099999999996"/>
    <n v="3087717216"/>
    <s v="35 159975 5581498 64975823 11173053"/>
    <s v="16 159967 5581261 64975655 11173036"/>
    <n v="272246"/>
    <n v="34796"/>
    <n v="11373072571531"/>
    <n v="338691625071"/>
    <n v="11869692657"/>
    <n v="822961300180"/>
    <n v="724466718690"/>
    <n v="182699678628"/>
    <n v="7523689915"/>
    <n v="0"/>
    <n v="835964135"/>
    <n v="7523689915"/>
    <n v="8359654050"/>
    <n v="125394831"/>
    <n v="0"/>
    <n v="13932735"/>
    <n v="125394831"/>
    <n v="139327567"/>
    <n v="22.237100000000002"/>
    <n v="11.3439"/>
    <n v="3486.73"/>
    <n v="2603.6999999999998"/>
    <n v="14280"/>
    <n v="1130"/>
    <n v="59.858276692268419"/>
    <n v="10.950994816978946"/>
    <n v="16"/>
    <n v="159967"/>
    <n v="5581261"/>
    <n v="64975655"/>
    <n v="11173036"/>
    <n v="0"/>
    <s v="u=10%, k=2x10^8"/>
    <x v="6"/>
    <n v="1.7825875003736842"/>
    <n v="6.2472066615789475E-2"/>
    <n v="4.3313752641052634"/>
    <n v="3.8129827299473682"/>
    <n v="0.96157725593684207"/>
    <n v="48.90728187528947"/>
  </r>
  <r>
    <s v="istree_exp6_rebuilding_time/step10156.txt"/>
    <s v="brown_ext_ist_lf_en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7940331075098E+17"/>
    <n v="1000007878"/>
    <n v="9.9997940331075098E+17"/>
    <n v="1000007878"/>
    <s v="success"/>
    <n v="7"/>
    <n v="107508620"/>
    <n v="1125590751"/>
    <n v="1233099371"/>
    <n v="1000007878"/>
    <n v="11.469799999999999"/>
    <n v="0.88842900000000002"/>
    <n v="4.0475500000000002"/>
    <n v="26626088416"/>
    <s v="0 0 0 1029014 1107891"/>
    <s v="0 0 0 1029014 1107891"/>
    <m/>
    <n v="389594"/>
    <n v="1436562419606"/>
    <n v="868230825"/>
    <m/>
    <n v="1754042937"/>
    <n v="2067308039"/>
    <n v="255090339"/>
    <n v="948696938"/>
    <n v="0"/>
    <n v="105411896"/>
    <n v="948696938"/>
    <n v="1054108834"/>
    <n v="15811615"/>
    <n v="0"/>
    <n v="1756864"/>
    <n v="15811615"/>
    <n v="17568480"/>
    <n v="22.913399999999999"/>
    <n v="13.5014"/>
    <n v="3801.89"/>
    <n v="3041.25"/>
    <n v="61812"/>
    <n v="16228"/>
    <n v="59.856767483583333"/>
    <n v="0.20602800583333333"/>
    <n v="0"/>
    <n v="0"/>
    <n v="0"/>
    <n v="1029014"/>
    <n v="1107891"/>
    <n v="0"/>
    <s v="u=10%, k=2x10^9"/>
    <x v="7"/>
    <n v="3.6176284374999999E-2"/>
    <n v="0"/>
    <n v="7.3085122374999992E-2"/>
    <n v="8.6137834958333326E-2"/>
    <n v="1.0628764125000001E-2"/>
    <n v="59.650739477750001"/>
  </r>
  <r>
    <s v="istree_exp6_rebuilding_time/step10157.txt"/>
    <s v="brown_ext_ist_lf_en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2098021763E+18"/>
    <n v="1000006436"/>
    <n v="1.00002098021763E+18"/>
    <n v="1000006436"/>
    <s v="success"/>
    <n v="7"/>
    <n v="119372497"/>
    <n v="1150648594"/>
    <n v="1270021091"/>
    <n v="1000006436"/>
    <n v="10.639099999999999"/>
    <n v="0.86908099999999999"/>
    <n v="4.0731599999999997"/>
    <n v="27996863184"/>
    <s v="0 0 0 4905413 2908241"/>
    <s v="0 0 0 4905413 2908241"/>
    <m/>
    <n v="171620"/>
    <n v="2873119610671"/>
    <n v="5183497533"/>
    <m/>
    <n v="9153604647"/>
    <n v="9200410946"/>
    <n v="1883078425"/>
    <n v="1701115189"/>
    <n v="0"/>
    <n v="189004262"/>
    <n v="1701115189"/>
    <n v="1890119451"/>
    <n v="28351919"/>
    <n v="0"/>
    <n v="3150071"/>
    <n v="28351919"/>
    <n v="31501990"/>
    <n v="23.1525"/>
    <n v="13.710900000000001"/>
    <n v="4239.6499999999996"/>
    <n v="3534.2"/>
    <n v="63670"/>
    <n v="12518"/>
    <n v="59.856658555645829"/>
    <n v="0.52959565731250002"/>
    <n v="0"/>
    <n v="0"/>
    <n v="0"/>
    <n v="4905413"/>
    <n v="2908241"/>
    <n v="0"/>
    <s v="u=10%, k=2x10^9"/>
    <x v="7"/>
    <n v="0.10798953193749999"/>
    <n v="0"/>
    <n v="0.1907000968125"/>
    <n v="0.19167522804166667"/>
    <n v="3.9230800520833331E-2"/>
    <n v="59.327062898333331"/>
  </r>
  <r>
    <s v="istree_exp6_rebuilding_time/step10158.txt"/>
    <s v="brown_ext_ist_lf_en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7880648783104E+17"/>
    <n v="1000000850"/>
    <n v="9.9997880648783104E+17"/>
    <n v="1000000850"/>
    <s v="success"/>
    <n v="7"/>
    <n v="126398331"/>
    <n v="1167598966"/>
    <n v="1293997297"/>
    <n v="1000000850"/>
    <n v="10.237500000000001"/>
    <n v="0.85645899999999997"/>
    <n v="4.0895999999999999"/>
    <n v="28858099920"/>
    <s v="0 0 430406 25624447 7849873"/>
    <s v="0 0 430406 25624440 7849873"/>
    <n v="12"/>
    <n v="89816"/>
    <n v="5746213596376"/>
    <n v="31553944464"/>
    <n v="21408"/>
    <n v="45503184845"/>
    <n v="40895311883"/>
    <n v="10727459300"/>
    <n v="3585242282"/>
    <n v="0"/>
    <n v="398362188"/>
    <n v="3585242282"/>
    <n v="3983604470"/>
    <n v="59754038"/>
    <n v="0"/>
    <n v="6639369"/>
    <n v="59754038"/>
    <n v="66393407"/>
    <n v="23.62"/>
    <n v="14.7098"/>
    <n v="4019.38"/>
    <n v="3251.26"/>
    <n v="66639"/>
    <n v="9623"/>
    <n v="59.856391628916668"/>
    <n v="1.3404158531250001"/>
    <n v="0"/>
    <n v="0"/>
    <n v="430406"/>
    <n v="25624440"/>
    <n v="7849873"/>
    <n v="0"/>
    <s v="u=10%, k=2x10^9"/>
    <x v="7"/>
    <n v="0.32868692150000001"/>
    <n v="2.23E-7"/>
    <n v="0.47399150880208335"/>
    <n v="0.42599283211458333"/>
    <n v="0.11174436770833333"/>
    <n v="58.515975775791667"/>
  </r>
  <r>
    <s v="istree_exp6_rebuilding_time/step10159.txt"/>
    <s v="brown_ext_ist_lf_enabled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7966745083302E+17"/>
    <n v="999972382"/>
    <n v="9.9997966745083302E+17"/>
    <n v="999972382"/>
    <s v="success"/>
    <n v="7"/>
    <n v="87796389"/>
    <n v="1085451629"/>
    <n v="1173248018"/>
    <n v="999972382"/>
    <n v="13.363300000000001"/>
    <n v="0.92125000000000001"/>
    <n v="4.0067000000000004"/>
    <n v="24391290528"/>
    <s v="1 31578 2160540 33492023 9461580"/>
    <s v="1 31577 2160529 33492010 9461580"/>
    <n v="25782"/>
    <n v="48408"/>
    <n v="8619431963119"/>
    <n v="187171629910"/>
    <n v="6784701992"/>
    <n v="695082413117"/>
    <n v="207524963187"/>
    <n v="106907095784"/>
    <n v="4621528052"/>
    <n v="0"/>
    <n v="513473695"/>
    <n v="4621528052"/>
    <n v="5135001747"/>
    <n v="77025467"/>
    <n v="0"/>
    <n v="8557894"/>
    <n v="77025467"/>
    <n v="85583362"/>
    <n v="25.21"/>
    <n v="15.8931"/>
    <n v="4374.82"/>
    <n v="3538.8"/>
    <n v="102914"/>
    <n v="9505"/>
    <n v="59.857166410548608"/>
    <n v="8.3574361388194447"/>
    <n v="1"/>
    <n v="31577"/>
    <n v="2160529"/>
    <n v="33492010"/>
    <n v="9461580"/>
    <n v="0"/>
    <s v="u=10%, k=2x10^9"/>
    <x v="7"/>
    <n v="1.2998029854861111"/>
    <n v="4.7115986055555552E-2"/>
    <n v="4.8269612022013888"/>
    <n v="1.4411455776875"/>
    <n v="0.74241038738888898"/>
    <n v="51.499730271729163"/>
  </r>
  <r>
    <s v="istree_exp6_rebuilding_time/step10160.txt"/>
    <s v="brown_ext_ist_lf_en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0797716625E+18"/>
    <n v="1000013712"/>
    <n v="1.00000797716625E+18"/>
    <n v="1000013712"/>
    <s v="success"/>
    <n v="7"/>
    <n v="116975881"/>
    <n v="1145491886"/>
    <n v="1262467767"/>
    <n v="1000013712"/>
    <n v="10.7925"/>
    <n v="0.87299899999999997"/>
    <n v="4.0679100000000004"/>
    <n v="27717568944"/>
    <s v="5 31597 2148972 37102582 11860915"/>
    <s v="1 31595 2148953 37102573 11860915"/>
    <n v="34524"/>
    <n v="34712"/>
    <n v="11372731625447"/>
    <n v="240130983501"/>
    <n v="4303855199"/>
    <n v="737474592329"/>
    <n v="222597422303"/>
    <n v="346628435292"/>
    <n v="6013468420"/>
    <n v="0"/>
    <n v="668170845"/>
    <n v="6013468420"/>
    <n v="6681639265"/>
    <n v="100224473"/>
    <n v="0"/>
    <n v="11136180"/>
    <n v="100224473"/>
    <n v="111360654"/>
    <n v="24.833600000000001"/>
    <n v="15.7272"/>
    <n v="4488.93"/>
    <n v="3629.84"/>
    <n v="120101"/>
    <n v="9127"/>
    <n v="59.85648223919474"/>
    <n v="8.1638699401263146"/>
    <n v="1"/>
    <n v="31595"/>
    <n v="2148953"/>
    <n v="37102573"/>
    <n v="11860915"/>
    <n v="0"/>
    <s v="u=10%, k=2x10^9"/>
    <x v="7"/>
    <n v="1.2638472815842106"/>
    <n v="2.2651869468421054E-2"/>
    <n v="3.8814452227842104"/>
    <n v="1.1715653805421054"/>
    <n v="1.8243601857473684"/>
    <n v="51.692612299068422"/>
  </r>
  <r>
    <s v="istree_exp6_rebuilding_time/step10161.txt"/>
    <s v="brown_ext_ist_lf_en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1080354429"/>
    <n v="1000959"/>
    <n v="1001080354429"/>
    <n v="1000959"/>
    <s v="success"/>
    <n v="6"/>
    <n v="57790"/>
    <n v="1082845"/>
    <n v="1140635"/>
    <n v="1000959"/>
    <n v="19.7376"/>
    <n v="0.92437899999999995"/>
    <n v="3.0514600000000001"/>
    <n v="21970064"/>
    <s v="4160 1835523 26370748 29537094"/>
    <s v="2041 1828347 26363312 29536460"/>
    <n v="917780"/>
    <n v="1040756"/>
    <n v="1436556109410"/>
    <n v="93631202938"/>
    <n v="1090356641"/>
    <n v="109283623890"/>
    <n v="79536604121"/>
    <n v="44167050711"/>
    <n v="1530825808"/>
    <n v="0"/>
    <n v="1020554409"/>
    <n v="1530825808"/>
    <n v="2551380217"/>
    <n v="25513763"/>
    <n v="0"/>
    <n v="17009240"/>
    <n v="25513763"/>
    <n v="42523003"/>
    <n v="15.7201"/>
    <n v="1.0400100000000001"/>
    <n v="1572.59"/>
    <n v="618.55200000000002"/>
    <n v="1239"/>
    <n v="28"/>
    <n v="59.856504558750004"/>
    <n v="13.654534929208333"/>
    <n v="2041"/>
    <n v="1828347"/>
    <n v="26363312"/>
    <n v="29536460"/>
    <n v="0"/>
    <n v="0"/>
    <s v="u=40%, k=2x10^6"/>
    <x v="8"/>
    <n v="3.9013001224166666"/>
    <n v="4.5431526708333336E-2"/>
    <n v="4.5534843287499998"/>
    <n v="3.3140251717083333"/>
    <n v="1.8402937796250001"/>
    <n v="46.201969629541672"/>
  </r>
  <r>
    <s v="istree_exp6_rebuilding_time/step10162.txt"/>
    <s v="brown_ext_ist_lf_en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7850372488"/>
    <n v="998354"/>
    <n v="997850372488"/>
    <n v="998354"/>
    <s v="success"/>
    <n v="6"/>
    <n v="43269"/>
    <n v="1051176"/>
    <n v="1094445"/>
    <n v="998354"/>
    <n v="25.294"/>
    <n v="0.94974999999999998"/>
    <n v="3.0209299999999999"/>
    <n v="20284240"/>
    <s v="7587 2850404 27049138 39184672"/>
    <s v="2886 2844045 27027454 39182867"/>
    <n v="3695220"/>
    <n v="375500"/>
    <n v="2873113319784"/>
    <n v="243572504298"/>
    <n v="5040125363"/>
    <n v="272085054916"/>
    <n v="151673490965"/>
    <n v="102719061807"/>
    <n v="2163855916"/>
    <n v="0"/>
    <n v="1442646445"/>
    <n v="2163855916"/>
    <n v="3606502361"/>
    <n v="36064265"/>
    <n v="0"/>
    <n v="24044107"/>
    <n v="36064265"/>
    <n v="60108372"/>
    <n v="16.214600000000001"/>
    <n v="1.52597"/>
    <n v="2176.7199999999998"/>
    <n v="1032.6500000000001"/>
    <n v="1303"/>
    <n v="33"/>
    <n v="59.856527495499996"/>
    <n v="16.147713278104167"/>
    <n v="2886"/>
    <n v="2844045"/>
    <n v="27027454"/>
    <n v="39182867"/>
    <n v="0"/>
    <n v="0"/>
    <s v="u=40%, k=2x10^6"/>
    <x v="8"/>
    <n v="5.0744271728750006"/>
    <n v="0.10500261172916665"/>
    <n v="5.6684386440833334"/>
    <n v="3.1598643951041669"/>
    <n v="2.1399804543125001"/>
    <n v="43.708814217395826"/>
  </r>
  <r>
    <s v="istree_exp6_rebuilding_time/step10163.txt"/>
    <s v="brown_ext_ist_lf_en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59361968"/>
    <n v="999154"/>
    <n v="999659361968"/>
    <n v="999154"/>
    <s v="success"/>
    <n v="6"/>
    <n v="57128"/>
    <n v="1080087"/>
    <n v="1137215"/>
    <n v="999154"/>
    <n v="19.906400000000001"/>
    <n v="0.925068"/>
    <n v="3.0505800000000001"/>
    <n v="21876400"/>
    <s v="9444 5532614 9588558 40677687"/>
    <s v="3522 5477451 9557909 40673790"/>
    <n v="14891721"/>
    <n v="125180"/>
    <n v="5746230306997"/>
    <n v="694008137346"/>
    <n v="26628691903"/>
    <n v="747676122727"/>
    <n v="309412508695"/>
    <n v="500244224167"/>
    <n v="2640817201"/>
    <n v="0"/>
    <n v="1760474500"/>
    <n v="2640817201"/>
    <n v="4401291701"/>
    <n v="44013620"/>
    <n v="0"/>
    <n v="29341241"/>
    <n v="44013620"/>
    <n v="73354861"/>
    <n v="19.410900000000002"/>
    <n v="6.0481400000000001"/>
    <n v="3642.33"/>
    <n v="2396.91"/>
    <n v="1445"/>
    <n v="165"/>
    <n v="59.856565697885422"/>
    <n v="23.728850883729166"/>
    <n v="3522"/>
    <n v="5477451"/>
    <n v="9557909"/>
    <n v="40673790"/>
    <n v="0"/>
    <n v="0"/>
    <s v="u=40%, k=2x10^6"/>
    <x v="8"/>
    <n v="7.2292514306875004"/>
    <n v="0.27738220732291669"/>
    <n v="7.788292945072917"/>
    <n v="3.2230469655729164"/>
    <n v="5.2108773350729169"/>
    <n v="36.127714814156256"/>
  </r>
  <r>
    <s v="istree_exp6_rebuilding_time/step10164.txt"/>
    <s v="brown_ext_ist_lf_en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693700931"/>
    <n v="999675"/>
    <n v="999693700931"/>
    <n v="999675"/>
    <s v="success"/>
    <n v="6"/>
    <n v="51589"/>
    <n v="1069314"/>
    <n v="1120903"/>
    <n v="999675"/>
    <n v="21.727599999999999"/>
    <n v="0.93487500000000001"/>
    <n v="3.0386000000000002"/>
    <n v="21251408"/>
    <s v="10407 11180217 2012726 31083066"/>
    <s v="3829 11082866 1998425 31078783"/>
    <n v="36420651"/>
    <n v="61916"/>
    <n v="8619353295963"/>
    <n v="1355650418417"/>
    <n v="68587540417"/>
    <n v="1503268077320"/>
    <n v="397898011939"/>
    <n v="1072136686540"/>
    <n v="2870576599"/>
    <n v="0"/>
    <n v="1913674575"/>
    <n v="2870576599"/>
    <n v="4784251174"/>
    <n v="47842943"/>
    <n v="0"/>
    <n v="31894576"/>
    <n v="47842943"/>
    <n v="79737519"/>
    <n v="24.317499999999999"/>
    <n v="10.4573"/>
    <n v="5026.6099999999997"/>
    <n v="3557.41"/>
    <n v="1653"/>
    <n v="153"/>
    <n v="59.856620110854159"/>
    <n v="30.538477323840279"/>
    <n v="3829"/>
    <n v="11082866"/>
    <n v="1998425"/>
    <n v="31078783"/>
    <n v="0"/>
    <n v="0"/>
    <s v="u=40%, k=2x10^6"/>
    <x v="8"/>
    <n v="9.4142390167847232"/>
    <n v="0.47630236400694442"/>
    <n v="10.439361648055556"/>
    <n v="2.7631806384652777"/>
    <n v="7.4453936565277781"/>
    <n v="29.31814278701388"/>
  </r>
  <r>
    <s v="istree_exp6_rebuilding_time/step10165.txt"/>
    <s v="brown_ext_ist_lf_en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8273778640"/>
    <n v="998342"/>
    <n v="998273778640"/>
    <n v="998342"/>
    <s v="success"/>
    <n v="6"/>
    <n v="58177"/>
    <n v="1081731"/>
    <n v="1139908"/>
    <n v="998342"/>
    <n v="19.593800000000002"/>
    <n v="0.92291199999999995"/>
    <n v="3.0529700000000002"/>
    <n v="21989360"/>
    <s v="12610 10329722 5016084 41183813"/>
    <s v="4393 10213359 4980717 41176879"/>
    <n v="49052317"/>
    <n v="40228"/>
    <n v="11372754533594"/>
    <n v="1743329350264"/>
    <n v="106313501170"/>
    <n v="2018014691246"/>
    <n v="536642153849"/>
    <n v="1890064043508"/>
    <n v="3291196736"/>
    <n v="0"/>
    <n v="2194171131"/>
    <n v="3291196736"/>
    <n v="5485367867"/>
    <n v="54853278"/>
    <n v="0"/>
    <n v="36569518"/>
    <n v="54853278"/>
    <n v="91422797"/>
    <n v="24.829799999999999"/>
    <n v="11.6989"/>
    <n v="5780.81"/>
    <n v="4279.58"/>
    <n v="1858"/>
    <n v="363"/>
    <n v="59.856602808389468"/>
    <n v="33.12823021072105"/>
    <n v="4393"/>
    <n v="10213359"/>
    <n v="4980717"/>
    <n v="41176879"/>
    <n v="0"/>
    <n v="0"/>
    <s v="u=40%, k=2x10^6"/>
    <x v="8"/>
    <n v="9.1754176329684203"/>
    <n v="0.55954474300000001"/>
    <n v="10.621129953926316"/>
    <n v="2.8244323886789475"/>
    <n v="9.9477054921473673"/>
    <n v="26.728372597668418"/>
  </r>
  <r>
    <s v="istree_exp6_rebuilding_time/step10166.txt"/>
    <s v="brown_ext_ist_lf_en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9229168348"/>
    <n v="9998271"/>
    <n v="99979229168348"/>
    <n v="9998271"/>
    <s v="success"/>
    <n v="7"/>
    <n v="1907352"/>
    <n v="12035383"/>
    <n v="13942735"/>
    <n v="9998271"/>
    <n v="7.31"/>
    <n v="0.83074000000000003"/>
    <n v="4.0564200000000001"/>
    <n v="345191888"/>
    <s v="152 262914 7544759 69169915 232832"/>
    <s v="94 262326 7544353 69169590 232831"/>
    <n v="128100"/>
    <n v="448928"/>
    <n v="1436558438971"/>
    <n v="137361456483"/>
    <n v="613393721"/>
    <n v="155624773134"/>
    <n v="90756668055"/>
    <n v="64583249122"/>
    <n v="709365033"/>
    <n v="0"/>
    <n v="472900859"/>
    <n v="709365033"/>
    <n v="1182265892"/>
    <n v="11822750"/>
    <n v="0"/>
    <n v="7881680"/>
    <n v="11822750"/>
    <n v="19704431"/>
    <n v="25.892399999999999"/>
    <n v="11.0581"/>
    <n v="3367.82"/>
    <n v="2129.0500000000002"/>
    <n v="2450"/>
    <n v="155"/>
    <n v="59.856601623791668"/>
    <n v="18.705814188125"/>
    <n v="94"/>
    <n v="262326"/>
    <n v="7544353"/>
    <n v="69169590"/>
    <n v="232831"/>
    <n v="0"/>
    <s v="u=40%, k=2x10^7"/>
    <x v="9"/>
    <n v="5.7233940201250002"/>
    <n v="2.5558071708333335E-2"/>
    <n v="6.4843655472500004"/>
    <n v="3.7815278356250004"/>
    <n v="2.6909687134166664"/>
    <n v="41.150787435666672"/>
  </r>
  <r>
    <s v="istree_exp6_rebuilding_time/step10167.txt"/>
    <s v="brown_ext_ist_lf_en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09117721855"/>
    <n v="10000510"/>
    <n v="100009117721855"/>
    <n v="10000510"/>
    <s v="success"/>
    <n v="7"/>
    <n v="1788669"/>
    <n v="11776027"/>
    <n v="13564696"/>
    <n v="10000510"/>
    <n v="7.5836800000000002"/>
    <n v="0.84922600000000004"/>
    <n v="4.0325899999999999"/>
    <n v="331512416"/>
    <s v="315 475499 10395020 108860900 353634"/>
    <s v="153 474955 10393545 108859479 353633"/>
    <n v="523086"/>
    <n v="187982"/>
    <n v="2873117434134"/>
    <n v="282568899181"/>
    <n v="2786096249"/>
    <n v="362514775197"/>
    <n v="203320779085"/>
    <n v="138121357685"/>
    <n v="1149021512"/>
    <n v="0"/>
    <n v="765935330"/>
    <n v="1149021512"/>
    <n v="1914956842"/>
    <n v="19150358"/>
    <n v="0"/>
    <n v="12765588"/>
    <n v="19150358"/>
    <n v="31915947"/>
    <n v="26.7012"/>
    <n v="11.682499999999999"/>
    <n v="4152.88"/>
    <n v="2778.95"/>
    <n v="2508"/>
    <n v="154"/>
    <n v="59.856613211125001"/>
    <n v="20.610664737437499"/>
    <n v="153"/>
    <n v="474955"/>
    <n v="10393545"/>
    <n v="108859479"/>
    <n v="353633"/>
    <n v="0"/>
    <s v="u=40%, k=2x10^7"/>
    <x v="9"/>
    <n v="5.8868520662708335"/>
    <n v="5.8043671854166666E-2"/>
    <n v="7.5523911499374998"/>
    <n v="4.2358495642708336"/>
    <n v="2.8775282851041664"/>
    <n v="39.245948473687505"/>
  </r>
  <r>
    <s v="istree_exp6_rebuilding_time/step10168.txt"/>
    <s v="brown_ext_ist_lf_en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6209339838"/>
    <n v="9999717"/>
    <n v="99996209339838"/>
    <n v="9999717"/>
    <s v="success"/>
    <n v="7"/>
    <n v="1828072"/>
    <n v="11858215"/>
    <n v="13686287"/>
    <n v="9999717"/>
    <n v="7.4867299999999997"/>
    <n v="0.84327300000000005"/>
    <n v="4.0404999999999998"/>
    <n v="335983120"/>
    <s v="795 853874 12455632 185118597 539783"/>
    <s v="270 853619 12451052 185114010 539780"/>
    <n v="1903950"/>
    <n v="90066"/>
    <n v="5746236129670"/>
    <n v="505630016825"/>
    <n v="11710956901"/>
    <n v="749330889555"/>
    <n v="678847882463"/>
    <n v="257255392736"/>
    <n v="2026598172"/>
    <n v="0"/>
    <n v="1351133464"/>
    <n v="2026598172"/>
    <n v="3377731636"/>
    <n v="33776636"/>
    <n v="0"/>
    <n v="22518891"/>
    <n v="33776636"/>
    <n v="56295527"/>
    <n v="27.591999999999999"/>
    <n v="13.5418"/>
    <n v="4670.72"/>
    <n v="3207.24"/>
    <n v="2653"/>
    <n v="268"/>
    <n v="59.856626350729165"/>
    <n v="22.945574359166667"/>
    <n v="270"/>
    <n v="853619"/>
    <n v="12451052"/>
    <n v="185114010"/>
    <n v="539780"/>
    <n v="0"/>
    <s v="u=40%, k=2x10^7"/>
    <x v="9"/>
    <n v="5.2669793419270832"/>
    <n v="0.12198913438541666"/>
    <n v="7.80553009953125"/>
    <n v="7.0713321089895835"/>
    <n v="2.6797436743333329"/>
    <n v="36.911051991562502"/>
  </r>
  <r>
    <s v="istree_exp6_rebuilding_time/step10169.txt"/>
    <s v="brown_ext_ist_lf_en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18833727780"/>
    <n v="10002065"/>
    <n v="100018833727780"/>
    <n v="10002065"/>
    <s v="success"/>
    <n v="7"/>
    <n v="1880429"/>
    <n v="11985393"/>
    <n v="13865822"/>
    <n v="10002065"/>
    <n v="7.3737500000000002"/>
    <n v="0.83452099999999996"/>
    <n v="4.0506599999999997"/>
    <n v="342237520"/>
    <s v="1247 1199414 10050857 254006277 636961"/>
    <s v="379 1199030 10044053 253996809 636951"/>
    <n v="3880541"/>
    <n v="58540"/>
    <n v="8619361818431"/>
    <n v="715319199822"/>
    <n v="24273441250"/>
    <n v="1091164008634"/>
    <n v="1286618718113"/>
    <n v="385833337047"/>
    <n v="2847089320"/>
    <n v="0"/>
    <n v="1898056632"/>
    <n v="2847089320"/>
    <n v="4745145952"/>
    <n v="47451488"/>
    <n v="0"/>
    <n v="31634277"/>
    <n v="47451488"/>
    <n v="79085765"/>
    <n v="27.8901"/>
    <n v="14.371"/>
    <n v="4947.12"/>
    <n v="3407.24"/>
    <n v="2832"/>
    <n v="331"/>
    <n v="59.85667929465972"/>
    <n v="24.327838228236111"/>
    <n v="379"/>
    <n v="1199030"/>
    <n v="10044053"/>
    <n v="253996809"/>
    <n v="636951"/>
    <n v="0"/>
    <s v="u=40%, k=2x10^7"/>
    <x v="9"/>
    <n v="4.9674944432083334"/>
    <n v="0.16856556423611113"/>
    <n v="7.5775278377361115"/>
    <n v="8.9348522091180556"/>
    <n v="2.6793981739374999"/>
    <n v="35.52884106642361"/>
  </r>
  <r>
    <s v="istree_exp6_rebuilding_time/step10170.txt"/>
    <s v="brown_ext_ist_lf_en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97064174060"/>
    <n v="10006248"/>
    <n v="100097064174060"/>
    <n v="10006248"/>
    <s v="success"/>
    <n v="7"/>
    <n v="1808299"/>
    <n v="11836051"/>
    <n v="13644350"/>
    <n v="10006248"/>
    <n v="7.5454100000000004"/>
    <n v="0.84540400000000004"/>
    <n v="4.0362799999999996"/>
    <n v="334066800"/>
    <s v="1688 1450397 12231429 307018146 770836"/>
    <s v="458 1449926 12220651 307003365 770813"/>
    <n v="6110352"/>
    <n v="43836"/>
    <n v="11372814582990"/>
    <n v="918867942284"/>
    <n v="40765054262"/>
    <n v="1488414630706"/>
    <n v="2068668687288"/>
    <n v="505041055357"/>
    <n v="3440249964"/>
    <n v="0"/>
    <n v="2293437486"/>
    <n v="3440249964"/>
    <n v="5733687450"/>
    <n v="57337499"/>
    <n v="0"/>
    <n v="38223958"/>
    <n v="57337499"/>
    <n v="95561457"/>
    <n v="28.551400000000001"/>
    <n v="15.1523"/>
    <n v="5368.98"/>
    <n v="3663.61"/>
    <n v="2957"/>
    <n v="461"/>
    <n v="59.856918857842111"/>
    <n v="26.430301946826315"/>
    <n v="458"/>
    <n v="1449926"/>
    <n v="12220651"/>
    <n v="307003365"/>
    <n v="770813"/>
    <n v="0"/>
    <s v="u=40%, k=2x10^7"/>
    <x v="9"/>
    <n v="4.8361470646526321"/>
    <n v="0.21455291716842104"/>
    <n v="7.8337612142421058"/>
    <n v="10.887729933094738"/>
    <n v="2.6581108176684212"/>
    <n v="33.426616911015792"/>
  </r>
  <r>
    <s v="istree_exp6_rebuilding_time/step10171.txt"/>
    <s v="brown_ext_ist_lf_en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1.00000617209305E+16"/>
    <n v="99998765"/>
    <n v="1.00000617209305E+16"/>
    <n v="99998765"/>
    <s v="success"/>
    <n v="7"/>
    <n v="14717801"/>
    <n v="117769732"/>
    <n v="132487533"/>
    <n v="99998765"/>
    <n v="9.0018600000000006"/>
    <n v="0.84910399999999997"/>
    <n v="4.0758299999999998"/>
    <n v="3065892064"/>
    <s v="8 44595 3652199 32821899 5418862"/>
    <s v="7 44532 3652173 32821880 5418861"/>
    <n v="13728"/>
    <n v="352408"/>
    <n v="1436561372474"/>
    <n v="93949077344"/>
    <n v="166204783"/>
    <n v="123903200595"/>
    <n v="89716814013"/>
    <n v="43213381561"/>
    <n v="585178746"/>
    <n v="0"/>
    <n v="390117098"/>
    <n v="585178746"/>
    <n v="975295844"/>
    <n v="9752979"/>
    <n v="0"/>
    <n v="6501951"/>
    <n v="9752979"/>
    <n v="16254930"/>
    <n v="27.600200000000001"/>
    <n v="13.3371"/>
    <n v="3953.93"/>
    <n v="2851.35"/>
    <n v="12601"/>
    <n v="1567"/>
    <n v="59.856723853083338"/>
    <n v="14.622861595666668"/>
    <n v="7"/>
    <n v="44532"/>
    <n v="3652173"/>
    <n v="32821880"/>
    <n v="5418861"/>
    <n v="0"/>
    <s v="u=40%, k=2x10^8"/>
    <x v="10"/>
    <n v="3.9145448893333334"/>
    <n v="6.9251992916666665E-3"/>
    <n v="5.1626333581250003"/>
    <n v="3.7382005838750003"/>
    <n v="1.8005575650416665"/>
    <n v="45.233862257416675"/>
  </r>
  <r>
    <s v="istree_exp6_rebuilding_time/step10172.txt"/>
    <s v="brown_ext_ist_lf_en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350761540420"/>
    <n v="99994051"/>
    <n v="9999350761540420"/>
    <n v="99994051"/>
    <s v="success"/>
    <n v="7"/>
    <n v="14081099"/>
    <n v="116309429"/>
    <n v="130390528"/>
    <n v="99994051"/>
    <n v="9.2599699999999991"/>
    <n v="0.85972400000000004"/>
    <n v="4.0635899999999996"/>
    <n v="2989837936"/>
    <s v="23 103254 5639497 50483021 8417888"/>
    <s v="12 103082 5639388 50482932 8417883"/>
    <n v="67331"/>
    <n v="128498"/>
    <n v="2873119566647"/>
    <n v="234783817234"/>
    <n v="1159222235"/>
    <n v="309926780527"/>
    <n v="215103035165"/>
    <n v="105185554102"/>
    <n v="925334033"/>
    <n v="0"/>
    <n v="616809907"/>
    <n v="925334033"/>
    <n v="1542143940"/>
    <n v="15422233"/>
    <n v="0"/>
    <n v="10280165"/>
    <n v="15422233"/>
    <n v="25702399"/>
    <n v="29.657"/>
    <n v="14.340400000000001"/>
    <n v="4946.75"/>
    <n v="3641.04"/>
    <n v="13160"/>
    <n v="1304"/>
    <n v="59.856657638479163"/>
    <n v="18.044966859645832"/>
    <n v="12"/>
    <n v="103082"/>
    <n v="5639388"/>
    <n v="50482932"/>
    <n v="8417883"/>
    <n v="0"/>
    <s v="u=40%, k=2x10^8"/>
    <x v="10"/>
    <n v="4.8913295257083336"/>
    <n v="2.4150463229166669E-2"/>
    <n v="6.4568079276458334"/>
    <n v="4.4813132326041663"/>
    <n v="2.1913657104583333"/>
    <n v="41.811690778833331"/>
  </r>
  <r>
    <s v="istree_exp6_rebuilding_time/step10173.txt"/>
    <s v="brown_ext_ist_lf_en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658806136500"/>
    <n v="99998733"/>
    <n v="9999658806136500"/>
    <n v="99998733"/>
    <s v="success"/>
    <n v="7"/>
    <n v="14947457"/>
    <n v="118274945"/>
    <n v="133222402"/>
    <n v="99998733"/>
    <n v="8.9127100000000006"/>
    <n v="0.84547700000000003"/>
    <n v="4.0821699999999996"/>
    <n v="3092447632"/>
    <s v="69 218179 8711165 90211894 15241461"/>
    <s v="22 218082 8710726 90211619 15241445"/>
    <n v="328908"/>
    <n v="55798"/>
    <n v="5746292888986"/>
    <n v="436635825244"/>
    <n v="8551154026"/>
    <n v="696399618329"/>
    <n v="691518238577"/>
    <n v="210965437786"/>
    <n v="1697960534"/>
    <n v="0"/>
    <n v="1131945598"/>
    <n v="1697960534"/>
    <n v="2829906132"/>
    <n v="28299342"/>
    <n v="0"/>
    <n v="18865759"/>
    <n v="28299342"/>
    <n v="47165102"/>
    <n v="30.675599999999999"/>
    <n v="16.047699999999999"/>
    <n v="5267.07"/>
    <n v="3845.89"/>
    <n v="13751"/>
    <n v="1067"/>
    <n v="59.857217593604169"/>
    <n v="21.292398687104168"/>
    <n v="22"/>
    <n v="218082"/>
    <n v="8710726"/>
    <n v="90211619"/>
    <n v="15241445"/>
    <n v="0"/>
    <s v="u=40%, k=2x10^8"/>
    <x v="10"/>
    <n v="4.5482898462916665"/>
    <n v="8.9074521104166679E-2"/>
    <n v="7.2541626909270827"/>
    <n v="7.2033149851770837"/>
    <n v="2.1975566436041665"/>
    <n v="38.564818906500001"/>
  </r>
  <r>
    <s v="istree_exp6_rebuilding_time/step10174.txt"/>
    <s v="brown_ext_ist_lf_en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05590747579E+16"/>
    <n v="99999535"/>
    <n v="1.00005590747579E+16"/>
    <n v="99999535"/>
    <s v="success"/>
    <n v="7"/>
    <n v="14594592"/>
    <n v="117482832"/>
    <n v="132077424"/>
    <n v="99999535"/>
    <n v="9.0497499999999995"/>
    <n v="0.85118400000000005"/>
    <n v="4.0726699999999996"/>
    <n v="3051263728"/>
    <s v="118 309993 11073868 124385533 21269877"/>
    <s v="31 309958 11073104 124384942 21269821"/>
    <n v="652803"/>
    <n v="34134"/>
    <n v="8619426840394"/>
    <n v="619588077908"/>
    <n v="26964445727"/>
    <n v="1109055221101"/>
    <n v="1235683610640"/>
    <n v="321920195673"/>
    <n v="2387647343"/>
    <n v="0"/>
    <n v="1591798776"/>
    <n v="2387647343"/>
    <n v="3979446119"/>
    <n v="39794122"/>
    <n v="0"/>
    <n v="26529979"/>
    <n v="39794122"/>
    <n v="66324101"/>
    <n v="30.927099999999999"/>
    <n v="16.8886"/>
    <n v="5489.85"/>
    <n v="4038.71"/>
    <n v="14193"/>
    <n v="1151"/>
    <n v="59.857130836069445"/>
    <n v="23.008413548951388"/>
    <n v="31"/>
    <n v="309958"/>
    <n v="11073104"/>
    <n v="124384942"/>
    <n v="21269821"/>
    <n v="0"/>
    <s v="u=40%, k=2x10^8"/>
    <x v="10"/>
    <n v="4.3026949854722218"/>
    <n v="0.1872530953263889"/>
    <n v="7.7017723687569442"/>
    <n v="8.5811361850000001"/>
    <n v="2.2355569143958336"/>
    <n v="36.848717287118063"/>
  </r>
  <r>
    <s v="istree_exp6_rebuilding_time/step10175.txt"/>
    <s v="brown_ext_ist_lf_en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5064299046E+16"/>
    <n v="100000129"/>
    <n v="1.00005064299046E+16"/>
    <n v="100000129"/>
    <s v="success"/>
    <n v="7"/>
    <n v="14652096"/>
    <n v="117575485"/>
    <n v="132227581"/>
    <n v="100000129"/>
    <n v="9.0244800000000005"/>
    <n v="0.85051900000000002"/>
    <n v="4.0758599999999996"/>
    <n v="3056791296"/>
    <s v="139 389969 13420613 152795269 26282964"/>
    <s v="39 389923 13419297 152794356 26282892"/>
    <n v="1049371"/>
    <n v="24246"/>
    <n v="11372769681230"/>
    <n v="798987521990"/>
    <n v="43442532178"/>
    <n v="1544374424306"/>
    <n v="1827555857131"/>
    <n v="440400779819"/>
    <n v="2960153222"/>
    <n v="0"/>
    <n v="1973509406"/>
    <n v="2960153222"/>
    <n v="4933662628"/>
    <n v="49335887"/>
    <n v="0"/>
    <n v="32891823"/>
    <n v="49335887"/>
    <n v="82227710"/>
    <n v="31.314399999999999"/>
    <n v="17.481300000000001"/>
    <n v="5760.27"/>
    <n v="4254.84"/>
    <n v="14445"/>
    <n v="1214"/>
    <n v="59.85668253278947"/>
    <n v="24.498742712757895"/>
    <n v="39"/>
    <n v="389923"/>
    <n v="13419297"/>
    <n v="152794356"/>
    <n v="26282892"/>
    <n v="0"/>
    <s v="u=40%, k=2x10^8"/>
    <x v="10"/>
    <n v="4.2051974841578952"/>
    <n v="0.2286449062"/>
    <n v="8.1282864437157905"/>
    <n v="9.6187150375315795"/>
    <n v="2.3178988411526316"/>
    <n v="35.357939820031575"/>
  </r>
  <r>
    <s v="istree_exp6_rebuilding_time/step10176.txt"/>
    <s v="brown_ext_ist_lf_en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7294326676595E+17"/>
    <n v="1000001008"/>
    <n v="9.9997294326676595E+17"/>
    <n v="1000001008"/>
    <s v="success"/>
    <n v="7"/>
    <n v="128048048"/>
    <n v="1170628575"/>
    <n v="1298676623"/>
    <n v="1000001008"/>
    <n v="10.142099999999999"/>
    <n v="0.85424299999999997"/>
    <n v="4.0929000000000002"/>
    <n v="29038635632"/>
    <s v="0 0 103852 20784202 6913291"/>
    <s v="0 0 103852 20784198 6913291"/>
    <n v="3"/>
    <n v="334356"/>
    <n v="1436560370091"/>
    <n v="16970001411"/>
    <n v="3090"/>
    <n v="22962536719"/>
    <n v="21359439576"/>
    <n v="3722323234"/>
    <n v="533966470"/>
    <n v="0"/>
    <n v="355948809"/>
    <n v="533966470"/>
    <n v="889915279"/>
    <n v="8899441"/>
    <n v="0"/>
    <n v="5932480"/>
    <n v="8899441"/>
    <n v="14831921"/>
    <n v="26.061800000000002"/>
    <n v="15.3353"/>
    <n v="4411.12"/>
    <n v="3495.93"/>
    <n v="62803"/>
    <n v="16198"/>
    <n v="59.856682087125002"/>
    <n v="2.7089293345833334"/>
    <n v="0"/>
    <n v="0"/>
    <n v="103852"/>
    <n v="20784198"/>
    <n v="6913291"/>
    <n v="0"/>
    <s v="u=40%, k=2x10^9"/>
    <x v="11"/>
    <n v="0.70708339212499993"/>
    <n v="1.2875000000000001E-7"/>
    <n v="0.95677236329166659"/>
    <n v="0.88997664899999995"/>
    <n v="0.15509680141666668"/>
    <n v="57.14775275254167"/>
  </r>
  <r>
    <s v="istree_exp6_rebuilding_time/step10177.txt"/>
    <s v="brown_ext_ist_lf_enabled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0071481119E+18"/>
    <n v="999984581"/>
    <n v="1.00000071481119E+18"/>
    <n v="999984581"/>
    <s v="success"/>
    <n v="7"/>
    <n v="87214517"/>
    <n v="1084293756"/>
    <n v="1171508273"/>
    <n v="999984581"/>
    <n v="13.432499999999999"/>
    <n v="0.92224499999999998"/>
    <n v="4.0055199999999997"/>
    <n v="24326099824"/>
    <s v="1 26351 2536366 34436384 9619099"/>
    <s v="1 26331 2536355 34436377 9619099"/>
    <n v="10657"/>
    <n v="115582"/>
    <n v="2873131699047"/>
    <n v="176947265242"/>
    <n v="175816543"/>
    <n v="268668941281"/>
    <n v="123344714501"/>
    <n v="89186465180"/>
    <n v="766667975"/>
    <n v="0"/>
    <n v="511077222"/>
    <n v="766667975"/>
    <n v="1277745197"/>
    <n v="12777799"/>
    <n v="0"/>
    <n v="8517953"/>
    <n v="12777799"/>
    <n v="21295753"/>
    <n v="31.860099999999999"/>
    <n v="19.169"/>
    <n v="6079.43"/>
    <n v="4913.5200000000004"/>
    <n v="85068"/>
    <n v="12059"/>
    <n v="59.856910396812502"/>
    <n v="13.715066723895832"/>
    <n v="1"/>
    <n v="26331"/>
    <n v="2536355"/>
    <n v="34436377"/>
    <n v="9619099"/>
    <n v="0"/>
    <s v="u=40%, k=2x10^9"/>
    <x v="11"/>
    <n v="3.6864013592083329"/>
    <n v="3.6628446458333332E-3"/>
    <n v="5.5972696100208337"/>
    <n v="2.5696815521041665"/>
    <n v="1.8580513579166666"/>
    <n v="46.141843672916671"/>
  </r>
  <r>
    <s v="istree_exp6_rebuilding_time/step10178.txt"/>
    <s v="brown_ext_ist_lf_en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1.00002532356726E+18"/>
    <n v="1000008277"/>
    <n v="1.00002532356726E+18"/>
    <n v="1000008277"/>
    <s v="success"/>
    <n v="7"/>
    <n v="84465058"/>
    <n v="1078812842"/>
    <n v="1163277900"/>
    <n v="1000008277"/>
    <n v="13.7723"/>
    <n v="0.92695300000000003"/>
    <n v="4"/>
    <n v="24018210096"/>
    <s v="3 61933 4627299 67771865 19004405"/>
    <s v="2 61911 4627270 67771827 19004401"/>
    <n v="55056"/>
    <n v="53484"/>
    <n v="5952687147645"/>
    <n v="375786534521"/>
    <n v="6014871092"/>
    <n v="924718936273"/>
    <n v="373630234119"/>
    <n v="200708799284"/>
    <n v="1500122949"/>
    <n v="0"/>
    <n v="1000023685"/>
    <n v="1500122949"/>
    <n v="2500146634"/>
    <n v="25002049"/>
    <n v="0"/>
    <n v="16667061"/>
    <n v="25002049"/>
    <n v="41669110"/>
    <n v="33.191099999999999"/>
    <n v="20.957699999999999"/>
    <n v="5935.31"/>
    <n v="4687.4399999999996"/>
    <n v="87575"/>
    <n v="9561"/>
    <n v="62.007157787968744"/>
    <n v="19.592285159260417"/>
    <n v="2"/>
    <n v="61911"/>
    <n v="4627270"/>
    <n v="67771827"/>
    <n v="19004401"/>
    <n v="0"/>
    <s v="u=40%, k=2x10^9"/>
    <x v="11"/>
    <n v="3.9144430679270834"/>
    <n v="6.2654907208333332E-2"/>
    <n v="9.6324889195104166"/>
    <n v="3.8919816054062504"/>
    <n v="2.0907166592083333"/>
    <n v="42.414872628708324"/>
  </r>
  <r>
    <s v="istree_exp6_rebuilding_time/step10179.txt"/>
    <s v="brown_ext_ist_lf_en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490872156403E+17"/>
    <n v="999994258"/>
    <n v="9.9998490872156403E+17"/>
    <n v="999994258"/>
    <s v="success"/>
    <n v="7"/>
    <n v="105900457"/>
    <n v="1124379972"/>
    <n v="1230280429"/>
    <n v="999994258"/>
    <n v="11.6173"/>
    <n v="0.889374"/>
    <n v="4.04575"/>
    <n v="26493680080"/>
    <s v="4 74528 6381121 100174231 28196546"/>
    <s v="2 74524 6381058 100174181 28196539"/>
    <n v="96151"/>
    <n v="34272"/>
    <n v="8619596813032"/>
    <n v="473418261726"/>
    <n v="4995589512"/>
    <n v="1183608917960"/>
    <n v="558695292522"/>
    <n v="249983803715"/>
    <n v="2216933928"/>
    <n v="0"/>
    <n v="1477972260"/>
    <n v="2216933928"/>
    <n v="3694906188"/>
    <n v="36948898"/>
    <n v="0"/>
    <n v="24632871"/>
    <n v="36948898"/>
    <n v="61581769"/>
    <n v="32.031700000000001"/>
    <n v="20.577200000000001"/>
    <n v="5896.33"/>
    <n v="4678.53"/>
    <n v="120316"/>
    <n v="9384"/>
    <n v="59.858311201611109"/>
    <n v="17.157651843298609"/>
    <n v="2"/>
    <n v="74524"/>
    <n v="6381058"/>
    <n v="100174181"/>
    <n v="28196539"/>
    <n v="0"/>
    <s v="u=40%, k=2x10^9"/>
    <x v="11"/>
    <n v="3.2876268175416667"/>
    <n v="3.4691593833333333E-2"/>
    <n v="8.2195063747222221"/>
    <n v="3.8798284202916671"/>
    <n v="1.7359986369097222"/>
    <n v="42.700659358312492"/>
  </r>
  <r>
    <s v="istree_exp6_rebuilding_time/step10180.txt"/>
    <s v="brown_ext_ist_lf_en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9.9997371529294502E+17"/>
    <n v="999983032"/>
    <n v="9.9997371529294502E+17"/>
    <n v="999983032"/>
    <s v="success"/>
    <n v="7"/>
    <n v="122530369"/>
    <n v="1157537902"/>
    <n v="1280068271"/>
    <n v="999983032"/>
    <n v="10.446899999999999"/>
    <n v="0.86388799999999999"/>
    <n v="4.0801499999999997"/>
    <n v="28367504512"/>
    <s v="14 94770 6448053 107725514 31999640"/>
    <s v="3 94763 6447940 107725423 31999637"/>
    <n v="154993"/>
    <n v="22702"/>
    <n v="11372873422790"/>
    <n v="608255984628"/>
    <n v="10936272542"/>
    <n v="2014421770463"/>
    <n v="858388373686"/>
    <n v="483108555143"/>
    <n v="2583785725"/>
    <n v="0"/>
    <n v="1722514879"/>
    <n v="2583785725"/>
    <n v="4306300604"/>
    <n v="43063095"/>
    <n v="0"/>
    <n v="28708581"/>
    <n v="43063095"/>
    <n v="71771676"/>
    <n v="33.029000000000003"/>
    <n v="21.4343"/>
    <n v="6298.7"/>
    <n v="5007.93"/>
    <n v="120798"/>
    <n v="9222"/>
    <n v="59.857228541000005"/>
    <n v="20.921636612957894"/>
    <n v="3"/>
    <n v="94763"/>
    <n v="6447940"/>
    <n v="107725423"/>
    <n v="31999637"/>
    <n v="0"/>
    <s v="u=40%, k=2x10^9"/>
    <x v="11"/>
    <n v="3.2013472875157891"/>
    <n v="5.7559329168421047E-2"/>
    <n v="10.602219844542105"/>
    <n v="4.5178335457157894"/>
    <n v="2.5426766060157893"/>
    <n v="38.935591928042115"/>
  </r>
  <r>
    <s v="istree_exp6_rebuilding_time/step10181.txt"/>
    <s v="brown_ext_ist_lf_dis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0703501345"/>
    <n v="1000495"/>
    <n v="1000703501345"/>
    <n v="1000495"/>
    <s v="success"/>
    <n v="6"/>
    <n v="81968"/>
    <n v="1133664"/>
    <n v="1215632"/>
    <n v="1000495"/>
    <n v="14.8306"/>
    <n v="0.88253199999999998"/>
    <n v="3.10581"/>
    <n v="24782944"/>
    <s v="92 81679 1177464 1324521"/>
    <s v="91 81664 1177443 1324521"/>
    <m/>
    <n v="1688288"/>
    <n v="1436560810131"/>
    <n v="4002148031"/>
    <n v="85516035611"/>
    <n v="6043943795"/>
    <n v="5218424968"/>
    <n v="2208708108"/>
    <n v="4528370260"/>
    <n v="0"/>
    <n v="45736918"/>
    <n v="4528370260"/>
    <n v="4574107178"/>
    <n v="75472837"/>
    <n v="0"/>
    <n v="762281"/>
    <n v="75472837"/>
    <n v="76235119"/>
    <n v="8.4232099999999992"/>
    <n v="9.8000199999999996E-2"/>
    <n v="876.76499999999999"/>
    <n v="258.99200000000002"/>
    <n v="1428"/>
    <n v="27"/>
    <n v="59.856700422124995"/>
    <n v="4.2912191880416666"/>
    <n v="91"/>
    <n v="81664"/>
    <n v="1177443"/>
    <n v="1324521"/>
    <n v="0"/>
    <n v="0"/>
    <s v="u=1%, k=2x10^6"/>
    <x v="12"/>
    <n v="0.16675616795833334"/>
    <n v="3.5631681504583335"/>
    <n v="0.25183099145833332"/>
    <n v="0.21743437366666665"/>
    <n v="9.2029504500000012E-2"/>
    <n v="55.565481234083329"/>
  </r>
  <r>
    <s v="istree_exp6_rebuilding_time/step10182.txt"/>
    <s v="brown_ext_ist_lf_dis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010037591"/>
    <n v="1000725"/>
    <n v="1000010037591"/>
    <n v="1000725"/>
    <s v="success"/>
    <n v="6"/>
    <n v="33047"/>
    <n v="1032777"/>
    <n v="1065824"/>
    <n v="1000725"/>
    <n v="32.251800000000003"/>
    <n v="0.96896499999999997"/>
    <n v="3.0000200000000001"/>
    <n v="19168176"/>
    <s v="141 130279 1236799 1795448"/>
    <s v="132 130257 1236725 1795443"/>
    <m/>
    <n v="598344"/>
    <n v="2874052395500"/>
    <n v="9498039739"/>
    <n v="354046821933"/>
    <n v="12786173007"/>
    <n v="10451805987"/>
    <n v="4878613383"/>
    <n v="6531810899"/>
    <n v="0"/>
    <n v="65989884"/>
    <n v="6531810899"/>
    <n v="6597800783"/>
    <n v="108863514"/>
    <n v="0"/>
    <n v="1099831"/>
    <n v="108863514"/>
    <n v="109963346"/>
    <n v="8.2380899999999997"/>
    <n v="0.103048"/>
    <n v="1209.1500000000001"/>
    <n v="361.96600000000001"/>
    <n v="1610"/>
    <n v="70"/>
    <n v="59.876091572916664"/>
    <n v="8.1596136260208336"/>
    <n v="132"/>
    <n v="130257"/>
    <n v="1236725"/>
    <n v="1795443"/>
    <n v="0"/>
    <n v="0"/>
    <s v="u=1%, k=2x10^6"/>
    <x v="12"/>
    <n v="0.19787582789583333"/>
    <n v="7.3759754569374998"/>
    <n v="0.26637860431249999"/>
    <n v="0.21774595806249999"/>
    <n v="0.10163777881250001"/>
    <n v="51.716477946895836"/>
  </r>
  <r>
    <s v="istree_exp6_rebuilding_time/step10183.txt"/>
    <s v="brown_ext_ist_lf_dis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8668226835"/>
    <n v="998736"/>
    <n v="998668226835"/>
    <n v="998736"/>
    <s v="success"/>
    <n v="6"/>
    <n v="33029"/>
    <n v="1030783"/>
    <n v="1063812"/>
    <n v="998736"/>
    <n v="32.208399999999997"/>
    <n v="0.96891000000000005"/>
    <n v="3.0000499999999999"/>
    <n v="19134832"/>
    <s v="242 349167 607242 2576408"/>
    <s v="223 348874 607055 2576393"/>
    <m/>
    <n v="254324"/>
    <n v="5748995745709"/>
    <n v="29224993579"/>
    <n v="1280963257777"/>
    <n v="28291419399"/>
    <n v="16912284532"/>
    <n v="8566081239"/>
    <n v="11031747425"/>
    <n v="0"/>
    <n v="111446416"/>
    <n v="11031747425"/>
    <n v="11143193841"/>
    <n v="183862457"/>
    <n v="0"/>
    <n v="1857440"/>
    <n v="183862457"/>
    <n v="185719897"/>
    <n v="8.2331299999999992"/>
    <n v="0.23496800000000001"/>
    <n v="1431.48"/>
    <n v="385"/>
    <n v="2108"/>
    <n v="130"/>
    <n v="59.885372351135423"/>
    <n v="14.207896213812498"/>
    <n v="223"/>
    <n v="348874"/>
    <n v="607055"/>
    <n v="2576393"/>
    <n v="0"/>
    <n v="0"/>
    <s v="u=1%, k=2x10^6"/>
    <x v="12"/>
    <n v="0.30442701644791664"/>
    <n v="13.343367268510418"/>
    <n v="0.29470228540624999"/>
    <n v="0.17616963054166668"/>
    <n v="8.9230012906250003E-2"/>
    <n v="45.67747613732292"/>
  </r>
  <r>
    <s v="istree_exp6_rebuilding_time/step10184.txt"/>
    <s v="brown_ext_ist_lf_dis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296160101"/>
    <n v="999502"/>
    <n v="999296160101"/>
    <n v="999502"/>
    <s v="success"/>
    <n v="6"/>
    <n v="33042"/>
    <n v="1031577"/>
    <n v="1064619"/>
    <n v="999502"/>
    <n v="32.220199999999998"/>
    <n v="0.96890699999999996"/>
    <n v="3.0000800000000001"/>
    <n v="19148576"/>
    <s v="321 842116 152403 2344731"/>
    <s v="289 841487 152292 2344702"/>
    <m/>
    <n v="147648"/>
    <n v="8620525102994"/>
    <n v="52416336219"/>
    <n v="2622890191720"/>
    <n v="50755993949"/>
    <n v="22113050053"/>
    <n v="14554813779"/>
    <n v="14294055855"/>
    <n v="0"/>
    <n v="144370054"/>
    <n v="14294055855"/>
    <n v="14438425909"/>
    <n v="238234264"/>
    <n v="0"/>
    <n v="2406167"/>
    <n v="238234264"/>
    <n v="240640431"/>
    <n v="8.5021699999999996"/>
    <n v="0.33723399999999998"/>
    <n v="1635.18"/>
    <n v="403.34399999999999"/>
    <n v="2716"/>
    <n v="238"/>
    <n v="59.864757659680549"/>
    <n v="19.185627678611112"/>
    <n v="289"/>
    <n v="841487"/>
    <n v="152292"/>
    <n v="2344702"/>
    <n v="0"/>
    <n v="0"/>
    <s v="u=1%, k=2x10^6"/>
    <x v="12"/>
    <n v="0.36400233485416666"/>
    <n v="18.214515220277779"/>
    <n v="0.35247218020138887"/>
    <n v="0.15356284759027777"/>
    <n v="0.10107509568750001"/>
    <n v="40.679129981069437"/>
  </r>
  <r>
    <s v="istree_exp6_rebuilding_time/step10185.txt"/>
    <s v="brown_ext_ist_lf_dis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8783573408"/>
    <n v="998835"/>
    <n v="998783573408"/>
    <n v="998835"/>
    <s v="success"/>
    <n v="6"/>
    <n v="54606"/>
    <n v="1075087"/>
    <n v="1129693"/>
    <n v="998835"/>
    <n v="20.688099999999999"/>
    <n v="0.92907399999999996"/>
    <n v="3.0453600000000001"/>
    <n v="21592672"/>
    <s v="410 839725 406777 3356661"/>
    <s v="357 838852 406494 3356618"/>
    <m/>
    <n v="122634"/>
    <n v="11372775521799"/>
    <n v="63278997326"/>
    <n v="3885128902442"/>
    <n v="55225257640"/>
    <n v="28129016099"/>
    <n v="15704499744"/>
    <n v="17686910582"/>
    <n v="0"/>
    <n v="178667552"/>
    <n v="17686910582"/>
    <n v="17865578134"/>
    <n v="294781843"/>
    <n v="0"/>
    <n v="2977792"/>
    <n v="294781843"/>
    <n v="297759635"/>
    <n v="8.5445100000000007"/>
    <n v="0.39118900000000001"/>
    <n v="1748.11"/>
    <n v="412.846"/>
    <n v="2644"/>
    <n v="223"/>
    <n v="59.856713272626315"/>
    <n v="21.302456175005265"/>
    <n v="357"/>
    <n v="838852"/>
    <n v="406494"/>
    <n v="3356618"/>
    <n v="0"/>
    <n v="0"/>
    <s v="u=1%, k=2x10^6"/>
    <x v="12"/>
    <n v="0.33304735434736843"/>
    <n v="20.448046854957894"/>
    <n v="0.29065925073684212"/>
    <n v="0.1480474531526316"/>
    <n v="8.265526181052632E-2"/>
    <n v="38.554257097621054"/>
  </r>
  <r>
    <s v="istree_exp6_rebuilding_time/step10186.txt"/>
    <s v="brown_ext_ist_lf_dis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99998037398802"/>
    <n v="10001212"/>
    <n v="99998037398802"/>
    <n v="10001212"/>
    <s v="success"/>
    <n v="7"/>
    <n v="1625790"/>
    <n v="11443549"/>
    <n v="13069339"/>
    <n v="10001212"/>
    <n v="8.0387599999999999"/>
    <n v="0.87396099999999999"/>
    <n v="4"/>
    <n v="313159968"/>
    <s v="5 11189 320576 2927630 9720"/>
    <s v="4 11189 320574 2927630 9720"/>
    <m/>
    <n v="718232"/>
    <n v="1450973420309"/>
    <n v="5464746689"/>
    <n v="83754341820"/>
    <n v="7780581405"/>
    <n v="5047488759"/>
    <n v="2088748554"/>
    <n v="1980477927"/>
    <n v="0"/>
    <n v="20004257"/>
    <n v="1980477927"/>
    <n v="2000482184"/>
    <n v="33007965"/>
    <n v="0"/>
    <n v="333404"/>
    <n v="33007965"/>
    <n v="33341369"/>
    <n v="16.1158"/>
    <n v="5.89682"/>
    <n v="2025.35"/>
    <n v="1226.31"/>
    <n v="2674"/>
    <n v="154"/>
    <n v="60.457225846208331"/>
    <n v="4.3389961344583332"/>
    <n v="4"/>
    <n v="11189"/>
    <n v="320574"/>
    <n v="2927630"/>
    <n v="9720"/>
    <n v="0"/>
    <s v="u=1%, k=2x10^7"/>
    <x v="13"/>
    <n v="0.22769777870833333"/>
    <n v="3.4897642424999997"/>
    <n v="0.324190891875"/>
    <n v="0.21031203162500001"/>
    <n v="8.7031189750000001E-2"/>
    <n v="56.118229711749997"/>
  </r>
  <r>
    <s v="istree_exp6_rebuilding_time/step10187.txt"/>
    <s v="brown_ext_ist_lf_dis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2809577319"/>
    <n v="9999961"/>
    <n v="100002809577319"/>
    <n v="9999961"/>
    <s v="success"/>
    <n v="7"/>
    <n v="1907707"/>
    <n v="12037281"/>
    <n v="13944988"/>
    <n v="9999961"/>
    <n v="7.3098200000000002"/>
    <n v="0.83074899999999996"/>
    <n v="4.0563500000000001"/>
    <n v="345249856"/>
    <s v="7 18640 415427 4679332 14978"/>
    <s v="6 18638 415420 4679330 14978"/>
    <m/>
    <n v="284458"/>
    <n v="2873121950713"/>
    <n v="10933606855"/>
    <n v="292011495768"/>
    <n v="16558595189"/>
    <n v="11717470512"/>
    <n v="4578529566"/>
    <n v="3259202001"/>
    <n v="0"/>
    <n v="32924634"/>
    <n v="3259202001"/>
    <n v="3292126635"/>
    <n v="54320033"/>
    <n v="0"/>
    <n v="548743"/>
    <n v="54320033"/>
    <n v="54868777"/>
    <n v="16.008099999999999"/>
    <n v="5.9725599999999996"/>
    <n v="2433.81"/>
    <n v="1489.46"/>
    <n v="2773"/>
    <n v="182"/>
    <n v="59.856707306520832"/>
    <n v="6.9958270393750004"/>
    <n v="6"/>
    <n v="18638"/>
    <n v="415420"/>
    <n v="4679330"/>
    <n v="14978"/>
    <n v="0"/>
    <s v="u=1%, k=2x10^7"/>
    <x v="13"/>
    <n v="0.22778347614583336"/>
    <n v="6.0835728284999995"/>
    <n v="0.34497073310416665"/>
    <n v="0.24411396900000001"/>
    <n v="9.5386032625000006E-2"/>
    <n v="52.860880267145831"/>
  </r>
  <r>
    <s v="istree_exp6_rebuilding_time/step10188.txt"/>
    <s v="brown_ext_ist_lf_dis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6928582910"/>
    <n v="10000233"/>
    <n v="99996928582910"/>
    <n v="10000233"/>
    <s v="success"/>
    <n v="7"/>
    <n v="1905795"/>
    <n v="12035211"/>
    <n v="13941006"/>
    <n v="10000233"/>
    <n v="7.3150599999999999"/>
    <n v="0.83091499999999996"/>
    <n v="4.0558100000000001"/>
    <n v="345066496"/>
    <s v="13 37953 567543 8678455 25229"/>
    <s v="12 37950 567526 8678441 25229"/>
    <m/>
    <n v="134772"/>
    <n v="5746247611142"/>
    <n v="22682397368"/>
    <n v="1186655800182"/>
    <n v="32662381912"/>
    <n v="34822567827"/>
    <n v="9308153374"/>
    <n v="6250504968"/>
    <n v="0"/>
    <n v="63135281"/>
    <n v="6250504968"/>
    <n v="6313640249"/>
    <n v="104175082"/>
    <n v="0"/>
    <n v="1052254"/>
    <n v="104175082"/>
    <n v="105227337"/>
    <n v="15.9918"/>
    <n v="6.3800100000000004"/>
    <n v="2525.9299999999998"/>
    <n v="1245.9000000000001"/>
    <n v="3287"/>
    <n v="240"/>
    <n v="59.856745949395837"/>
    <n v="13.397201048572917"/>
    <n v="12"/>
    <n v="37950"/>
    <n v="567526"/>
    <n v="8678441"/>
    <n v="25229"/>
    <n v="0"/>
    <s v="u=1%, k=2x10^7"/>
    <x v="13"/>
    <n v="0.23627497258333333"/>
    <n v="12.360997918562498"/>
    <n v="0.34023314491666667"/>
    <n v="0.36273508153125"/>
    <n v="9.6959930979166664E-2"/>
    <n v="46.45954490082292"/>
  </r>
  <r>
    <s v="istree_exp6_rebuilding_time/step10189.txt"/>
    <s v="brown_ext_ist_lf_dis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68297680872"/>
    <n v="10003957"/>
    <n v="100068297680872"/>
    <n v="10003957"/>
    <s v="success"/>
    <n v="7"/>
    <n v="1886940"/>
    <n v="11989613"/>
    <n v="13876553"/>
    <n v="10003957"/>
    <n v="7.3540000000000001"/>
    <n v="0.83438500000000004"/>
    <n v="4.0523199999999999"/>
    <n v="342808752"/>
    <s v="17 50608 424887 10963797 27471"/>
    <s v="16 50608 424863 10963775 27471"/>
    <m/>
    <n v="79854"/>
    <n v="8620083206372"/>
    <n v="30355326548"/>
    <n v="2562720023847"/>
    <n v="41175630006"/>
    <n v="80764791319"/>
    <n v="12800618938"/>
    <n v="8130503054"/>
    <n v="0"/>
    <n v="82121259"/>
    <n v="8130503054"/>
    <n v="8212624313"/>
    <n v="135508384"/>
    <n v="0"/>
    <n v="1368687"/>
    <n v="135508384"/>
    <n v="136877071"/>
    <n v="16.032599999999999"/>
    <n v="6.5103299999999997"/>
    <n v="2896.89"/>
    <n v="1252.57"/>
    <n v="3562"/>
    <n v="328"/>
    <n v="59.861688933138893"/>
    <n v="18.943169379569444"/>
    <n v="16"/>
    <n v="50608"/>
    <n v="424863"/>
    <n v="10963775"/>
    <n v="27471"/>
    <n v="0"/>
    <s v="u=1%, k=2x10^7"/>
    <x v="13"/>
    <n v="0.21080087880555556"/>
    <n v="17.796666832270834"/>
    <n v="0.28594187504166668"/>
    <n v="0.56086660638194441"/>
    <n v="8.8893187069444435E-2"/>
    <n v="40.918519553569453"/>
  </r>
  <r>
    <s v="istree_exp6_rebuilding_time/step10190.txt"/>
    <s v="brown_ext_ist_lf_dis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99952787103360"/>
    <n v="9994730"/>
    <n v="99952787103360"/>
    <n v="9994730"/>
    <s v="success"/>
    <n v="7"/>
    <n v="1625315"/>
    <n v="11436684"/>
    <n v="13061999"/>
    <n v="9994730"/>
    <n v="8.0366"/>
    <n v="0.873919"/>
    <n v="4.0000099999999996"/>
    <n v="313012128"/>
    <s v="21 63252 533360 13380806 33670"/>
    <s v="20 63251 533329 13380770 33670"/>
    <m/>
    <n v="60572"/>
    <n v="11493331086986"/>
    <n v="39691354215"/>
    <n v="4114750883263"/>
    <n v="50812740289"/>
    <n v="107027321363"/>
    <n v="16018212313"/>
    <n v="9897666802"/>
    <n v="0"/>
    <n v="99982139"/>
    <n v="9897666802"/>
    <n v="9997648941"/>
    <n v="164961113"/>
    <n v="0"/>
    <n v="1666368"/>
    <n v="164961113"/>
    <n v="166627482"/>
    <n v="16.0701"/>
    <n v="6.5972"/>
    <n v="3170.3"/>
    <n v="1247.8800000000001"/>
    <n v="4003"/>
    <n v="433"/>
    <n v="60.491216247294737"/>
    <n v="22.780529007594737"/>
    <n v="20"/>
    <n v="63251"/>
    <n v="533329"/>
    <n v="13380770"/>
    <n v="33670"/>
    <n v="0"/>
    <s v="u=1%, k=2x10^7"/>
    <x v="13"/>
    <n v="0.20890186428947366"/>
    <n v="21.656583596121052"/>
    <n v="0.26743547520526312"/>
    <n v="0.56330169138421049"/>
    <n v="8.4306380594736843E-2"/>
    <n v="37.7106872397"/>
  </r>
  <r>
    <s v="istree_exp6_rebuilding_time/step10191.txt"/>
    <s v="brown_ext_ist_lf_dis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3175247437E+16"/>
    <n v="100005123"/>
    <n v="1.00003175247437E+16"/>
    <n v="100005123"/>
    <s v="success"/>
    <n v="7"/>
    <n v="14111887"/>
    <n v="116379729"/>
    <n v="130491616"/>
    <n v="100005123"/>
    <n v="9.2469300000000008"/>
    <n v="0.85929999999999995"/>
    <n v="4.0642399999999999"/>
    <n v="2993546848"/>
    <s v="0 0 8 596624 199665"/>
    <s v="0 0 8 596624 199665"/>
    <m/>
    <n v="628856"/>
    <n v="1436563778573"/>
    <n v="287479230"/>
    <m/>
    <n v="805069912"/>
    <n v="1705260932"/>
    <n v="107764160"/>
    <n v="1690643339"/>
    <n v="0"/>
    <n v="17081091"/>
    <n v="1690643339"/>
    <n v="1707724430"/>
    <n v="28177388"/>
    <n v="0"/>
    <n v="284684"/>
    <n v="28177388"/>
    <n v="28462073"/>
    <n v="18.911200000000001"/>
    <n v="8.2686600000000006"/>
    <n v="2351.2800000000002"/>
    <n v="1754.08"/>
    <n v="7482"/>
    <n v="1561"/>
    <n v="59.856824107208332"/>
    <n v="0.12106559308333333"/>
    <n v="0"/>
    <n v="0"/>
    <n v="8"/>
    <n v="596624"/>
    <n v="199665"/>
    <n v="0"/>
    <s v="u=1%, k=2x10^8"/>
    <x v="14"/>
    <n v="1.1978301249999998E-2"/>
    <n v="0"/>
    <n v="3.3544579666666664E-2"/>
    <n v="7.1052538833333331E-2"/>
    <n v="4.4901733333333332E-3"/>
    <n v="59.735758514124996"/>
  </r>
  <r>
    <s v="istree_exp6_rebuilding_time/step10192.txt"/>
    <s v="brown_ext_ist_lf_dis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0183918981E+16"/>
    <n v="99999380"/>
    <n v="1.00000183918981E+16"/>
    <n v="99999380"/>
    <s v="success"/>
    <n v="7"/>
    <n v="14921896"/>
    <n v="118197840"/>
    <n v="133119736"/>
    <n v="99999380"/>
    <n v="8.9210999999999991"/>
    <n v="0.84603399999999995"/>
    <n v="4.0817300000000003"/>
    <n v="3089171952"/>
    <s v="0 0 14019 2009138 418828"/>
    <s v="0 0 14019 2009137 418828"/>
    <m/>
    <n v="270816"/>
    <n v="2873127046791"/>
    <n v="1435991868"/>
    <m/>
    <n v="3482496456"/>
    <n v="5469634465"/>
    <n v="593784676"/>
    <n v="2969573421"/>
    <n v="0"/>
    <n v="29981981"/>
    <n v="2969573421"/>
    <n v="2999555402"/>
    <n v="49492890"/>
    <n v="0"/>
    <n v="499699"/>
    <n v="49492890"/>
    <n v="49992590"/>
    <n v="19.038599999999999"/>
    <n v="8.3797499999999996"/>
    <n v="2675.26"/>
    <n v="1991.16"/>
    <n v="7808"/>
    <n v="1260"/>
    <n v="59.856813474812498"/>
    <n v="0.22878973885416667"/>
    <n v="0"/>
    <n v="0"/>
    <n v="14019"/>
    <n v="2009137"/>
    <n v="418828"/>
    <n v="0"/>
    <s v="u=1%, k=2x10^8"/>
    <x v="14"/>
    <n v="2.9916497249999997E-2"/>
    <n v="0"/>
    <n v="7.25520095E-2"/>
    <n v="0.11395071802083334"/>
    <n v="1.2370514083333332E-2"/>
    <n v="59.62802373595833"/>
  </r>
  <r>
    <s v="istree_exp6_rebuilding_time/step10193.txt"/>
    <s v="brown_ext_ist_lf_dis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1.00010199528146E+16"/>
    <n v="100003948"/>
    <n v="1.00010199528146E+16"/>
    <n v="100003948"/>
    <s v="success"/>
    <n v="7"/>
    <n v="11239633"/>
    <n v="110462313"/>
    <n v="121701946"/>
    <n v="100003948"/>
    <n v="10.8279"/>
    <n v="0.90532199999999996"/>
    <n v="4.0045900000000003"/>
    <n v="2666583376"/>
    <s v="1 9900 394679 3999763 672688"/>
    <s v="1 9900 394678 3999759 672688"/>
    <m/>
    <n v="106584"/>
    <n v="5770914760918"/>
    <n v="19236939635"/>
    <n v="789293581570"/>
    <n v="27599740931"/>
    <n v="60332088518"/>
    <n v="7931999134"/>
    <n v="5041018781"/>
    <n v="0"/>
    <n v="50919193"/>
    <n v="5041018781"/>
    <n v="5091937974"/>
    <n v="84016979"/>
    <n v="0"/>
    <n v="848653"/>
    <n v="84016979"/>
    <n v="84865632"/>
    <n v="19.494700000000002"/>
    <n v="9.3469099999999994"/>
    <n v="3135.7"/>
    <n v="1955.38"/>
    <n v="13101"/>
    <n v="1109"/>
    <n v="60.113695426229164"/>
    <n v="9.4207744769583339"/>
    <n v="1"/>
    <n v="9900"/>
    <n v="394678"/>
    <n v="3999759"/>
    <n v="672688"/>
    <n v="0"/>
    <s v="u=1%, k=2x10^8"/>
    <x v="14"/>
    <n v="0.20038478786458333"/>
    <n v="8.2218081413541668"/>
    <n v="0.28749730136458335"/>
    <n v="0.62845925539583336"/>
    <n v="8.262499097916666E-2"/>
    <n v="50.692920949270828"/>
  </r>
  <r>
    <s v="istree_exp6_rebuilding_time/step10194.txt"/>
    <s v="brown_ext_ist_lf_dis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8410168939E+16"/>
    <n v="100005929"/>
    <n v="1.00008410168939E+16"/>
    <n v="100005929"/>
    <s v="success"/>
    <n v="7"/>
    <n v="14758787"/>
    <n v="117822531"/>
    <n v="132581318"/>
    <n v="100005929"/>
    <n v="8.9832099999999997"/>
    <n v="0.84878399999999998"/>
    <n v="4.0781700000000001"/>
    <n v="3069529600"/>
    <s v="1 9998 352226 5338301 1009188"/>
    <s v="1 9998 352225 5338301 1009188"/>
    <m/>
    <n v="73156"/>
    <n v="8636609338540"/>
    <n v="20679467648"/>
    <n v="1236553238808"/>
    <n v="31232930243"/>
    <n v="77972420597"/>
    <n v="9018368161"/>
    <n v="7466208373"/>
    <n v="0"/>
    <n v="75417807"/>
    <n v="7466208373"/>
    <n v="7541626180"/>
    <n v="124436806"/>
    <n v="0"/>
    <n v="1256963"/>
    <n v="124436806"/>
    <n v="125693769"/>
    <n v="19.284600000000001"/>
    <n v="9.4473699999999994"/>
    <n v="3152.74"/>
    <n v="1941.38"/>
    <n v="13552"/>
    <n v="1055"/>
    <n v="59.976453739861114"/>
    <n v="9.5517807323402781"/>
    <n v="1"/>
    <n v="9998"/>
    <n v="352225"/>
    <n v="5338301"/>
    <n v="1009188"/>
    <n v="0"/>
    <s v="u=1%, k=2x10^8"/>
    <x v="14"/>
    <n v="0.14360741422222223"/>
    <n v="8.5871752695000012"/>
    <n v="0.2168953489097222"/>
    <n v="0.54147514303472222"/>
    <n v="6.2627556673611112E-2"/>
    <n v="50.424673007520838"/>
  </r>
  <r>
    <s v="istree_exp6_rebuilding_time/step10195.txt"/>
    <s v="brown_ext_ist_lf_dis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02100578223E+16"/>
    <n v="99996396"/>
    <n v="1.00002100578223E+16"/>
    <n v="99996396"/>
    <s v="success"/>
    <n v="7"/>
    <n v="12472149"/>
    <n v="112968050"/>
    <n v="125440199"/>
    <n v="99996396"/>
    <n v="10.057600000000001"/>
    <n v="0.88517400000000002"/>
    <n v="4.0283499999999997"/>
    <n v="2806595872"/>
    <s v="1 16412 676492 7716230 1307596"/>
    <s v="1 16412 676486 7716229 1307596"/>
    <m/>
    <n v="57004"/>
    <n v="11410925383787"/>
    <n v="31436072660"/>
    <n v="1652235682264"/>
    <n v="45746405202"/>
    <n v="345301385114"/>
    <n v="12625426399"/>
    <n v="9489731605"/>
    <n v="0"/>
    <n v="95850672"/>
    <n v="9489731605"/>
    <n v="9585582277"/>
    <n v="158162193"/>
    <n v="0"/>
    <n v="1597511"/>
    <n v="158162193"/>
    <n v="159759704"/>
    <n v="19.357399999999998"/>
    <n v="9.6334499999999998"/>
    <n v="3217.44"/>
    <n v="1967.54"/>
    <n v="13576"/>
    <n v="1095"/>
    <n v="60.057502019931583"/>
    <n v="10.986026166521054"/>
    <n v="1"/>
    <n v="16412"/>
    <n v="676486"/>
    <n v="7716229"/>
    <n v="1307596"/>
    <n v="0"/>
    <s v="u=1%, k=2x10^8"/>
    <x v="14"/>
    <n v="0.16545301400000001"/>
    <n v="8.6959772750736839"/>
    <n v="0.24077055369473682"/>
    <n v="1.817375711126316"/>
    <n v="6.6449612626315796E-2"/>
    <n v="49.071475853410533"/>
  </r>
  <r>
    <s v="istree_exp6_rebuilding_time/step10196.txt"/>
    <s v="brown_ext_ist_lf_dis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125133863601E+18"/>
    <n v="1000002379"/>
    <n v="1.0000125133863601E+18"/>
    <n v="1000002379"/>
    <s v="success"/>
    <n v="7"/>
    <n v="87194628"/>
    <n v="1084271124"/>
    <n v="1171465752"/>
    <n v="1000002379"/>
    <n v="13.4351"/>
    <n v="0.92228100000000002"/>
    <n v="4.0054800000000004"/>
    <n v="24324146976"/>
    <s v="0 0 0 1379 14643"/>
    <s v="0 0 0 1379 14643"/>
    <m/>
    <n v="404418"/>
    <n v="1436562634966"/>
    <n v="5327017"/>
    <m/>
    <n v="23786808"/>
    <n v="788896450"/>
    <n v="1730849"/>
    <n v="1090195123"/>
    <n v="0"/>
    <n v="11013778"/>
    <n v="1090195123"/>
    <n v="1101208901"/>
    <n v="18169918"/>
    <n v="0"/>
    <n v="183562"/>
    <n v="18169918"/>
    <n v="18353481"/>
    <n v="22.0486"/>
    <n v="12.8926"/>
    <n v="3645.13"/>
    <n v="2915.95"/>
    <n v="59443"/>
    <n v="16200"/>
    <n v="59.856776456916663"/>
    <n v="3.4155880166666666E-2"/>
    <n v="0"/>
    <n v="0"/>
    <n v="0"/>
    <n v="1379"/>
    <n v="14643"/>
    <n v="0"/>
    <s v="u=1%, k=2x10^9"/>
    <x v="15"/>
    <n v="2.2195904166666665E-4"/>
    <n v="0"/>
    <n v="9.9111699999999991E-4"/>
    <n v="3.2870685416666663E-2"/>
    <n v="7.2118708333333329E-5"/>
    <n v="59.822620576749998"/>
  </r>
  <r>
    <s v="istree_exp6_rebuilding_time/step10197.txt"/>
    <s v="brown_ext_ist_lf_dis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84509925088E+17"/>
    <n v="999994828"/>
    <n v="9.99984509925088E+17"/>
    <n v="999994828"/>
    <s v="success"/>
    <n v="7"/>
    <n v="89406675"/>
    <n v="1088713627"/>
    <n v="1178120302"/>
    <n v="999994828"/>
    <n v="13.177099999999999"/>
    <n v="0.91851000000000005"/>
    <n v="4.0099600000000004"/>
    <n v="24572719808"/>
    <s v="0 0 0 7865 48800"/>
    <s v="0 0 0 7865 48800"/>
    <m/>
    <n v="180902"/>
    <n v="2873124905342"/>
    <n v="29713205"/>
    <m/>
    <n v="106784572"/>
    <n v="3202824398"/>
    <n v="11597892"/>
    <n v="1991426550"/>
    <n v="0"/>
    <n v="20123541"/>
    <n v="1991426550"/>
    <n v="2011550091"/>
    <n v="33190442"/>
    <n v="0"/>
    <n v="335392"/>
    <n v="33190442"/>
    <n v="33525834"/>
    <n v="21.992999999999999"/>
    <n v="12.9156"/>
    <n v="3990.74"/>
    <n v="3321.61"/>
    <n v="59813"/>
    <n v="12894"/>
    <n v="59.85676886129167"/>
    <n v="6.9810834729166674E-2"/>
    <n v="0"/>
    <n v="0"/>
    <n v="0"/>
    <n v="7865"/>
    <n v="48800"/>
    <n v="0"/>
    <s v="u=1%, k=2x10^9"/>
    <x v="15"/>
    <n v="6.1902510416666666E-4"/>
    <n v="0"/>
    <n v="2.2246785833333334E-3"/>
    <n v="6.6725508291666666E-2"/>
    <n v="2.4162275E-4"/>
    <n v="59.786958026562502"/>
  </r>
  <r>
    <s v="istree_exp6_rebuilding_time/step10198.txt"/>
    <s v="brown_ext_ist_lf_dis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1.00002709603194E+18"/>
    <n v="999999798"/>
    <n v="1.00002709603194E+18"/>
    <n v="999999798"/>
    <s v="success"/>
    <n v="7"/>
    <n v="95155570"/>
    <n v="1100314020"/>
    <n v="1195469590"/>
    <n v="999999798"/>
    <n v="12.5633"/>
    <n v="0.90883100000000006"/>
    <n v="4.0217099999999997"/>
    <n v="25220973232"/>
    <s v="0 0 0 86401 228222"/>
    <s v="0 0 0 86401 228222"/>
    <m/>
    <n v="99260"/>
    <n v="5746249845873"/>
    <n v="194841645"/>
    <m/>
    <n v="631185297"/>
    <n v="9058497818"/>
    <n v="95275090"/>
    <n v="4421461525"/>
    <n v="0"/>
    <n v="44668502"/>
    <n v="4421461525"/>
    <n v="4466130027"/>
    <n v="73691025"/>
    <n v="0"/>
    <n v="744475"/>
    <n v="73691025"/>
    <n v="74435500"/>
    <n v="22.039000000000001"/>
    <n v="13.757"/>
    <n v="3591.51"/>
    <n v="2872.63"/>
    <n v="60709"/>
    <n v="9665"/>
    <n v="59.856769227843749"/>
    <n v="0.1039562484375"/>
    <n v="0"/>
    <n v="0"/>
    <n v="0"/>
    <n v="86401"/>
    <n v="228222"/>
    <n v="0"/>
    <s v="u=1%, k=2x10^9"/>
    <x v="15"/>
    <n v="2.0296004687500001E-3"/>
    <n v="0"/>
    <n v="6.5748468437500001E-3"/>
    <n v="9.4359352270833322E-2"/>
    <n v="9.9244885416666681E-4"/>
    <n v="59.752812979406251"/>
  </r>
  <r>
    <s v="istree_exp6_rebuilding_time/step10199.txt"/>
    <s v="brown_ext_ist_lf_dis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9.9998735903638195E+17"/>
    <n v="1000000057"/>
    <n v="9.9998735903638195E+17"/>
    <n v="1000000057"/>
    <s v="success"/>
    <n v="7"/>
    <n v="100011550"/>
    <n v="1110185305"/>
    <n v="1210196855"/>
    <n v="1000000057"/>
    <n v="12.1006"/>
    <n v="0.90075099999999997"/>
    <n v="4.0317699999999999"/>
    <n v="25771218384"/>
    <s v="0 0 0 281093 489323"/>
    <s v="0 0 0 281093 489323"/>
    <m/>
    <n v="65778"/>
    <n v="8619374734283"/>
    <n v="521694253"/>
    <m/>
    <n v="1560523398"/>
    <n v="13203657290"/>
    <n v="305139992"/>
    <n v="6620847414"/>
    <n v="0"/>
    <n v="66885628"/>
    <n v="6620847414"/>
    <n v="6687733042"/>
    <n v="110347456"/>
    <n v="0"/>
    <n v="1114760"/>
    <n v="110347456"/>
    <n v="111462217"/>
    <n v="22.098199999999999"/>
    <n v="13.981"/>
    <n v="3596.75"/>
    <n v="2863.22"/>
    <n v="61560"/>
    <n v="9531"/>
    <n v="59.856768988076382"/>
    <n v="0.10827093703472222"/>
    <n v="0"/>
    <n v="0"/>
    <n v="0"/>
    <n v="281093"/>
    <n v="489323"/>
    <n v="0"/>
    <s v="u=1%, k=2x10^9"/>
    <x v="15"/>
    <n v="3.6228767569444448E-3"/>
    <n v="0"/>
    <n v="1.0836968041666666E-2"/>
    <n v="9.1692064513888893E-2"/>
    <n v="2.1190277222222225E-3"/>
    <n v="59.748498051041658"/>
  </r>
  <r>
    <s v="istree_exp6_rebuilding_time/step10200.txt"/>
    <s v="brown_ext_ist_lf_dis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0246542355E+18"/>
    <n v="999999939"/>
    <n v="1.00000246542355E+18"/>
    <n v="999999939"/>
    <s v="success"/>
    <n v="7"/>
    <n v="104140478"/>
    <n v="1118643515"/>
    <n v="1222783993"/>
    <n v="999999939"/>
    <n v="11.7417"/>
    <n v="0.89393999999999996"/>
    <n v="4.0404299999999997"/>
    <n v="26241121152"/>
    <s v="0 0 0 604488 793679"/>
    <s v="0 0 0 604488 793679"/>
    <m/>
    <n v="51146"/>
    <n v="11372785250338"/>
    <n v="1018007693"/>
    <m/>
    <n v="2991204716"/>
    <n v="15126376007"/>
    <n v="611443637"/>
    <n v="8643655635"/>
    <n v="0"/>
    <n v="87314546"/>
    <n v="8643655635"/>
    <n v="8730970181"/>
    <n v="144060927"/>
    <n v="0"/>
    <n v="1455242"/>
    <n v="144060927"/>
    <n v="145516169"/>
    <n v="22.182400000000001"/>
    <n v="14.1213"/>
    <n v="3633.42"/>
    <n v="2898.63"/>
    <n v="62234"/>
    <n v="9252"/>
    <n v="59.856764475463159"/>
    <n v="0.10393174764736843"/>
    <n v="0"/>
    <n v="0"/>
    <n v="0"/>
    <n v="604488"/>
    <n v="793679"/>
    <n v="0"/>
    <s v="u=1%, k=2x10^9"/>
    <x v="15"/>
    <n v="5.3579352263157893E-3"/>
    <n v="0"/>
    <n v="1.5743182715789474E-2"/>
    <n v="7.9612505299999997E-2"/>
    <n v="3.2181244052631583E-3"/>
    <n v="59.752832727815793"/>
  </r>
  <r>
    <s v="istree_exp6_rebuilding_time/step10201.txt"/>
    <s v="brown_ext_ist_lf_dis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971524667"/>
    <n v="998830"/>
    <n v="998971524667"/>
    <n v="998830"/>
    <s v="success"/>
    <n v="6"/>
    <n v="33009"/>
    <n v="1030843"/>
    <n v="1063852"/>
    <n v="998830"/>
    <n v="32.229100000000003"/>
    <n v="0.96894499999999995"/>
    <n v="3.0000100000000001"/>
    <n v="19134192"/>
    <s v="746 503469 7233888 8106773"/>
    <s v="560 502656 7233113 8106703"/>
    <m/>
    <n v="1060312"/>
    <n v="1437460367644"/>
    <n v="24868143868"/>
    <n v="432695319680"/>
    <n v="30042175551"/>
    <n v="11829204870"/>
    <n v="12635340291"/>
    <n v="2519673350"/>
    <n v="0"/>
    <n v="279963495"/>
    <n v="2519673350"/>
    <n v="2799636845"/>
    <n v="41994555"/>
    <n v="0"/>
    <n v="4666058"/>
    <n v="41994555"/>
    <n v="46660614"/>
    <n v="9.8558800000000009"/>
    <n v="0.38563399999999998"/>
    <n v="1429.95"/>
    <n v="339.33600000000001"/>
    <n v="1667"/>
    <n v="28"/>
    <n v="59.894181985166661"/>
    <n v="21.336257677500001"/>
    <n v="560"/>
    <n v="502656"/>
    <n v="7233113"/>
    <n v="8106703"/>
    <n v="0"/>
    <n v="0"/>
    <s v="u=10%, k=2x10^6"/>
    <x v="16"/>
    <n v="1.0361726611666666"/>
    <n v="18.028971653333333"/>
    <n v="1.2517573146250001"/>
    <n v="0.49288353624999998"/>
    <n v="0.52647251212500001"/>
    <n v="38.55792430766666"/>
  </r>
  <r>
    <s v="istree_exp6_rebuilding_time/step10202.txt"/>
    <s v="brown_ext_ist_lf_dis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881111638"/>
    <n v="1000504"/>
    <n v="1000881111638"/>
    <n v="1000504"/>
    <s v="success"/>
    <n v="7"/>
    <n v="64446"/>
    <n v="1098010"/>
    <n v="1162456"/>
    <n v="1000504"/>
    <n v="18.037700000000001"/>
    <n v="0.91119799999999995"/>
    <n v="3.0682100000000001"/>
    <n v="22783248"/>
    <s v="897 608628 5781071 8391193"/>
    <s v="616 608067 5779087 8391044"/>
    <m/>
    <n v="291414"/>
    <n v="2873124624627"/>
    <n v="44332789163"/>
    <n v="1439157703297"/>
    <n v="50263066542"/>
    <n v="21735012233"/>
    <n v="21479501534"/>
    <n v="2774958093"/>
    <n v="0"/>
    <n v="308338082"/>
    <n v="2774958093"/>
    <n v="3083296175"/>
    <n v="46249301"/>
    <n v="0"/>
    <n v="5138968"/>
    <n v="46249301"/>
    <n v="51388269"/>
    <n v="9.8473500000000005"/>
    <n v="0.47528599999999999"/>
    <n v="2587.06"/>
    <n v="504.93799999999999"/>
    <n v="2121"/>
    <n v="72"/>
    <n v="59.856763013062498"/>
    <n v="32.853501516020835"/>
    <n v="616"/>
    <n v="608067"/>
    <n v="5779087"/>
    <n v="8391044"/>
    <n v="0"/>
    <n v="0"/>
    <s v="u=10%, k=2x10^6"/>
    <x v="16"/>
    <n v="0.92359977422916673"/>
    <n v="29.98245215202083"/>
    <n v="1.047147219625"/>
    <n v="0.45281275485416667"/>
    <n v="0.4474896152916667"/>
    <n v="27.00326149704167"/>
  </r>
  <r>
    <s v="istree_exp6_rebuilding_time/step10203.txt"/>
    <s v="brown_ext_ist_lf_dis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1001081784793"/>
    <n v="1000715"/>
    <n v="1001081784793"/>
    <n v="1000715"/>
    <s v="success"/>
    <n v="6"/>
    <n v="33064"/>
    <n v="1032799"/>
    <n v="1065863"/>
    <n v="1000715"/>
    <n v="32.236400000000003"/>
    <n v="0.96893499999999999"/>
    <n v="3.0000599999999999"/>
    <n v="19169888"/>
    <s v="1178 1081487 1872914 7955450"/>
    <s v="689 1075553 1869879 7955075"/>
    <m/>
    <n v="85236"/>
    <n v="5752439389833"/>
    <n v="105913443844"/>
    <n v="3808154334685"/>
    <n v="80635989166"/>
    <n v="51001491015"/>
    <n v="25816638928"/>
    <n v="3098614363"/>
    <n v="0"/>
    <n v="344310568"/>
    <n v="3098614363"/>
    <n v="3442924931"/>
    <n v="51643572"/>
    <n v="0"/>
    <n v="5738509"/>
    <n v="51643572"/>
    <n v="57382082"/>
    <n v="10.374599999999999"/>
    <n v="1.4915799999999999"/>
    <n v="4645.67"/>
    <n v="786.23"/>
    <n v="2866"/>
    <n v="157"/>
    <n v="59.921243644093749"/>
    <n v="42.411686433729166"/>
    <n v="689"/>
    <n v="1075553"/>
    <n v="1869879"/>
    <n v="7955075"/>
    <n v="0"/>
    <n v="0"/>
    <s v="u=10%, k=2x10^6"/>
    <x v="16"/>
    <n v="1.1032650400416666"/>
    <n v="39.668274319635415"/>
    <n v="0.83995822047916668"/>
    <n v="0.53126553140624999"/>
    <n v="0.26892332216666665"/>
    <n v="17.509557210364584"/>
  </r>
  <r>
    <s v="istree_exp6_rebuilding_time/step10204.txt"/>
    <s v="brown_ext_ist_lf_dis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998915447025"/>
    <n v="999777"/>
    <n v="998915447025"/>
    <n v="999777"/>
    <s v="success"/>
    <n v="6"/>
    <n v="33043"/>
    <n v="1031844"/>
    <n v="1064887"/>
    <n v="999777"/>
    <n v="32.2273"/>
    <n v="0.96892299999999998"/>
    <n v="3.0000800000000001"/>
    <n v="19152928"/>
    <s v="1221 1967403 354621 5479686"/>
    <s v="675 1958055 353298 5479221"/>
    <m/>
    <n v="43688"/>
    <n v="8628254818760"/>
    <n v="155346699581"/>
    <n v="6155551325214"/>
    <n v="117056367029"/>
    <n v="366757008163"/>
    <n v="32208971956"/>
    <n v="3034804172"/>
    <n v="0"/>
    <n v="337191452"/>
    <n v="3034804172"/>
    <n v="3371995624"/>
    <n v="50580069"/>
    <n v="0"/>
    <n v="5619857"/>
    <n v="50580069"/>
    <n v="56199927"/>
    <n v="11.449"/>
    <n v="2.42441"/>
    <n v="7026.07"/>
    <n v="1006.62"/>
    <n v="3651"/>
    <n v="336"/>
    <n v="59.918436241388889"/>
    <n v="47.409169249604162"/>
    <n v="675"/>
    <n v="1958055"/>
    <n v="353298"/>
    <n v="5479221"/>
    <n v="0"/>
    <n v="0"/>
    <s v="u=10%, k=2x10^6"/>
    <x v="16"/>
    <n v="1.0787965248680556"/>
    <n v="42.746884202875002"/>
    <n v="0.81289143770138894"/>
    <n v="2.5469236677986111"/>
    <n v="0.2236734163611111"/>
    <n v="12.509266991784727"/>
  </r>
  <r>
    <s v="istree_exp6_rebuilding_time/step10205.txt"/>
    <s v="brown_ext_ist_lf_dis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962670999"/>
    <n v="1000048"/>
    <n v="999962670999"/>
    <n v="1000048"/>
    <s v="success"/>
    <n v="6"/>
    <n v="33082"/>
    <n v="1032170"/>
    <n v="1065252"/>
    <n v="1000048"/>
    <n v="32.200400000000002"/>
    <n v="0.96887900000000005"/>
    <n v="3.0000900000000001"/>
    <n v="19161264"/>
    <s v="1500 1975662 959357 7883939"/>
    <s v="841 1963768 955901 7883237"/>
    <m/>
    <n v="37766"/>
    <n v="11384498983660"/>
    <n v="202025877310"/>
    <n v="7817511189235"/>
    <n v="124397565862"/>
    <n v="855857350678"/>
    <n v="33954444162"/>
    <n v="3780065261"/>
    <n v="0"/>
    <n v="420043162"/>
    <n v="3780065261"/>
    <n v="4200108423"/>
    <n v="63001087"/>
    <n v="0"/>
    <n v="7000719"/>
    <n v="63001087"/>
    <n v="70001807"/>
    <n v="11.529"/>
    <n v="2.7733699999999999"/>
    <n v="7371.27"/>
    <n v="1131.69"/>
    <n v="3081"/>
    <n v="285"/>
    <n v="59.918415703473684"/>
    <n v="47.546033827615794"/>
    <n v="841"/>
    <n v="1963768"/>
    <n v="955901"/>
    <n v="7883237"/>
    <n v="0"/>
    <n v="0"/>
    <s v="u=10%, k=2x10^6"/>
    <x v="16"/>
    <n v="1.0632940911052631"/>
    <n v="41.144795732815787"/>
    <n v="0.65472403085263153"/>
    <n v="4.504512371989474"/>
    <n v="0.1787076008526316"/>
    <n v="12.372381875857897"/>
  </r>
  <r>
    <s v="istree_exp6_rebuilding_time/step10206.txt"/>
    <s v="brown_ext_ist_lf_dis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05087505812"/>
    <n v="10001478"/>
    <n v="100005087505812"/>
    <n v="10001478"/>
    <s v="success"/>
    <n v="7"/>
    <n v="1625787"/>
    <n v="11443816"/>
    <n v="13069603"/>
    <n v="10001478"/>
    <n v="8.0389400000000002"/>
    <n v="0.87396399999999996"/>
    <n v="4"/>
    <n v="313164000"/>
    <s v="32 67040 1925047 17556211 58447"/>
    <s v="24 66957 1925006 17556176 58447"/>
    <m/>
    <n v="427206"/>
    <n v="1458382886812"/>
    <n v="31755218995"/>
    <n v="480454981609"/>
    <n v="37724945515"/>
    <n v="24289164387"/>
    <n v="11726924946"/>
    <n v="1079917886"/>
    <n v="0"/>
    <n v="119999363"/>
    <n v="1079917886"/>
    <n v="1199917249"/>
    <n v="17998631"/>
    <n v="0"/>
    <n v="1999989"/>
    <n v="17998631"/>
    <n v="19998620"/>
    <n v="17.985299999999999"/>
    <n v="7.1616"/>
    <n v="3375.95"/>
    <n v="1440.26"/>
    <n v="3394"/>
    <n v="180"/>
    <n v="60.765953617166666"/>
    <n v="24.414634810500001"/>
    <n v="24"/>
    <n v="66957"/>
    <n v="1925006"/>
    <n v="17556176"/>
    <n v="58447"/>
    <n v="0"/>
    <s v="u=10%, k=2x10^7"/>
    <x v="17"/>
    <n v="1.3231341247916666"/>
    <n v="20.018957567041667"/>
    <n v="1.5718727297916668"/>
    <n v="1.0120485161249999"/>
    <n v="0.48862187275000002"/>
    <n v="36.351318806666669"/>
  </r>
  <r>
    <s v="istree_exp6_rebuilding_time/step10207.txt"/>
    <s v="brown_ext_ist_lf_dis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6503265938"/>
    <n v="10001033"/>
    <n v="99996503265938"/>
    <n v="10001033"/>
    <s v="success"/>
    <n v="7"/>
    <n v="1905638"/>
    <n v="12036392"/>
    <n v="13942030"/>
    <n v="10001033"/>
    <n v="7.3162000000000003"/>
    <n v="0.83089999999999997"/>
    <n v="4.0556000000000001"/>
    <n v="345075728"/>
    <s v="42 93237 2053600 21808394 71093"/>
    <s v="30 93192 2053486 21808302 71093"/>
    <m/>
    <n v="133302"/>
    <n v="2873123845761"/>
    <n v="51846892619"/>
    <n v="1410622494397"/>
    <n v="65771191132"/>
    <n v="61374501469"/>
    <n v="20335701808"/>
    <n v="1379664261"/>
    <n v="0"/>
    <n v="153283997"/>
    <n v="1379664261"/>
    <n v="1532948258"/>
    <n v="22994404"/>
    <n v="0"/>
    <n v="2554733"/>
    <n v="22994404"/>
    <n v="25549137"/>
    <n v="18.1219"/>
    <n v="7.3168600000000001"/>
    <n v="5198.1000000000004"/>
    <n v="1757.97"/>
    <n v="3848"/>
    <n v="171"/>
    <n v="59.856746786687502"/>
    <n v="33.540641279687499"/>
    <n v="30"/>
    <n v="93192"/>
    <n v="2053486"/>
    <n v="21808302"/>
    <n v="71093"/>
    <n v="0"/>
    <s v="u=10%, k=2x10^7"/>
    <x v="17"/>
    <n v="1.0801435962291668"/>
    <n v="29.387968633270834"/>
    <n v="1.3702331485833332"/>
    <n v="1.2786354472708334"/>
    <n v="0.42366045433333333"/>
    <n v="26.316105507000003"/>
  </r>
  <r>
    <s v="istree_exp6_rebuilding_time/step10208.txt"/>
    <s v="brown_ext_ist_lf_dis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21154699254"/>
    <n v="10001327"/>
    <n v="100021154699254"/>
    <n v="10001327"/>
    <s v="success"/>
    <n v="7"/>
    <n v="1744275"/>
    <n v="11683230"/>
    <n v="13427505"/>
    <n v="10001327"/>
    <n v="7.6980399999999998"/>
    <n v="0.85604100000000005"/>
    <n v="4.0236999999999998"/>
    <n v="326474256"/>
    <s v="61 113818 1661084 24691398 72235"/>
    <s v="36 113812 1660853 24691182 72235"/>
    <m/>
    <n v="47894"/>
    <n v="5746891342925"/>
    <n v="62397368648"/>
    <n v="3670116681797"/>
    <n v="79208535528"/>
    <n v="453259537784"/>
    <n v="24631925588"/>
    <n v="1625099555"/>
    <n v="0"/>
    <n v="180563396"/>
    <n v="1625099555"/>
    <n v="1805662951"/>
    <n v="27084992"/>
    <n v="0"/>
    <n v="3009389"/>
    <n v="27084992"/>
    <n v="30094382"/>
    <n v="18.273900000000001"/>
    <n v="7.6790399999999996"/>
    <n v="8310.9599999999991"/>
    <n v="1646.88"/>
    <n v="4475"/>
    <n v="394"/>
    <n v="59.863451488802077"/>
    <n v="44.683479680677088"/>
    <n v="36"/>
    <n v="113812"/>
    <n v="1660853"/>
    <n v="24691182"/>
    <n v="72235"/>
    <n v="0"/>
    <s v="u=10%, k=2x10^7"/>
    <x v="17"/>
    <n v="0.6499725900833333"/>
    <n v="38.230382102052083"/>
    <n v="0.82508891174999999"/>
    <n v="4.7214535185833331"/>
    <n v="0.25658255820833337"/>
    <n v="15.179971808124996"/>
  </r>
  <r>
    <s v="istree_exp6_rebuilding_time/step10209.txt"/>
    <s v="brown_ext_ist_lf_dis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14437181817"/>
    <n v="10001491"/>
    <n v="100014437181817"/>
    <n v="10001491"/>
    <s v="success"/>
    <n v="7"/>
    <n v="1759387"/>
    <n v="11715793"/>
    <n v="13475180"/>
    <n v="10001491"/>
    <n v="7.6590199999999999"/>
    <n v="0.85367599999999999"/>
    <n v="4.0267200000000001"/>
    <n v="328204784"/>
    <s v="61 110706 927087 23454876 58626"/>
    <s v="35 110694 926928 23454591 58626"/>
    <m/>
    <n v="26906"/>
    <n v="8625487050625"/>
    <n v="60374946362"/>
    <n v="5962394246930"/>
    <n v="77977345777"/>
    <n v="1063956061527"/>
    <n v="25225548428"/>
    <n v="1580790837"/>
    <n v="0"/>
    <n v="175658729"/>
    <n v="1580790837"/>
    <n v="1756449566"/>
    <n v="26346513"/>
    <n v="0"/>
    <n v="2927645"/>
    <n v="26346513"/>
    <n v="29274159"/>
    <n v="18.392900000000001"/>
    <n v="7.9800199999999997"/>
    <n v="12117"/>
    <n v="1635.54"/>
    <n v="4701"/>
    <n v="382"/>
    <n v="59.899215629340283"/>
    <n v="49.930056590444444"/>
    <n v="35"/>
    <n v="110694"/>
    <n v="926928"/>
    <n v="23454591"/>
    <n v="58626"/>
    <n v="0"/>
    <s v="u=10%, k=2x10^7"/>
    <x v="17"/>
    <n v="0.41927046084722225"/>
    <n v="41.405515603680556"/>
    <n v="0.54150934567361109"/>
    <n v="7.3885837606041669"/>
    <n v="0.17517741963888889"/>
    <n v="9.9691590388958389"/>
  </r>
  <r>
    <s v="istree_exp6_rebuilding_time/step10210.txt"/>
    <s v="brown_ext_ist_lf_dis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100003446081281"/>
    <n v="10000632"/>
    <n v="100003446081281"/>
    <n v="10000632"/>
    <s v="success"/>
    <n v="7"/>
    <n v="1625837"/>
    <n v="11443062"/>
    <n v="13068899"/>
    <n v="10000632"/>
    <n v="8.0382599999999993"/>
    <n v="0.87394700000000003"/>
    <n v="4.0000099999999996"/>
    <n v="313155936"/>
    <s v="64 117032 987102 24758881 61981"/>
    <s v="37 117024 986892 24758471 61981"/>
    <m/>
    <n v="20718"/>
    <n v="11426790891202"/>
    <n v="65636702103"/>
    <n v="7945645354952"/>
    <n v="83776943822"/>
    <n v="1780040392142"/>
    <n v="26349874278"/>
    <n v="1664369025"/>
    <n v="0"/>
    <n v="184959817"/>
    <n v="1664369025"/>
    <n v="1849328842"/>
    <n v="27739483"/>
    <n v="0"/>
    <n v="3082663"/>
    <n v="27739483"/>
    <n v="30822147"/>
    <n v="18.5016"/>
    <n v="8.1973099999999999"/>
    <n v="14590.7"/>
    <n v="1658.07"/>
    <n v="5129"/>
    <n v="254"/>
    <n v="60.141004690536839"/>
    <n v="52.11289088051052"/>
    <n v="37"/>
    <n v="117024"/>
    <n v="986892"/>
    <n v="24758471"/>
    <n v="61981"/>
    <n v="0"/>
    <s v="u=10%, k=2x10^7"/>
    <x v="17"/>
    <n v="0.34545632685789474"/>
    <n v="41.819186078694734"/>
    <n v="0.44093128327368425"/>
    <n v="9.3686336428526307"/>
    <n v="0.13868354883157896"/>
    <n v="8.0281138100263192"/>
  </r>
  <r>
    <s v="istree_exp6_rebuilding_time/step10211.txt"/>
    <s v="brown_ext_ist_lf_dis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9939875372640"/>
    <n v="99997457"/>
    <n v="9999939875372640"/>
    <n v="99997457"/>
    <s v="success"/>
    <n v="7"/>
    <n v="11010004"/>
    <n v="109997470"/>
    <n v="121007474"/>
    <n v="99997457"/>
    <n v="10.9907"/>
    <n v="0.90908900000000004"/>
    <n v="4"/>
    <n v="2640759824"/>
    <s v="2 12679 994519 8431953 1382695"/>
    <s v="2 12671 994517 8431952 1382695"/>
    <m/>
    <n v="365694"/>
    <n v="1472863002980"/>
    <n v="24246324483"/>
    <n v="445478155641"/>
    <n v="31668177309"/>
    <n v="30640793403"/>
    <n v="10120893065"/>
    <n v="899695858"/>
    <n v="0"/>
    <n v="99967747"/>
    <n v="899695858"/>
    <n v="999663605"/>
    <n v="14994930"/>
    <n v="0"/>
    <n v="1666129"/>
    <n v="14994930"/>
    <n v="16661060"/>
    <n v="21.088999999999999"/>
    <n v="9.5813199999999998"/>
    <n v="4025.59"/>
    <n v="2029.49"/>
    <n v="9839"/>
    <n v="1563"/>
    <n v="61.36929179083333"/>
    <n v="22.589764329208332"/>
    <n v="2"/>
    <n v="12671"/>
    <n v="994517"/>
    <n v="8431952"/>
    <n v="1382695"/>
    <n v="0"/>
    <s v="u=10%, k=2x10^8"/>
    <x v="18"/>
    <n v="1.0102635201249999"/>
    <n v="18.561589818375001"/>
    <n v="1.3195073878750001"/>
    <n v="1.2766997251250001"/>
    <n v="0.42170387770833334"/>
    <n v="38.779527461624994"/>
  </r>
  <r>
    <s v="istree_exp6_rebuilding_time/step10212.txt"/>
    <s v="brown_ext_ist_lf_dis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916377322590"/>
    <n v="99999534"/>
    <n v="9999916377322590"/>
    <n v="99999534"/>
    <s v="success"/>
    <n v="7"/>
    <n v="11010016"/>
    <n v="109999562"/>
    <n v="121009578"/>
    <n v="99999534"/>
    <n v="10.9909"/>
    <n v="0.90908999999999995"/>
    <n v="4"/>
    <n v="2640794256"/>
    <s v="3 25737 1409842 12478984 2057767"/>
    <s v="3 25718 1409833 12478970 2057767"/>
    <m/>
    <n v="136174"/>
    <n v="3328235425580"/>
    <n v="57347611744"/>
    <n v="1399312719808"/>
    <n v="70302353247"/>
    <n v="181123222009"/>
    <n v="21064039109"/>
    <n v="1349986793"/>
    <n v="0"/>
    <n v="150012939"/>
    <n v="1349986793"/>
    <n v="1499999732"/>
    <n v="22499779"/>
    <n v="0"/>
    <n v="2500215"/>
    <n v="22499779"/>
    <n v="24999995"/>
    <n v="21.6053"/>
    <n v="9.8389500000000005"/>
    <n v="5924.31"/>
    <n v="2393.2800000000002"/>
    <n v="13305"/>
    <n v="1286"/>
    <n v="69.338238032916664"/>
    <n v="36.023957206604166"/>
    <n v="3"/>
    <n v="25718"/>
    <n v="1409833"/>
    <n v="12478970"/>
    <n v="2057767"/>
    <n v="0"/>
    <s v="u=10%, k=2x10^8"/>
    <x v="18"/>
    <n v="1.1947419113333333"/>
    <n v="29.152348329333336"/>
    <n v="1.4646323593124999"/>
    <n v="3.7734004585208329"/>
    <n v="0.43883414810416665"/>
    <n v="33.314280826312498"/>
  </r>
  <r>
    <s v="istree_exp6_rebuilding_time/step10213.txt"/>
    <s v="brown_ext_ist_lf_dis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225614139710"/>
    <n v="99993752"/>
    <n v="9999225614139710"/>
    <n v="99993752"/>
    <s v="success"/>
    <n v="7"/>
    <n v="14930477"/>
    <n v="118224669"/>
    <n v="133155146"/>
    <n v="99993752"/>
    <n v="8.9183500000000002"/>
    <n v="0.84579400000000005"/>
    <n v="4.0818700000000003"/>
    <n v="3090212224"/>
    <s v="5 29742 1202018 14067293 2443989"/>
    <s v="3 29739 1202008 14067280 2443988"/>
    <m/>
    <n v="43924"/>
    <n v="5754372403293"/>
    <n v="59801187228"/>
    <n v="2593198724257"/>
    <n v="73016836726"/>
    <n v="1086909530326"/>
    <n v="21005788492"/>
    <n v="1624166327"/>
    <n v="0"/>
    <n v="180466666"/>
    <n v="1624166327"/>
    <n v="1804632993"/>
    <n v="27069438"/>
    <n v="0"/>
    <n v="3007777"/>
    <n v="27069438"/>
    <n v="30077216"/>
    <n v="21.724"/>
    <n v="10.434699999999999"/>
    <n v="7374.65"/>
    <n v="2273.2800000000002"/>
    <n v="13243"/>
    <n v="1049"/>
    <n v="59.941379200968754"/>
    <n v="39.936792364885413"/>
    <n v="3"/>
    <n v="29739"/>
    <n v="1202008"/>
    <n v="14067280"/>
    <n v="2443988"/>
    <n v="0"/>
    <s v="u=10%, k=2x10^8"/>
    <x v="18"/>
    <n v="0.62292903362500007"/>
    <n v="27.012486711010414"/>
    <n v="0.76059204922916657"/>
    <n v="11.321974274229168"/>
    <n v="0.21881029679166666"/>
    <n v="20.004586836083341"/>
  </r>
  <r>
    <s v="istree_exp6_rebuilding_time/step10214.txt"/>
    <s v="brown_ext_ist_lf_dis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397654149E+16"/>
    <n v="100006958"/>
    <n v="1.0000397654149E+16"/>
    <n v="100006958"/>
    <s v="success"/>
    <n v="7"/>
    <n v="13133817"/>
    <n v="114369889"/>
    <n v="127503706"/>
    <n v="100006958"/>
    <n v="9.7080500000000001"/>
    <n v="0.874417"/>
    <n v="4.0418099999999999"/>
    <n v="2882791200"/>
    <s v="3 34182 1372277 15503943 2634677"/>
    <s v="3 34181 1372250 15503918 2634677"/>
    <m/>
    <n v="33174"/>
    <n v="8648297880920"/>
    <n v="66702200653"/>
    <n v="3978462294301"/>
    <n v="84328176972"/>
    <n v="2394082936766"/>
    <n v="22680648405"/>
    <n v="1757109878"/>
    <n v="0"/>
    <n v="195240214"/>
    <n v="1757109878"/>
    <n v="1952350092"/>
    <n v="29285164"/>
    <n v="0"/>
    <n v="3254003"/>
    <n v="29285164"/>
    <n v="32539168"/>
    <n v="21.904299999999999"/>
    <n v="10.770799999999999"/>
    <n v="9315.99"/>
    <n v="2307.62"/>
    <n v="14446"/>
    <n v="1010"/>
    <n v="60.057624173055551"/>
    <n v="45.460112896506949"/>
    <n v="3"/>
    <n v="34181"/>
    <n v="1372250"/>
    <n v="15503918"/>
    <n v="2634677"/>
    <n v="0"/>
    <s v="u=10%, k=2x10^8"/>
    <x v="18"/>
    <n v="0.4632097267569445"/>
    <n v="27.628210377090276"/>
    <n v="0.58561234008333329"/>
    <n v="16.625575949763888"/>
    <n v="0.1575045028125"/>
    <n v="14.597511276548609"/>
  </r>
  <r>
    <s v="istree_exp6_rebuilding_time/step10215.txt"/>
    <s v="brown_ext_ist_lf_dis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1.00004069732314E+16"/>
    <n v="100004814"/>
    <n v="1.00004069732314E+16"/>
    <n v="100004814"/>
    <s v="success"/>
    <n v="7"/>
    <n v="12205384"/>
    <n v="112412327"/>
    <n v="124617711"/>
    <n v="100004814"/>
    <n v="10.210100000000001"/>
    <n v="0.889625"/>
    <n v="4.0229299999999997"/>
    <n v="2776009024"/>
    <s v="4 37390 1369040 15502345 2641301"/>
    <s v="3 37389 1369017 15502319 2641299"/>
    <m/>
    <n v="27212"/>
    <n v="11434860743803"/>
    <n v="70817393471"/>
    <n v="4982520452138"/>
    <n v="90559823392"/>
    <n v="4093052580965"/>
    <n v="22711886705"/>
    <n v="1766248198"/>
    <n v="0"/>
    <n v="196249984"/>
    <n v="1766248198"/>
    <n v="1962498182"/>
    <n v="29437469"/>
    <n v="0"/>
    <n v="3270833"/>
    <n v="29437469"/>
    <n v="32708303"/>
    <n v="22.149699999999999"/>
    <n v="11.018000000000001"/>
    <n v="10898.7"/>
    <n v="2335.33"/>
    <n v="14783"/>
    <n v="1122"/>
    <n v="60.183477598963158"/>
    <n v="48.735063877215794"/>
    <n v="3"/>
    <n v="37389"/>
    <n v="1369017"/>
    <n v="15502319"/>
    <n v="2641299"/>
    <n v="0"/>
    <s v="u=10%, k=2x10^8"/>
    <x v="18"/>
    <n v="0.37272312353157894"/>
    <n v="26.223791853357895"/>
    <n v="0.47663064943157896"/>
    <n v="21.542382005078945"/>
    <n v="0.11953624581578948"/>
    <n v="11.448413721747372"/>
  </r>
  <r>
    <s v="istree_exp6_rebuilding_time/step10216.txt"/>
    <s v="brown_ext_ist_lf_dis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9271597468902E+17"/>
    <n v="1000000851"/>
    <n v="9.9999271597468902E+17"/>
    <n v="1000000851"/>
    <s v="success"/>
    <n v="7"/>
    <n v="107360503"/>
    <n v="1125273007"/>
    <n v="1232633510"/>
    <n v="1000000851"/>
    <n v="11.481299999999999"/>
    <n v="0.88867399999999996"/>
    <n v="4.0472599999999996"/>
    <n v="26609440800"/>
    <s v="0 0 0 1011561 1095802"/>
    <s v="0 0 0 1011561 1095802"/>
    <m/>
    <n v="387062"/>
    <n v="1436561753123"/>
    <n v="863513126"/>
    <m/>
    <n v="1754330819"/>
    <n v="2167639816"/>
    <n v="243449893"/>
    <n v="942224435"/>
    <n v="0"/>
    <n v="104706257"/>
    <n v="942224435"/>
    <n v="1046930692"/>
    <n v="15703740"/>
    <n v="0"/>
    <n v="1745104"/>
    <n v="15703740"/>
    <n v="17448844"/>
    <n v="22.9725"/>
    <n v="13.488099999999999"/>
    <n v="3827.83"/>
    <n v="3053.86"/>
    <n v="61793"/>
    <n v="16342"/>
    <n v="59.856739713458332"/>
    <n v="0.20953890225000002"/>
    <n v="0"/>
    <n v="0"/>
    <n v="0"/>
    <n v="1011561"/>
    <n v="1095802"/>
    <n v="0"/>
    <s v="u=10%, k=2x10^9"/>
    <x v="19"/>
    <n v="3.597971358333333E-2"/>
    <n v="0"/>
    <n v="7.3097117458333333E-2"/>
    <n v="9.0318325666666657E-2"/>
    <n v="1.0143745541666667E-2"/>
    <n v="59.647200811208329"/>
  </r>
  <r>
    <s v="istree_exp6_rebuilding_time/step10217.txt"/>
    <s v="brown_ext_ist_lf_dis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743107842E+18"/>
    <n v="1000003551"/>
    <n v="1.00001743107842E+18"/>
    <n v="1000003551"/>
    <s v="success"/>
    <n v="7"/>
    <n v="119357749"/>
    <n v="1150616643"/>
    <n v="1269974392"/>
    <n v="1000003551"/>
    <n v="10.6401"/>
    <n v="0.86910200000000004"/>
    <n v="4.0731200000000003"/>
    <n v="27995119616"/>
    <s v="0 0 0 4901135 2907038"/>
    <s v="0 0 0 4901135 2907038"/>
    <m/>
    <n v="171578"/>
    <n v="2873122371635"/>
    <n v="5159814327"/>
    <n v="1935"/>
    <n v="9123829768"/>
    <n v="8937032667"/>
    <n v="1746098849"/>
    <n v="1700449784"/>
    <n v="0"/>
    <n v="188910749"/>
    <n v="1700449784"/>
    <n v="1889360533"/>
    <n v="28340829"/>
    <n v="0"/>
    <n v="3148512"/>
    <n v="28340829"/>
    <n v="31489342"/>
    <n v="23.1249"/>
    <n v="13.691000000000001"/>
    <n v="4241.1899999999996"/>
    <n v="3532.5"/>
    <n v="63668"/>
    <n v="12477"/>
    <n v="59.856716075729167"/>
    <n v="0.52014119887499999"/>
    <n v="0"/>
    <n v="0"/>
    <n v="0"/>
    <n v="4901135"/>
    <n v="2907038"/>
    <n v="0"/>
    <s v="u=10%, k=2x10^9"/>
    <x v="19"/>
    <n v="0.10749613181250001"/>
    <n v="4.0312500000000004E-8"/>
    <n v="0.19007978683333335"/>
    <n v="0.1861881805625"/>
    <n v="3.6377059354166665E-2"/>
    <n v="59.336574876854165"/>
  </r>
  <r>
    <s v="istree_exp6_rebuilding_time/step10218.txt"/>
    <s v="brown_ext_ist_lf_dis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1.00002294217712E+18"/>
    <n v="1000020505"/>
    <n v="1.00002294217712E+18"/>
    <n v="1000020505"/>
    <s v="success"/>
    <n v="7"/>
    <n v="126236313"/>
    <n v="1167283740"/>
    <n v="1293520053"/>
    <n v="1000020505"/>
    <n v="10.2468"/>
    <n v="0.856707"/>
    <n v="4.08927"/>
    <n v="28840012432"/>
    <s v="0 0 458438 25874938 7903168"/>
    <s v="0 0 458437 25874936 7903168"/>
    <m/>
    <n v="90408"/>
    <n v="5746243980191"/>
    <n v="32845881143"/>
    <n v="132797"/>
    <n v="46057605206"/>
    <n v="40851226553"/>
    <n v="11020666798"/>
    <n v="3605670030"/>
    <n v="0"/>
    <n v="400649057"/>
    <n v="3605670030"/>
    <n v="4006319087"/>
    <n v="60094500"/>
    <n v="0"/>
    <n v="6677484"/>
    <n v="60094500"/>
    <n v="66771984"/>
    <n v="23.6142"/>
    <n v="14.6927"/>
    <n v="3996.83"/>
    <n v="3226.35"/>
    <n v="66648"/>
    <n v="9909"/>
    <n v="59.856708126989588"/>
    <n v="1.36224492184375"/>
    <n v="0"/>
    <n v="0"/>
    <n v="458437"/>
    <n v="25874936"/>
    <n v="7903168"/>
    <n v="0"/>
    <s v="u=10%, k=2x10^9"/>
    <x v="19"/>
    <n v="0.34214459523958335"/>
    <n v="1.3833020833333335E-6"/>
    <n v="0.47976672089583333"/>
    <n v="0.42553360992708328"/>
    <n v="0.11479861247916667"/>
    <n v="58.494463205145841"/>
  </r>
  <r>
    <s v="istree_exp6_rebuilding_time/step10220.txt"/>
    <s v="brown_ext_ist_lf_dis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2824947297E+18"/>
    <n v="1000028809"/>
    <n v="1.00002824947297E+18"/>
    <n v="1000028809"/>
    <s v="success"/>
    <n v="7"/>
    <n v="84467750"/>
    <n v="1078835912"/>
    <n v="1163303662"/>
    <n v="1000028809"/>
    <n v="13.7722"/>
    <n v="0.926952"/>
    <n v="4"/>
    <n v="24018794576"/>
    <s v="1 31592 2148663 33461458 9430560"/>
    <s v="1 31591 2148658 33461448 9430560"/>
    <m/>
    <n v="28370"/>
    <n v="20658498222650"/>
    <n v="237054160896"/>
    <n v="12703335193255"/>
    <n v="236851219025"/>
    <n v="157104776661"/>
    <n v="87688730431"/>
    <n v="4499922141"/>
    <n v="0"/>
    <n v="499985401"/>
    <n v="4499922141"/>
    <n v="4999907542"/>
    <n v="74998702"/>
    <n v="0"/>
    <n v="8333090"/>
    <n v="74998702"/>
    <n v="83331792"/>
    <n v="25.125399999999999"/>
    <n v="15.988799999999999"/>
    <n v="11496.2"/>
    <n v="3540.49"/>
    <n v="105927"/>
    <n v="9105"/>
    <n v="108.72893801394737"/>
    <n v="70.642284632989472"/>
    <n v="1"/>
    <n v="31591"/>
    <n v="2148658"/>
    <n v="33461448"/>
    <n v="9430560"/>
    <n v="0"/>
    <s v="u=10%, k=2x10^9"/>
    <x v="19"/>
    <n v="1.2476534784"/>
    <n v="66.859658911868422"/>
    <n v="1.2465853632894737"/>
    <n v="0.82686724558421043"/>
    <n v="0.46151963384736838"/>
    <n v="38.086653380957898"/>
  </r>
  <r>
    <s v="istree_exp6_rebuilding_time/step10221.txt"/>
    <s v="brown_ext_ist_lf_dis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999732594353"/>
    <n v="1000040"/>
    <n v="999732594353"/>
    <n v="1000040"/>
    <s v="success"/>
    <n v="6"/>
    <n v="37164"/>
    <n v="1040358"/>
    <n v="1077522"/>
    <n v="1000040"/>
    <n v="28.9937"/>
    <n v="0.96124600000000004"/>
    <n v="3.0083199999999999"/>
    <n v="19619472"/>
    <s v="1972 904292 12995700 14566090"/>
    <s v="1006 900641 12992168 14565716"/>
    <m/>
    <n v="513028"/>
    <n v="1436566631784"/>
    <n v="45455977176"/>
    <n v="751243020295"/>
    <n v="51145316031"/>
    <n v="18195372396"/>
    <n v="22356607845"/>
    <n v="754460823"/>
    <n v="0"/>
    <n v="502991280"/>
    <n v="754460823"/>
    <n v="1257452103"/>
    <n v="12574347"/>
    <n v="0"/>
    <n v="8383188"/>
    <n v="12574347"/>
    <n v="20957535"/>
    <n v="14.834099999999999"/>
    <n v="1.2200599999999999"/>
    <n v="3177.17"/>
    <n v="589.34799999999996"/>
    <n v="1762"/>
    <n v="27"/>
    <n v="59.856942991000004"/>
    <n v="37.016512239291664"/>
    <n v="1006"/>
    <n v="900641"/>
    <n v="12992168"/>
    <n v="14565716"/>
    <n v="0"/>
    <n v="0"/>
    <s v="u=40%, k=2x10^6"/>
    <x v="20"/>
    <n v="1.8939990489999998"/>
    <n v="31.301792512291666"/>
    <n v="2.131054834625"/>
    <n v="0.75814051650000003"/>
    <n v="0.931525326875"/>
    <n v="22.840430751708347"/>
  </r>
  <r>
    <s v="istree_exp6_rebuilding_time/step10222.txt"/>
    <s v="brown_ext_ist_lf_dis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9114668191"/>
    <n v="999004"/>
    <n v="999114668191"/>
    <n v="999004"/>
    <s v="success"/>
    <n v="6"/>
    <n v="33013"/>
    <n v="1031023"/>
    <n v="1064036"/>
    <n v="999004"/>
    <n v="32.230800000000002"/>
    <n v="0.96894400000000003"/>
    <n v="3.0000200000000001"/>
    <n v="19137392"/>
    <s v="2256 890695 8451346 12261601"/>
    <s v="902 888607 8444952 12261001"/>
    <m/>
    <n v="119604"/>
    <n v="2873557368188"/>
    <n v="69698914522"/>
    <n v="2044947365350"/>
    <n v="70870267099"/>
    <n v="30124321564"/>
    <n v="30738675882"/>
    <n v="676411981"/>
    <n v="0"/>
    <n v="450976782"/>
    <n v="676411981"/>
    <n v="1127388763"/>
    <n v="11273533"/>
    <n v="0"/>
    <n v="7516279"/>
    <n v="11273533"/>
    <n v="18789812"/>
    <n v="14.9109"/>
    <n v="1.62504"/>
    <n v="7091.88"/>
    <n v="988.21"/>
    <n v="2260"/>
    <n v="30"/>
    <n v="59.865778503916665"/>
    <n v="46.799573842020834"/>
    <n v="902"/>
    <n v="888607"/>
    <n v="8444952"/>
    <n v="12261001"/>
    <n v="0"/>
    <n v="0"/>
    <s v="u=40%, k=2x10^6"/>
    <x v="20"/>
    <n v="1.4520607192083332"/>
    <n v="42.603070111458329"/>
    <n v="1.4764638978958333"/>
    <n v="0.62759003258333335"/>
    <n v="0.64038908087500002"/>
    <n v="13.066204661895831"/>
  </r>
  <r>
    <s v="istree_exp6_rebuilding_time/step10223.txt"/>
    <s v="brown_ext_ist_lf_dis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62405004"/>
    <n v="999585"/>
    <n v="999662405004"/>
    <n v="999585"/>
    <s v="success"/>
    <n v="6"/>
    <n v="53625"/>
    <n v="1074318"/>
    <n v="1127943"/>
    <n v="999585"/>
    <n v="21.033899999999999"/>
    <n v="0.93043699999999996"/>
    <n v="3.04339"/>
    <n v="21503024"/>
    <s v="1872 1195957 2069789 8790204"/>
    <s v="761 1184521 2064179 8789461"/>
    <m/>
    <n v="33016"/>
    <n v="5746289208138"/>
    <n v="134044382397"/>
    <n v="4420394437597"/>
    <n v="91419379093"/>
    <n v="296102125783"/>
    <n v="28412828217"/>
    <n v="570970890"/>
    <n v="0"/>
    <n v="380594893"/>
    <n v="570970890"/>
    <n v="951565783"/>
    <n v="9516181"/>
    <n v="0"/>
    <n v="6343248"/>
    <n v="9516181"/>
    <n v="15859429"/>
    <n v="17.2224"/>
    <n v="5.5101599999999999"/>
    <n v="16583.400000000001"/>
    <n v="2185.1799999999998"/>
    <n v="2965"/>
    <n v="187"/>
    <n v="59.857179251437493"/>
    <n v="51.774720344656252"/>
    <n v="761"/>
    <n v="1184521"/>
    <n v="2064179"/>
    <n v="8789461"/>
    <n v="0"/>
    <n v="0"/>
    <s v="u=40%, k=2x10^6"/>
    <x v="20"/>
    <n v="1.39629564996875"/>
    <n v="46.045775391635424"/>
    <n v="0.95228519888541674"/>
    <n v="3.0843971435729167"/>
    <n v="0.29596696059374999"/>
    <n v="8.082458906781234"/>
  </r>
  <r>
    <s v="istree_exp6_rebuilding_time/step10224.txt"/>
    <s v="brown_ext_ist_lf_dis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0858312061"/>
    <n v="1000917"/>
    <n v="1000858312061"/>
    <n v="1000917"/>
    <s v="success"/>
    <n v="6"/>
    <n v="51616"/>
    <n v="1070430"/>
    <n v="1122046"/>
    <n v="1000917"/>
    <n v="21.738299999999999"/>
    <n v="0.93506100000000003"/>
    <n v="3.0386500000000001"/>
    <n v="21272704"/>
    <s v="1794 2065094 371339 5740191"/>
    <s v="707 2049022 369229 5739522"/>
    <m/>
    <n v="16354"/>
    <n v="8619450857154"/>
    <n v="190651352077"/>
    <n v="6703737424672"/>
    <n v="125324443594"/>
    <n v="740081584200"/>
    <n v="32653323170"/>
    <n v="530406397"/>
    <n v="0"/>
    <n v="353565151"/>
    <n v="530406397"/>
    <n v="883971548"/>
    <n v="8840106"/>
    <n v="0"/>
    <n v="5892752"/>
    <n v="8840106"/>
    <n v="14732859"/>
    <n v="20.720400000000001"/>
    <n v="8.8300999999999998"/>
    <n v="26076.2"/>
    <n v="2930.15"/>
    <n v="3685"/>
    <n v="341"/>
    <n v="59.857297619124992"/>
    <n v="54.114223109118058"/>
    <n v="707"/>
    <n v="2049022"/>
    <n v="369229"/>
    <n v="5739522"/>
    <n v="0"/>
    <n v="0"/>
    <s v="u=40%, k=2x10^6"/>
    <x v="20"/>
    <n v="1.3239677227569446"/>
    <n v="46.553732115777777"/>
    <n v="0.87030863606944442"/>
    <n v="5.1394554458333328"/>
    <n v="0.22675918868055556"/>
    <n v="5.7430745100069345"/>
  </r>
  <r>
    <s v="istree_exp6_rebuilding_time/step10225.txt"/>
    <s v="brown_ext_ist_lf_dis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1000032891128"/>
    <n v="999707"/>
    <n v="1000032891128"/>
    <n v="999707"/>
    <s v="success"/>
    <n v="6"/>
    <n v="33053"/>
    <n v="1031807"/>
    <n v="1064860"/>
    <n v="999707"/>
    <n v="32.216700000000003"/>
    <n v="0.96889000000000003"/>
    <n v="3.0001000000000002"/>
    <n v="19153136"/>
    <s v="1429 1656160 805045 6610386"/>
    <s v="705 1645191 800620 6609418"/>
    <m/>
    <n v="10508"/>
    <n v="11374054234591"/>
    <n v="200115688398"/>
    <n v="9047524743522"/>
    <n v="119033070882"/>
    <n v="1076215448147"/>
    <n v="29402167572"/>
    <n v="528101058"/>
    <n v="0"/>
    <n v="352085960"/>
    <n v="528101058"/>
    <n v="880187018"/>
    <n v="8801684"/>
    <n v="0"/>
    <n v="5868099"/>
    <n v="8801684"/>
    <n v="14669783"/>
    <n v="20.805399999999999"/>
    <n v="9.6408799999999992"/>
    <n v="34487.800000000003"/>
    <n v="3464.91"/>
    <n v="4029"/>
    <n v="286"/>
    <n v="59.863443339952632"/>
    <n v="55.117321676426315"/>
    <n v="705"/>
    <n v="1645191"/>
    <n v="800620"/>
    <n v="6609418"/>
    <n v="0"/>
    <n v="0"/>
    <s v="u=40%, k=2x10^6"/>
    <x v="20"/>
    <n v="1.0532404652526315"/>
    <n v="47.618551281694742"/>
    <n v="0.62648984674736841"/>
    <n v="5.6642918323526317"/>
    <n v="0.15474825037894738"/>
    <n v="4.746121663526317"/>
  </r>
  <r>
    <s v="istree_exp6_rebuilding_time/step10226.txt"/>
    <s v="brown_ext_ist_lf_dis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56217637499"/>
    <n v="9997966"/>
    <n v="99956217637499"/>
    <n v="9997966"/>
    <s v="success"/>
    <n v="7"/>
    <n v="1874392"/>
    <n v="11957566"/>
    <n v="13831958"/>
    <n v="9997966"/>
    <n v="7.3794399999999998"/>
    <n v="0.83611999999999997"/>
    <n v="4.04983"/>
    <n v="341286704"/>
    <s v="65 114769 3286341 30206626 101520"/>
    <s v="41 114518 3286173 30206483 101520"/>
    <m/>
    <n v="198300"/>
    <n v="1436561391769"/>
    <n v="52281043734"/>
    <n v="817763672996"/>
    <n v="62700538263"/>
    <n v="54405094120"/>
    <n v="19594012421"/>
    <n v="310434075"/>
    <n v="0"/>
    <n v="206922345"/>
    <n v="310434075"/>
    <n v="517356420"/>
    <n v="5173901"/>
    <n v="0"/>
    <n v="3448705"/>
    <n v="5173901"/>
    <n v="8622607"/>
    <n v="24.185400000000001"/>
    <n v="10.442"/>
    <n v="7656.53"/>
    <n v="1940.5"/>
    <n v="3995"/>
    <n v="155"/>
    <n v="59.856724657041667"/>
    <n v="41.947681730583334"/>
    <n v="41"/>
    <n v="114518"/>
    <n v="3286173"/>
    <n v="30206483"/>
    <n v="101520"/>
    <n v="0"/>
    <s v="u=40%, k=2x10^7"/>
    <x v="21"/>
    <n v="2.1783768222500002"/>
    <n v="34.07348637483333"/>
    <n v="2.6125224276250001"/>
    <n v="2.2668789216666667"/>
    <n v="0.81641718420833331"/>
    <n v="17.909042926458334"/>
  </r>
  <r>
    <s v="istree_exp6_rebuilding_time/step10227.txt"/>
    <s v="brown_ext_ist_lf_dis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87160673720"/>
    <n v="9999281"/>
    <n v="99987160673720"/>
    <n v="9999281"/>
    <s v="success"/>
    <n v="7"/>
    <n v="1760955"/>
    <n v="11735642"/>
    <n v="13496597"/>
    <n v="9999281"/>
    <n v="7.6643600000000003"/>
    <n v="0.85204400000000002"/>
    <n v="4.0261300000000002"/>
    <n v="328669632"/>
    <s v="80 132100 2919722 30550912 99664"/>
    <s v="42 131922 2919422 30550579 99664"/>
    <m/>
    <n v="55392"/>
    <n v="2873200517143"/>
    <n v="70011119796"/>
    <n v="2011401947279"/>
    <n v="87680567214"/>
    <n v="150758710529"/>
    <n v="26989430739"/>
    <n v="321835075"/>
    <n v="0"/>
    <n v="214562376"/>
    <n v="321835075"/>
    <n v="536397451"/>
    <n v="5363917"/>
    <n v="0"/>
    <n v="3576039"/>
    <n v="5363917"/>
    <n v="8939957"/>
    <n v="24.799199999999999"/>
    <n v="10.996600000000001"/>
    <n v="14572.4"/>
    <n v="2486.87"/>
    <n v="4378"/>
    <n v="172"/>
    <n v="59.858344107145832"/>
    <n v="48.892536990770829"/>
    <n v="42"/>
    <n v="131922"/>
    <n v="2919422"/>
    <n v="30550579"/>
    <n v="99664"/>
    <n v="0"/>
    <s v="u=40%, k=2x10^7"/>
    <x v="21"/>
    <n v="1.45856499575"/>
    <n v="41.904207234979168"/>
    <n v="1.8266784836250001"/>
    <n v="3.1408064693541671"/>
    <n v="0.56227980706250003"/>
    <n v="10.96580711637499"/>
  </r>
  <r>
    <s v="istree_exp6_rebuilding_time/step10228.txt"/>
    <s v="brown_ext_ist_lf_dis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100009686859012"/>
    <n v="10001621"/>
    <n v="100009686859012"/>
    <n v="10001621"/>
    <s v="success"/>
    <n v="7"/>
    <n v="1863329"/>
    <n v="11952067"/>
    <n v="13815396"/>
    <n v="10001621"/>
    <n v="7.4143600000000003"/>
    <n v="0.83681099999999997"/>
    <n v="4.0467700000000004"/>
    <n v="340341936"/>
    <s v="102 120563 1783244 26593360 77700"/>
    <s v="38 120551 1783000 26592851 77699"/>
    <m/>
    <n v="26342"/>
    <n v="5747409095842"/>
    <n v="64330852930"/>
    <n v="4037676650955"/>
    <n v="85694667326"/>
    <n v="1012647747356"/>
    <n v="26074763227"/>
    <n v="290508162"/>
    <n v="0"/>
    <n v="193665394"/>
    <n v="290508162"/>
    <n v="484173556"/>
    <n v="4841802"/>
    <n v="0"/>
    <n v="3227756"/>
    <n v="4841802"/>
    <n v="8069559"/>
    <n v="25.5562"/>
    <n v="12.494199999999999"/>
    <n v="27916.3"/>
    <n v="2621.44"/>
    <n v="4629"/>
    <n v="214"/>
    <n v="59.868844748354171"/>
    <n v="54.441923768687502"/>
    <n v="38"/>
    <n v="120551"/>
    <n v="1783000"/>
    <n v="26592851"/>
    <n v="77699"/>
    <n v="0"/>
    <s v="u=40%, k=2x10^7"/>
    <x v="21"/>
    <n v="0.67011305135416677"/>
    <n v="42.05913178078125"/>
    <n v="0.89265278464583331"/>
    <n v="10.548414034958332"/>
    <n v="0.27161211694791665"/>
    <n v="5.4269209796666757"/>
  </r>
  <r>
    <s v="istree_exp6_rebuilding_time/step10229.txt"/>
    <s v="brown_ext_ist_lf_dis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32977638341"/>
    <n v="10004004"/>
    <n v="100032977638341"/>
    <n v="10004004"/>
    <s v="success"/>
    <n v="7"/>
    <n v="1625822"/>
    <n v="11446413"/>
    <n v="13072235"/>
    <n v="10004004"/>
    <n v="8.0403900000000004"/>
    <n v="0.87398600000000004"/>
    <n v="4.0000099999999996"/>
    <n v="313208352"/>
    <s v="86 117034 979069 24754312 62125"/>
    <s v="37 117024 978793 24753709 62125"/>
    <m/>
    <n v="16160"/>
    <n v="8712574099146"/>
    <n v="59829135896"/>
    <n v="6320651547173"/>
    <n v="80821458165"/>
    <n v="1714254812887"/>
    <n v="25857417838"/>
    <n v="277480800"/>
    <n v="0"/>
    <n v="184980125"/>
    <n v="277480800"/>
    <n v="462460925"/>
    <n v="4624680"/>
    <n v="0"/>
    <n v="3083002"/>
    <n v="4624680"/>
    <n v="7707682"/>
    <n v="25.8658"/>
    <n v="13.161799999999999"/>
    <n v="42500.6"/>
    <n v="2718.16"/>
    <n v="5126"/>
    <n v="302"/>
    <n v="60.503986799625004"/>
    <n v="56.954266471937494"/>
    <n v="37"/>
    <n v="117024"/>
    <n v="978793"/>
    <n v="24753709"/>
    <n v="62125"/>
    <n v="0"/>
    <s v="u=40%, k=2x10^7"/>
    <x v="21"/>
    <n v="0.41548011038888888"/>
    <n v="43.89341352203472"/>
    <n v="0.56126012614583332"/>
    <n v="11.904547311715278"/>
    <n v="0.17956540165277779"/>
    <n v="3.5497203276875027"/>
  </r>
  <r>
    <s v="istree_exp6_rebuilding_time/step10230.txt"/>
    <s v="brown_ext_ist_lf_dis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99929557558923"/>
    <n v="9995279"/>
    <n v="99929557558923"/>
    <n v="9995279"/>
    <s v="success"/>
    <n v="7"/>
    <n v="1625313"/>
    <n v="11437242"/>
    <n v="13062555"/>
    <n v="9995279"/>
    <n v="8.0369499999999992"/>
    <n v="0.87392400000000003"/>
    <n v="4.0000099999999996"/>
    <n v="313020896"/>
    <s v="81 117041 988537 24756371 62275"/>
    <s v="37 117025 988162 24755647 62274"/>
    <m/>
    <n v="11498"/>
    <n v="11493815510774"/>
    <n v="59636092652"/>
    <n v="8384550793871"/>
    <n v="84549534747"/>
    <n v="2421151516219"/>
    <n v="26027203697"/>
    <n v="277403916"/>
    <n v="0"/>
    <n v="184964323"/>
    <n v="277403916"/>
    <n v="462368239"/>
    <n v="4623398"/>
    <n v="0"/>
    <n v="3082738"/>
    <n v="4623398"/>
    <n v="7706137"/>
    <n v="26.1739"/>
    <n v="13.689299999999999"/>
    <n v="54698.1"/>
    <n v="2836.86"/>
    <n v="5555"/>
    <n v="392"/>
    <n v="60.493765846178952"/>
    <n v="57.767974427294739"/>
    <n v="37"/>
    <n v="117025"/>
    <n v="988162"/>
    <n v="24755647"/>
    <n v="62274"/>
    <n v="0"/>
    <s v="u=40%, k=2x10^7"/>
    <x v="21"/>
    <n v="0.31387417185263161"/>
    <n v="44.129214704584207"/>
    <n v="0.44499755129999996"/>
    <n v="12.742902716942105"/>
    <n v="0.13698528261578949"/>
    <n v="2.7257914188842207"/>
  </r>
  <r>
    <s v="istree_exp6_rebuilding_time/step10231.txt"/>
    <s v="brown_ext_ist_lf_dis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1.00009320444993E+16"/>
    <n v="100007642"/>
    <n v="1.00009320444993E+16"/>
    <n v="100007642"/>
    <s v="success"/>
    <n v="7"/>
    <n v="14356118"/>
    <n v="116896817"/>
    <n v="131252935"/>
    <n v="100007642"/>
    <n v="9.1426499999999997"/>
    <n v="0.85552099999999998"/>
    <n v="4.0661199999999997"/>
    <n v="3022556608"/>
    <s v="4 19136 1855055 16559109 2723403"/>
    <s v="3 19119 1855042 16559100 2723402"/>
    <m/>
    <n v="192504"/>
    <n v="1436561499760"/>
    <n v="41856670224"/>
    <n v="682624551583"/>
    <n v="53210088924"/>
    <n v="87020151481"/>
    <n v="16588924596"/>
    <n v="293735886"/>
    <n v="0"/>
    <n v="195838515"/>
    <n v="293735886"/>
    <n v="489574401"/>
    <n v="4895598"/>
    <n v="0"/>
    <n v="3263975"/>
    <n v="4895598"/>
    <n v="8159573"/>
    <n v="26.621200000000002"/>
    <n v="12.5215"/>
    <n v="7797.18"/>
    <n v="2685.65"/>
    <n v="12752"/>
    <n v="1532"/>
    <n v="59.856729156666667"/>
    <n v="36.720849450333333"/>
    <n v="3"/>
    <n v="19119"/>
    <n v="1855042"/>
    <n v="16559100"/>
    <n v="2723402"/>
    <n v="0"/>
    <s v="u=40%, k=2x10^8"/>
    <x v="22"/>
    <n v="1.744027926"/>
    <n v="28.442689649291665"/>
    <n v="2.2170870384999999"/>
    <n v="3.6258396450416668"/>
    <n v="0.69120519149999993"/>
    <n v="23.135879706333334"/>
  </r>
  <r>
    <s v="istree_exp6_rebuilding_time/step10232.txt"/>
    <s v="brown_ext_ist_lf_dis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064832660850"/>
    <n v="99993930"/>
    <n v="9999064832660850"/>
    <n v="99993930"/>
    <s v="success"/>
    <n v="7"/>
    <n v="11010013"/>
    <n v="109993950"/>
    <n v="121003963"/>
    <n v="99993930"/>
    <n v="10.990399999999999"/>
    <n v="0.90908599999999995"/>
    <n v="4"/>
    <n v="2640704224"/>
    <s v="5 34400 1879981 16638336 2739714"/>
    <s v="4 34378 1879950 16638302 2739713"/>
    <m/>
    <n v="54762"/>
    <n v="3223542134416"/>
    <n v="74811427047"/>
    <n v="1970907045617"/>
    <n v="90534277622"/>
    <n v="417538366667"/>
    <n v="27178854852"/>
    <n v="299965430"/>
    <n v="0"/>
    <n v="199997371"/>
    <n v="299965430"/>
    <n v="499962801"/>
    <n v="4999423"/>
    <n v="0"/>
    <n v="3333289"/>
    <n v="4999423"/>
    <n v="8332713"/>
    <n v="29.690799999999999"/>
    <n v="13.6447"/>
    <n v="16416.400000000001"/>
    <n v="3459.83"/>
    <n v="13307"/>
    <n v="1287"/>
    <n v="67.157127800333328"/>
    <n v="53.770207745937505"/>
    <n v="4"/>
    <n v="34378"/>
    <n v="1879950"/>
    <n v="16638302"/>
    <n v="2739713"/>
    <n v="0"/>
    <s v="u=40%, k=2x10^8"/>
    <x v="22"/>
    <n v="1.5585713968124999"/>
    <n v="41.060563450354167"/>
    <n v="1.8861307837916668"/>
    <n v="8.6987159722291665"/>
    <n v="0.56622614275000005"/>
    <n v="13.386920054395837"/>
  </r>
  <r>
    <s v="istree_exp6_rebuilding_time/step10233.txt"/>
    <s v="brown_ext_ist_lf_dis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1.00000796614659E+16"/>
    <n v="100000707"/>
    <n v="1.00000796614659E+16"/>
    <n v="100000707"/>
    <s v="success"/>
    <n v="7"/>
    <n v="11011129"/>
    <n v="110001759"/>
    <n v="121012888"/>
    <n v="100000707"/>
    <n v="10.9901"/>
    <n v="0.90908299999999997"/>
    <n v="4"/>
    <n v="2640918448"/>
    <s v="10 39684 1578411 15990485 2689902"/>
    <s v="4 39673 1578383 15990440 2689901"/>
    <m/>
    <n v="28434"/>
    <n v="6613105947496"/>
    <n v="76121165375"/>
    <n v="3716257620482"/>
    <n v="101265555588"/>
    <n v="2041701257086"/>
    <n v="26324769210"/>
    <n v="300000716"/>
    <n v="0"/>
    <n v="200015828"/>
    <n v="300000716"/>
    <n v="500016544"/>
    <n v="5000011"/>
    <n v="0"/>
    <n v="3333597"/>
    <n v="5000011"/>
    <n v="8333609"/>
    <n v="30.891999999999999"/>
    <n v="15.5067"/>
    <n v="26758.5"/>
    <n v="3362.36"/>
    <n v="13687"/>
    <n v="1137"/>
    <n v="68.886520286416669"/>
    <n v="62.100732997302082"/>
    <n v="4"/>
    <n v="39673"/>
    <n v="1578383"/>
    <n v="15990440"/>
    <n v="2689901"/>
    <n v="0"/>
    <s v="u=40%, k=2x10^8"/>
    <x v="22"/>
    <n v="0.79292880598958337"/>
    <n v="38.711016880020836"/>
    <n v="1.054849537375"/>
    <n v="21.267721427979165"/>
    <n v="0.27421634593749999"/>
    <n v="6.7857872891145803"/>
  </r>
  <r>
    <s v="istree_exp6_rebuilding_time/step10234.txt"/>
    <s v="brown_ext_ist_lf_dis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1167818966E+16"/>
    <n v="100004663"/>
    <n v="1.0001167818966E+16"/>
    <n v="100004663"/>
    <s v="success"/>
    <n v="7"/>
    <n v="11997972"/>
    <n v="111970295"/>
    <n v="123968267"/>
    <n v="100004663"/>
    <n v="10.3324"/>
    <n v="0.89313600000000004"/>
    <n v="4.0187400000000002"/>
    <n v="2752064736"/>
    <s v="5 38203 1395168 15567732 2645349"/>
    <s v="3 38198 1395133 15567669 2645343"/>
    <m/>
    <n v="18454"/>
    <n v="8709589686127"/>
    <n v="68036094215"/>
    <n v="4183243916420"/>
    <n v="99467082493"/>
    <n v="3677982643738"/>
    <n v="23173566762"/>
    <n v="295133717"/>
    <n v="0"/>
    <n v="196752759"/>
    <n v="295133717"/>
    <n v="491886476"/>
    <n v="4918895"/>
    <n v="0"/>
    <n v="3279212"/>
    <n v="4918895"/>
    <n v="8198107"/>
    <n v="30.505299999999998"/>
    <n v="15.849600000000001"/>
    <n v="29862.5"/>
    <n v="3262.33"/>
    <n v="17281"/>
    <n v="1076"/>
    <n v="60.48326170921527"/>
    <n v="55.915995164083334"/>
    <n v="3"/>
    <n v="38198"/>
    <n v="1395133"/>
    <n v="15567669"/>
    <n v="2645343"/>
    <n v="0"/>
    <s v="u=40%, k=2x10^8"/>
    <x v="22"/>
    <n v="0.47247287649305558"/>
    <n v="29.050304975138886"/>
    <n v="0.69074362842361114"/>
    <n v="25.541546137069446"/>
    <n v="0.16092754695833333"/>
    <n v="4.5672665451319432"/>
  </r>
  <r>
    <s v="istree_exp6_rebuilding_time/step10235.txt"/>
    <s v="brown_ext_ist_lf_dis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9999401162648810"/>
    <n v="99988785"/>
    <n v="9999401162648810"/>
    <n v="99988785"/>
    <s v="success"/>
    <n v="7"/>
    <n v="12229477"/>
    <n v="112448550"/>
    <n v="124678027"/>
    <n v="99988785"/>
    <n v="10.194900000000001"/>
    <n v="0.88919599999999999"/>
    <n v="4.0234399999999999"/>
    <n v="2778548848"/>
    <s v="5 37295 1368793 15503327 2641276"/>
    <s v="3 37294 1368743 15503270 2641274"/>
    <m/>
    <n v="15746"/>
    <n v="11443147260213"/>
    <n v="65559815387"/>
    <n v="5477640600605"/>
    <n v="98441928052"/>
    <n v="5097906900727"/>
    <n v="22912469709"/>
    <n v="294318807"/>
    <n v="0"/>
    <n v="196224515"/>
    <n v="294318807"/>
    <n v="490543322"/>
    <n v="4905313"/>
    <n v="0"/>
    <n v="3270408"/>
    <n v="4905313"/>
    <n v="8175722"/>
    <n v="30.800999999999998"/>
    <n v="16.3094"/>
    <n v="36937.800000000003"/>
    <n v="3124.62"/>
    <n v="18622"/>
    <n v="1108"/>
    <n v="60.227090843226314"/>
    <n v="56.644535339368417"/>
    <n v="3"/>
    <n v="37294"/>
    <n v="1368743"/>
    <n v="15503270"/>
    <n v="2641274"/>
    <n v="0"/>
    <s v="u=40%, k=2x10^8"/>
    <x v="22"/>
    <n v="0.34505165993157894"/>
    <n v="28.829687371605264"/>
    <n v="0.51811541080000001"/>
    <n v="26.831088951194737"/>
    <n v="0.1205919458368421"/>
    <n v="3.5825555038578898"/>
  </r>
  <r>
    <s v="istree_exp6_rebuilding_time/step10236.txt"/>
    <s v="brown_ext_ist_lf_dis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8703035652698E+17"/>
    <n v="1000006436"/>
    <n v="9.9998703035652698E+17"/>
    <n v="1000006436"/>
    <s v="success"/>
    <n v="7"/>
    <n v="127924598"/>
    <n v="1170326839"/>
    <n v="1298251437"/>
    <n v="1000006436"/>
    <n v="10.1486"/>
    <n v="0.85446800000000001"/>
    <n v="4.0927499999999997"/>
    <n v="29026353712"/>
    <s v="0 0 123019 21294104 7005028"/>
    <s v="0 0 123019 21294103 7005028"/>
    <m/>
    <n v="332812"/>
    <n v="1436561587159"/>
    <n v="17448741044"/>
    <n v="38878"/>
    <n v="20523237945"/>
    <n v="21441411828"/>
    <n v="3782280290"/>
    <n v="540485176"/>
    <n v="0"/>
    <n v="360318118"/>
    <n v="540485176"/>
    <n v="900803294"/>
    <n v="9008086"/>
    <n v="0"/>
    <n v="6005301"/>
    <n v="9008086"/>
    <n v="15013388"/>
    <n v="26.130299999999998"/>
    <n v="15.374599999999999"/>
    <n v="4431.59"/>
    <n v="3507.51"/>
    <n v="62809"/>
    <n v="16385"/>
    <n v="59.856732798291667"/>
    <n v="2.6331545827083334"/>
    <n v="0"/>
    <n v="0"/>
    <n v="123019"/>
    <n v="21294103"/>
    <n v="7005028"/>
    <n v="0"/>
    <s v="u=40%, k=2x10^9"/>
    <x v="23"/>
    <n v="0.72703087683333323"/>
    <n v="1.6199166666666669E-6"/>
    <n v="0.85513491437500011"/>
    <n v="0.89339215949999995"/>
    <n v="0.15759501208333335"/>
    <n v="57.223578215583331"/>
  </r>
  <r>
    <s v="istree_exp6_rebuilding_time/step10238.txt"/>
    <s v="brown_ext_ist_lf_dis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7242203762406E+17"/>
    <n v="999979829"/>
    <n v="9.9997242203762406E+17"/>
    <n v="999979829"/>
    <s v="success"/>
    <n v="7"/>
    <n v="84465061"/>
    <n v="1078784391"/>
    <n v="1163249452"/>
    <n v="999979829"/>
    <n v="13.772"/>
    <n v="0.92695099999999997"/>
    <n v="4"/>
    <n v="24017755120"/>
    <s v="2 30936 2314126 33881941 9507224"/>
    <s v="1 30919 2314115 33881921 9507223"/>
    <m/>
    <n v="28278"/>
    <n v="9400301816456"/>
    <n v="171749872904"/>
    <n v="6641085578270"/>
    <n v="369198214901"/>
    <n v="128475243818"/>
    <n v="78760303218"/>
    <n v="750028312"/>
    <n v="0"/>
    <n v="500037433"/>
    <n v="750028312"/>
    <n v="1250065745"/>
    <n v="12500471"/>
    <n v="0"/>
    <n v="8333957"/>
    <n v="12500471"/>
    <n v="20834429"/>
    <n v="32.338500000000003"/>
    <n v="20.093800000000002"/>
    <n v="20542.8"/>
    <n v="4452.75"/>
    <n v="89213"/>
    <n v="9862"/>
    <n v="97.919810588083337"/>
    <n v="76.971554303239586"/>
    <n v="1"/>
    <n v="30919"/>
    <n v="2314115"/>
    <n v="33881921"/>
    <n v="9507223"/>
    <n v="0"/>
    <s v="u=40%, k=2x10^9"/>
    <x v="23"/>
    <n v="1.7890611760833333"/>
    <n v="69.177974773645829"/>
    <n v="3.8458147385520829"/>
    <n v="1.3382837897708333"/>
    <n v="0.82041982518750001"/>
    <n v="20.948256284843765"/>
  </r>
  <r>
    <s v="istree_exp6_rebuilding_time/step10239.txt"/>
    <s v="brown_ext_ist_lf_dis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170114832E+17"/>
    <n v="999985953"/>
    <n v="9.9998170114832E+17"/>
    <n v="999985953"/>
    <s v="success"/>
    <n v="7"/>
    <n v="84465076"/>
    <n v="1078790544"/>
    <n v="1163255620"/>
    <n v="999985953"/>
    <n v="13.772"/>
    <n v="0.92695099999999997"/>
    <n v="4"/>
    <n v="24017854768"/>
    <s v="5 31576 2161883 33497680 9437935"/>
    <s v="1 31574 2161862 33497659 9437934"/>
    <m/>
    <n v="12740"/>
    <n v="12611717797306"/>
    <n v="173363841591"/>
    <n v="9951392126321"/>
    <n v="218356401196"/>
    <n v="143144225543"/>
    <n v="78049821949"/>
    <n v="750063904"/>
    <n v="0"/>
    <n v="500030955"/>
    <n v="750063904"/>
    <n v="1250094859"/>
    <n v="12501065"/>
    <n v="0"/>
    <n v="8333849"/>
    <n v="12501065"/>
    <n v="20834914"/>
    <n v="32.459000000000003"/>
    <n v="20.531500000000001"/>
    <n v="28037.8"/>
    <n v="4543.93"/>
    <n v="121334"/>
    <n v="9267"/>
    <n v="87.581373592402784"/>
    <n v="73.363239004166672"/>
    <n v="1"/>
    <n v="31574"/>
    <n v="2161862"/>
    <n v="33497659"/>
    <n v="9437934"/>
    <n v="0"/>
    <s v="u=40%, k=2x10^9"/>
    <x v="23"/>
    <n v="1.2039155666041668"/>
    <n v="69.106889766118059"/>
    <n v="1.5163638971944444"/>
    <n v="0.99405712182638895"/>
    <n v="0.54201265242361119"/>
    <n v="14.218134588236126"/>
  </r>
  <r>
    <s v="istree_exp6_rebuilding_time/step10240.txt"/>
    <s v="brown_ext_ist_lf_dis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1008700942E+18"/>
    <n v="1000006169"/>
    <n v="1.00001008700942E+18"/>
    <n v="1000006169"/>
    <s v="success"/>
    <n v="7"/>
    <n v="84465084"/>
    <n v="1078810788"/>
    <n v="1163275872"/>
    <n v="1000006169"/>
    <n v="13.7723"/>
    <n v="0.926952"/>
    <n v="4"/>
    <n v="24018179312"/>
    <s v="2 31575 2148804 33458555 9430886"/>
    <s v="1 31573 2148775 33458529 9430882"/>
    <m/>
    <n v="7690"/>
    <n v="15999557996427"/>
    <n v="177633739397"/>
    <n v="13248504904157"/>
    <n v="231853260072"/>
    <n v="164162724340"/>
    <n v="77606169819"/>
    <n v="749982580"/>
    <n v="0"/>
    <n v="500015966"/>
    <n v="749982580"/>
    <n v="1249998546"/>
    <n v="12499709"/>
    <n v="0"/>
    <n v="8333599"/>
    <n v="12499709"/>
    <n v="20833309"/>
    <n v="32.7151"/>
    <n v="20.827200000000001"/>
    <n v="35580.400000000001"/>
    <n v="4683.6499999999996"/>
    <n v="121928"/>
    <n v="9296"/>
    <n v="84.208199981194738"/>
    <n v="73.156635777815794"/>
    <n v="1"/>
    <n v="31573"/>
    <n v="2148775"/>
    <n v="33458529"/>
    <n v="9430882"/>
    <n v="0"/>
    <s v="u=40%, k=2x10^9"/>
    <x v="23"/>
    <n v="0.93491441787894736"/>
    <n v="69.728973179773689"/>
    <n v="1.220280316168421"/>
    <n v="0.86401433863157906"/>
    <n v="0.40845352536315788"/>
    <n v="11.051564203378945"/>
  </r>
  <r>
    <s v="istree_exp6_rebuilding_time/step10241.txt"/>
    <s v="brown_ext_ist_lf_en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8956720870"/>
    <n v="999039"/>
    <n v="998956720870"/>
    <n v="999039"/>
    <s v="success"/>
    <n v="6"/>
    <n v="64230"/>
    <n v="1094634"/>
    <n v="1158864"/>
    <n v="999039"/>
    <n v="18.042400000000001"/>
    <n v="0.91266899999999995"/>
    <n v="3.06562"/>
    <n v="22685504"/>
    <s v="99 85322 1227459 1375496"/>
    <s v="95 85300 1227436 1375493"/>
    <n v="7856"/>
    <n v="1761710"/>
    <n v="1436561616868"/>
    <n v="4203986384"/>
    <n v="38557453"/>
    <n v="5674174248"/>
    <n v="6677648299"/>
    <n v="2110895733"/>
    <n v="4715589865"/>
    <n v="0"/>
    <n v="47628151"/>
    <n v="4715589865"/>
    <n v="4763218016"/>
    <n v="78593164"/>
    <n v="0"/>
    <n v="793802"/>
    <n v="78593164"/>
    <n v="79386966"/>
    <n v="8.5346499999999992"/>
    <n v="0.10168000000000001"/>
    <n v="842.86800000000005"/>
    <n v="282.375"/>
    <n v="1187"/>
    <n v="27"/>
    <n v="59.856734036166671"/>
    <n v="0.77938592154166664"/>
    <n v="95"/>
    <n v="85300"/>
    <n v="1227436"/>
    <n v="1375493"/>
    <n v="0"/>
    <n v="0"/>
    <s v="u=1%, k=2x10^6"/>
    <x v="0"/>
    <n v="0.17516609933333335"/>
    <n v="1.6065605416666665E-3"/>
    <n v="0.23642392700000001"/>
    <n v="0.2782353457916667"/>
    <n v="8.7953988875E-2"/>
    <n v="59.077348114625003"/>
  </r>
  <r>
    <s v="istree_exp6_rebuilding_time/step10242.txt"/>
    <s v="brown_ext_ist_lf_en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056192379"/>
    <n v="999069"/>
    <n v="999056192379"/>
    <n v="999069"/>
    <s v="success"/>
    <n v="6"/>
    <n v="82409"/>
    <n v="1134183"/>
    <n v="1216592"/>
    <n v="999069"/>
    <n v="14.7629"/>
    <n v="0.88087099999999996"/>
    <n v="3.1078899999999998"/>
    <n v="24839264"/>
    <s v="157 144160 1371877 1996313"/>
    <s v="146 144149 1371785 1996309"/>
    <n v="33885"/>
    <n v="665590"/>
    <n v="2873123237381"/>
    <n v="10423744773"/>
    <n v="236907652"/>
    <n v="13734168298"/>
    <n v="12421933245"/>
    <n v="5214704022"/>
    <n v="7256765289"/>
    <n v="0"/>
    <n v="73305498"/>
    <n v="7256765289"/>
    <n v="7330070787"/>
    <n v="120946088"/>
    <n v="0"/>
    <n v="1221758"/>
    <n v="120946088"/>
    <n v="122167846"/>
    <n v="8.4623200000000001"/>
    <n v="0.10956299999999999"/>
    <n v="1088.1600000000001"/>
    <n v="392.58699999999999"/>
    <n v="1216"/>
    <n v="69"/>
    <n v="59.856734112104164"/>
    <n v="0.87565537479166666"/>
    <n v="146"/>
    <n v="144149"/>
    <n v="1371785"/>
    <n v="1996309"/>
    <n v="0"/>
    <n v="0"/>
    <s v="u=1%, k=2x10^6"/>
    <x v="0"/>
    <n v="0.21716134943749998"/>
    <n v="4.935576083333333E-3"/>
    <n v="0.28612850620833336"/>
    <n v="0.25879027593749998"/>
    <n v="0.10863966712500001"/>
    <n v="58.981078737312494"/>
  </r>
  <r>
    <s v="istree_exp6_rebuilding_time/step10243.txt"/>
    <s v="brown_ext_ist_lf_en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8689891484"/>
    <n v="999653"/>
    <n v="998689891484"/>
    <n v="999653"/>
    <s v="success"/>
    <n v="6"/>
    <n v="60364"/>
    <n v="1087467"/>
    <n v="1147831"/>
    <n v="999653"/>
    <n v="19.0152"/>
    <n v="0.91924899999999998"/>
    <n v="3.0571999999999999"/>
    <n v="22255488"/>
    <s v="300 428167 741434 3150618"/>
    <s v="273 427804 741232 3150590"/>
    <n v="169495"/>
    <n v="312656"/>
    <n v="5746240546332"/>
    <n v="35615100994"/>
    <n v="1117619929"/>
    <n v="46974703182"/>
    <n v="31193948845"/>
    <n v="41350490689"/>
    <n v="13519184844"/>
    <n v="0"/>
    <n v="136545507"/>
    <n v="13519184844"/>
    <n v="13655730351"/>
    <n v="225319747"/>
    <n v="0"/>
    <n v="2275758"/>
    <n v="225319747"/>
    <n v="227595505"/>
    <n v="8.5190400000000004"/>
    <n v="0.249918"/>
    <n v="1169.94"/>
    <n v="447.57499999999999"/>
    <n v="1281"/>
    <n v="142"/>
    <n v="59.856672357625001"/>
    <n v="1.6276235795729166"/>
    <n v="273"/>
    <n v="427804"/>
    <n v="741232"/>
    <n v="3150590"/>
    <n v="0"/>
    <n v="0"/>
    <s v="u=1%, k=2x10^6"/>
    <x v="0"/>
    <n v="0.37099063535416671"/>
    <n v="1.1641874260416666E-2"/>
    <n v="0.48931982481249997"/>
    <n v="0.3249369671354167"/>
    <n v="0.43073427801041664"/>
    <n v="58.229048778052082"/>
  </r>
  <r>
    <s v="istree_exp6_rebuilding_time/step10244.txt"/>
    <s v="brown_ext_ist_lf_en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686981912"/>
    <n v="999940"/>
    <n v="999686981912"/>
    <n v="999940"/>
    <s v="success"/>
    <n v="6"/>
    <n v="51655"/>
    <n v="1069674"/>
    <n v="1121329"/>
    <n v="999940"/>
    <n v="21.707999999999998"/>
    <n v="0.93480799999999997"/>
    <n v="3.0387200000000001"/>
    <n v="21262256"/>
    <s v="428 1129415 202652 3144989"/>
    <s v="387 1128520 202517 3144945"/>
    <n v="421689"/>
    <n v="198638"/>
    <n v="8619359561131"/>
    <n v="69581019834"/>
    <n v="3353374596"/>
    <n v="102348145315"/>
    <n v="32781979141"/>
    <n v="122393721499"/>
    <n v="19168396680"/>
    <n v="0"/>
    <n v="193614778"/>
    <n v="19168396680"/>
    <n v="19362011458"/>
    <n v="319473278"/>
    <n v="0"/>
    <n v="3226912"/>
    <n v="319473278"/>
    <n v="322700190"/>
    <n v="8.6367100000000008"/>
    <n v="0.35739399999999999"/>
    <n v="1224.02"/>
    <n v="491.50700000000001"/>
    <n v="1370"/>
    <n v="249"/>
    <n v="59.856663618965271"/>
    <n v="2.2948488915625003"/>
    <n v="387"/>
    <n v="1128520"/>
    <n v="202517"/>
    <n v="3144945"/>
    <n v="0"/>
    <n v="0"/>
    <s v="u=1%, k=2x10^6"/>
    <x v="0"/>
    <n v="0.48320152662500004"/>
    <n v="2.3287323583333335E-2"/>
    <n v="0.71075100913194444"/>
    <n v="0.22765263292361113"/>
    <n v="0.84995639929861111"/>
    <n v="57.561814727402769"/>
  </r>
  <r>
    <s v="istree_exp6_rebuilding_time/step10245.txt"/>
    <s v="brown_ext_ist_lf_en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9990265294"/>
    <n v="1000053"/>
    <n v="999990265294"/>
    <n v="1000053"/>
    <s v="success"/>
    <n v="6"/>
    <n v="54554"/>
    <n v="1075952"/>
    <n v="1130506"/>
    <n v="1000053"/>
    <n v="20.7227"/>
    <n v="0.92945900000000004"/>
    <n v="3.0451100000000002"/>
    <n v="21602224"/>
    <s v="541 1139619 553353 4555440"/>
    <s v="485 1138499 553018 4555380"/>
    <n v="611690"/>
    <n v="168574"/>
    <n v="11372767578153"/>
    <n v="84626303523"/>
    <n v="6335494886"/>
    <n v="147876551938"/>
    <n v="42851856181"/>
    <n v="236156762308"/>
    <n v="24025415244"/>
    <n v="0"/>
    <n v="242669643"/>
    <n v="24025415244"/>
    <n v="24268084887"/>
    <n v="400423587"/>
    <n v="0"/>
    <n v="4044494"/>
    <n v="400423587"/>
    <n v="404468081"/>
    <n v="8.7142700000000008"/>
    <n v="0.415854"/>
    <n v="1287.28"/>
    <n v="542.54600000000005"/>
    <n v="1434"/>
    <n v="277"/>
    <n v="59.85667146396316"/>
    <n v="2.7255103622947368"/>
    <n v="485"/>
    <n v="1138499"/>
    <n v="553018"/>
    <n v="4555380"/>
    <n v="0"/>
    <n v="0"/>
    <s v="u=1%, k=2x10^6"/>
    <x v="0"/>
    <n v="0.44540159748947372"/>
    <n v="3.3344709926315788E-2"/>
    <n v="0.77829764177894745"/>
    <n v="0.2255360851631579"/>
    <n v="1.242930327936842"/>
    <n v="57.131161101668425"/>
  </r>
  <r>
    <s v="istree_exp6_rebuilding_time/step10246.txt"/>
    <s v="brown_ext_ist_lf_en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05099869592"/>
    <n v="9999638"/>
    <n v="100005099869592"/>
    <n v="9999638"/>
    <s v="success"/>
    <n v="7"/>
    <n v="1794651"/>
    <n v="11786390"/>
    <n v="13581041"/>
    <n v="9999638"/>
    <n v="7.5675100000000004"/>
    <n v="0.84840499999999996"/>
    <n v="4.0337899999999998"/>
    <n v="332156880"/>
    <s v="4 11187 320848 2993890 9731"/>
    <s v="4 11185 320848 2993890 9731"/>
    <n v="756"/>
    <n v="754422"/>
    <n v="1436560152562"/>
    <n v="5910779704"/>
    <n v="12920867"/>
    <n v="8359954011"/>
    <n v="6474250303"/>
    <n v="2636773361"/>
    <n v="2074259255"/>
    <n v="0"/>
    <n v="20954327"/>
    <n v="2074259255"/>
    <n v="2095213582"/>
    <n v="34570987"/>
    <n v="0"/>
    <n v="349238"/>
    <n v="34570987"/>
    <n v="34920226"/>
    <n v="16.137499999999999"/>
    <n v="5.9023700000000003"/>
    <n v="1913.42"/>
    <n v="1233.73"/>
    <n v="2434"/>
    <n v="154"/>
    <n v="59.856673023416668"/>
    <n v="0.97477826025000003"/>
    <n v="4"/>
    <n v="11185"/>
    <n v="320848"/>
    <n v="2993890"/>
    <n v="9731"/>
    <n v="0"/>
    <s v="u=1%, k=2x10^7"/>
    <x v="1"/>
    <n v="0.24628248766666669"/>
    <n v="5.3836945833333333E-4"/>
    <n v="0.34833141712499999"/>
    <n v="0.26976042929166666"/>
    <n v="0.10986555670833333"/>
    <n v="58.88189476316667"/>
  </r>
  <r>
    <s v="istree_exp6_rebuilding_time/step10247.txt"/>
    <s v="brown_ext_ist_lf_en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99972890585059"/>
    <n v="9996760"/>
    <n v="99972890585059"/>
    <n v="9996760"/>
    <s v="success"/>
    <n v="7"/>
    <n v="1822159"/>
    <n v="11843697"/>
    <n v="13665856"/>
    <n v="9996760"/>
    <n v="7.4998199999999997"/>
    <n v="0.84405699999999995"/>
    <n v="4.0394199999999998"/>
    <n v="335276448"/>
    <s v="8 21724 474996 5079391 16424"/>
    <s v="7 21722 474990 5079384 16424"/>
    <n v="4072"/>
    <n v="312818"/>
    <n v="2873120482467"/>
    <n v="13456971676"/>
    <n v="104136508"/>
    <n v="20982658987"/>
    <n v="16027470421"/>
    <n v="6439396228"/>
    <n v="3583882378"/>
    <n v="0"/>
    <n v="36207657"/>
    <n v="3583882378"/>
    <n v="3620090035"/>
    <n v="59731372"/>
    <n v="0"/>
    <n v="603460"/>
    <n v="59731372"/>
    <n v="60334833"/>
    <n v="16.1709"/>
    <n v="6.0054800000000004"/>
    <n v="2207.84"/>
    <n v="1512.43"/>
    <n v="2469"/>
    <n v="177"/>
    <n v="59.856676718062495"/>
    <n v="1.1877215379166668"/>
    <n v="7"/>
    <n v="21722"/>
    <n v="474990"/>
    <n v="5079384"/>
    <n v="16424"/>
    <n v="0"/>
    <s v="u=1%, k=2x10^7"/>
    <x v="1"/>
    <n v="0.28035357658333332"/>
    <n v="2.1695105833333334E-3"/>
    <n v="0.43713872889583333"/>
    <n v="0.33390563377083332"/>
    <n v="0.13415408808333332"/>
    <n v="58.668955180145829"/>
  </r>
  <r>
    <s v="istree_exp6_rebuilding_time/step10248.txt"/>
    <s v="brown_ext_ist_lf_en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09021724834"/>
    <n v="10002054"/>
    <n v="100009021724834"/>
    <n v="10002054"/>
    <s v="success"/>
    <n v="7"/>
    <n v="1898634"/>
    <n v="12015142"/>
    <n v="13913776"/>
    <n v="10002054"/>
    <n v="7.3283100000000001"/>
    <n v="0.83245400000000003"/>
    <n v="4.0546699999999998"/>
    <n v="344159616"/>
    <s v="19 47426 694490 10590963 30635"/>
    <s v="15 47425 694475 10590950 30635"/>
    <n v="17889"/>
    <n v="165110"/>
    <n v="5746241639724"/>
    <n v="29584965037"/>
    <n v="1183048681"/>
    <n v="55180909819"/>
    <n v="54204112593"/>
    <n v="14378157346"/>
    <n v="7664212342"/>
    <n v="0"/>
    <n v="77406623"/>
    <n v="7664212342"/>
    <n v="7741618965"/>
    <n v="127736872"/>
    <n v="0"/>
    <n v="1290110"/>
    <n v="127736872"/>
    <n v="129026982"/>
    <n v="16.2913"/>
    <n v="6.4340200000000003"/>
    <n v="2046.1"/>
    <n v="1292.55"/>
    <n v="2549"/>
    <n v="253"/>
    <n v="59.856683747125004"/>
    <n v="1.6096999320416667"/>
    <n v="15"/>
    <n v="47425"/>
    <n v="694475"/>
    <n v="10590950"/>
    <n v="30635"/>
    <n v="0"/>
    <s v="u=1%, k=2x10^7"/>
    <x v="1"/>
    <n v="0.30817671913541667"/>
    <n v="1.2323423760416667E-2"/>
    <n v="0.5748011439479167"/>
    <n v="0.56462617284374994"/>
    <n v="0.14977247235416666"/>
    <n v="58.24698381508334"/>
  </r>
  <r>
    <s v="istree_exp6_rebuilding_time/step10249.txt"/>
    <s v="brown_ext_ist_lf_en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15618005208"/>
    <n v="10001816"/>
    <n v="100015618005208"/>
    <n v="10001816"/>
    <s v="success"/>
    <n v="7"/>
    <n v="1734229"/>
    <n v="11669344"/>
    <n v="13403573"/>
    <n v="10001816"/>
    <n v="7.7288399999999999"/>
    <n v="0.85710200000000003"/>
    <n v="4.0222899999999999"/>
    <n v="325451088"/>
    <s v="23 72614 607195 15280773 38220"/>
    <s v="22 72614 607163 15280738 38220"/>
    <n v="39295"/>
    <n v="111506"/>
    <n v="8619364202177"/>
    <n v="44455867531"/>
    <n v="2702134612"/>
    <n v="81761170495"/>
    <n v="90643337957"/>
    <n v="22197733922"/>
    <n v="11293834147"/>
    <n v="0"/>
    <n v="114087781"/>
    <n v="11293834147"/>
    <n v="11407921928"/>
    <n v="188230569"/>
    <n v="0"/>
    <n v="1901463"/>
    <n v="188230569"/>
    <n v="190132032"/>
    <n v="16.355899999999998"/>
    <n v="6.5817300000000003"/>
    <n v="2084.25"/>
    <n v="1315.32"/>
    <n v="2640"/>
    <n v="384"/>
    <n v="59.85669584845138"/>
    <n v="1.678890586923611"/>
    <n v="22"/>
    <n v="72614"/>
    <n v="607163"/>
    <n v="15280738"/>
    <n v="38220"/>
    <n v="0"/>
    <s v="u=1%, k=2x10^7"/>
    <x v="1"/>
    <n v="0.30872130229861111"/>
    <n v="1.8764823694444446E-2"/>
    <n v="0.5677859062152778"/>
    <n v="0.62946762470138884"/>
    <n v="0.15415093001388891"/>
    <n v="58.177805261527766"/>
  </r>
  <r>
    <s v="istree_exp6_rebuilding_time/step10250.txt"/>
    <s v="brown_ext_ist_lf_en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0561019166"/>
    <n v="9998999"/>
    <n v="100000561019166"/>
    <n v="9998999"/>
    <s v="success"/>
    <n v="7"/>
    <n v="1763131"/>
    <n v="11726437"/>
    <n v="13489568"/>
    <n v="9998999"/>
    <n v="7.6509200000000002"/>
    <n v="0.85268900000000003"/>
    <n v="4.0282600000000004"/>
    <n v="328675856"/>
    <s v="30 94868 799293 19989843 50364"/>
    <s v="29 94865 799237 19989780 50364"/>
    <n v="73050"/>
    <n v="91808"/>
    <n v="11372772541994"/>
    <n v="60753571381"/>
    <n v="7083303170"/>
    <n v="118281272168"/>
    <n v="133192766013"/>
    <n v="46424302453"/>
    <n v="14788505010"/>
    <n v="0"/>
    <n v="149364987"/>
    <n v="14788505010"/>
    <n v="14937869997"/>
    <n v="246475083"/>
    <n v="0"/>
    <n v="2489416"/>
    <n v="246475083"/>
    <n v="248964499"/>
    <n v="16.450500000000002"/>
    <n v="6.66221"/>
    <n v="2097.6"/>
    <n v="1324.65"/>
    <n v="2736"/>
    <n v="420"/>
    <n v="59.856697589442106"/>
    <n v="1.9249221851842107"/>
    <n v="29"/>
    <n v="94865"/>
    <n v="799237"/>
    <n v="19989780"/>
    <n v="50364"/>
    <n v="0"/>
    <s v="u=1%, k=2x10^7"/>
    <x v="1"/>
    <n v="0.31975563884736841"/>
    <n v="3.7280542999999999E-2"/>
    <n v="0.6225330114105263"/>
    <n v="0.70101455796315792"/>
    <n v="0.24433843396315791"/>
    <n v="57.931775404257898"/>
  </r>
  <r>
    <s v="istree_exp6_rebuilding_time/step10251.txt"/>
    <s v="brown_ext_ist_lf_en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0337798686E+16"/>
    <n v="99999272"/>
    <n v="1.00000337798686E+16"/>
    <n v="99999272"/>
    <s v="success"/>
    <n v="7"/>
    <n v="14120040"/>
    <n v="116400394"/>
    <n v="130520434"/>
    <n v="99999272"/>
    <n v="9.2436299999999996"/>
    <n v="0.859097"/>
    <n v="4.0643900000000004"/>
    <n v="2994446160"/>
    <s v="0 0 11 602772 200516"/>
    <s v="0 0 11 602772 200516"/>
    <m/>
    <n v="631734"/>
    <n v="1436560629978"/>
    <n v="291794183"/>
    <m/>
    <n v="814808511"/>
    <n v="1552157534"/>
    <n v="115459514"/>
    <n v="1698765724"/>
    <n v="0"/>
    <n v="17160805"/>
    <n v="1698765724"/>
    <n v="1715926529"/>
    <n v="28312762"/>
    <n v="0"/>
    <n v="286013"/>
    <n v="28312762"/>
    <n v="28598775"/>
    <n v="18.8965"/>
    <n v="8.2720900000000004"/>
    <n v="2339.9299999999998"/>
    <n v="1745.14"/>
    <n v="7484"/>
    <n v="1558"/>
    <n v="59.856692915749996"/>
    <n v="0.11559248925"/>
    <n v="0"/>
    <n v="0"/>
    <n v="11"/>
    <n v="602772"/>
    <n v="200516"/>
    <n v="0"/>
    <s v="u=1%, k=2x10^8"/>
    <x v="2"/>
    <n v="1.2158090958333333E-2"/>
    <n v="0"/>
    <n v="3.3950354624999998E-2"/>
    <n v="6.4673230583333338E-2"/>
    <n v="4.810813083333333E-3"/>
    <n v="59.741100426499997"/>
  </r>
  <r>
    <s v="istree_exp6_rebuilding_time/step10252.txt"/>
    <s v="brown_ext_ist_lf_en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0739754531E+16"/>
    <n v="100001940"/>
    <n v="1.00000739754531E+16"/>
    <n v="100001940"/>
    <s v="success"/>
    <n v="7"/>
    <n v="14927302"/>
    <n v="118216822"/>
    <n v="133144124"/>
    <n v="100001940"/>
    <n v="8.9194999999999993"/>
    <n v="0.84592000000000001"/>
    <n v="4.0817899999999998"/>
    <n v="3089810080"/>
    <s v="0 0 14904 2030564 421134"/>
    <s v="0 0 14904 2030563 421134"/>
    <m/>
    <n v="272222"/>
    <n v="2873121392573"/>
    <n v="1455945862"/>
    <m/>
    <n v="3541741542"/>
    <n v="5545412711"/>
    <n v="586874941"/>
    <n v="2983314494"/>
    <n v="0"/>
    <n v="30141556"/>
    <n v="2983314494"/>
    <n v="3013456050"/>
    <n v="49721908"/>
    <n v="0"/>
    <n v="502359"/>
    <n v="49721908"/>
    <n v="50224267"/>
    <n v="19.051200000000001"/>
    <n v="8.3641400000000008"/>
    <n v="2663.11"/>
    <n v="1982.83"/>
    <n v="7814"/>
    <n v="1298"/>
    <n v="59.856695678604162"/>
    <n v="0.23187448033333333"/>
    <n v="0"/>
    <n v="0"/>
    <n v="14904"/>
    <n v="2030563"/>
    <n v="421134"/>
    <n v="0"/>
    <s v="u=1%, k=2x10^8"/>
    <x v="2"/>
    <n v="3.0332205458333334E-2"/>
    <n v="0"/>
    <n v="7.3786282125000005E-2"/>
    <n v="0.11552943147916667"/>
    <n v="1.2226561270833334E-2"/>
    <n v="59.62482119827083"/>
  </r>
  <r>
    <s v="istree_exp6_rebuilding_time/step10253.txt"/>
    <s v="brown_ext_ist_lf_en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948849121800"/>
    <n v="99999482"/>
    <n v="9999948849121800"/>
    <n v="99999482"/>
    <s v="success"/>
    <n v="7"/>
    <n v="12991704"/>
    <n v="114018938"/>
    <n v="127010642"/>
    <n v="99999482"/>
    <n v="9.7762899999999995"/>
    <n v="0.87704300000000002"/>
    <n v="4.0405899999999999"/>
    <n v="2864681552"/>
    <s v="1 9910 395029 4120621 747436"/>
    <s v="1 9910 395029 4120620 747435"/>
    <n v="2629"/>
    <n v="122558"/>
    <n v="5746258060820"/>
    <n v="19421094035"/>
    <n v="445135391"/>
    <n v="48532476279"/>
    <n v="43588279282"/>
    <n v="8923951928"/>
    <n v="5851188671"/>
    <n v="0"/>
    <n v="59095717"/>
    <n v="5851188671"/>
    <n v="5910284388"/>
    <n v="97519811"/>
    <n v="0"/>
    <n v="984928"/>
    <n v="97519811"/>
    <n v="98504739"/>
    <n v="19.3201"/>
    <n v="9.2985100000000003"/>
    <n v="2687.58"/>
    <n v="1952.48"/>
    <n v="11321"/>
    <n v="1075"/>
    <n v="59.856854800208332"/>
    <n v="1.2594889261979165"/>
    <n v="1"/>
    <n v="9910"/>
    <n v="395029"/>
    <n v="4120620"/>
    <n v="747435"/>
    <n v="0"/>
    <s v="u=1%, k=2x10^8"/>
    <x v="2"/>
    <n v="0.20230306286458333"/>
    <n v="4.636826989583333E-3"/>
    <n v="0.50554662790625005"/>
    <n v="0.45404457585416669"/>
    <n v="9.295783258333333E-2"/>
    <n v="58.597365874010414"/>
  </r>
  <r>
    <s v="istree_exp6_rebuilding_time/step10254.txt"/>
    <s v="brown_ext_ist_lf_en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4925632637E+16"/>
    <n v="100004015"/>
    <n v="1.00004925632637E+16"/>
    <n v="100004015"/>
    <s v="success"/>
    <n v="7"/>
    <n v="14867166"/>
    <n v="118113906"/>
    <n v="132981072"/>
    <n v="100004015"/>
    <n v="8.9446100000000008"/>
    <n v="0.84667400000000004"/>
    <n v="4.0797800000000004"/>
    <n v="3083515040"/>
    <s v="1 9993 445143 6826002 1195548"/>
    <s v="1 9993 445139 6826000 1195547"/>
    <n v="3149"/>
    <n v="81012"/>
    <n v="8619365842043"/>
    <n v="22507783019"/>
    <n v="278892810"/>
    <n v="80359945823"/>
    <n v="52899645914"/>
    <n v="11449316490"/>
    <n v="8612995865"/>
    <n v="0"/>
    <n v="87004229"/>
    <n v="8612995865"/>
    <n v="8700000094"/>
    <n v="143549931"/>
    <n v="0"/>
    <n v="1450070"/>
    <n v="143549931"/>
    <n v="145000001"/>
    <n v="19.350000000000001"/>
    <n v="9.5077099999999994"/>
    <n v="2732.81"/>
    <n v="1977.79"/>
    <n v="13333"/>
    <n v="1230"/>
    <n v="59.856707236409726"/>
    <n v="1.1631637781666668"/>
    <n v="1"/>
    <n v="9993"/>
    <n v="445139"/>
    <n v="6826000"/>
    <n v="1195547"/>
    <n v="0"/>
    <s v="u=1%, k=2x10^8"/>
    <x v="2"/>
    <n v="0.15630404874305556"/>
    <n v="1.936755625E-3"/>
    <n v="0.55805517932638893"/>
    <n v="0.36735865218055552"/>
    <n v="7.9509142291666668E-2"/>
    <n v="58.693543458243056"/>
  </r>
  <r>
    <s v="istree_exp6_rebuilding_time/step10255.txt"/>
    <s v="brown_ext_ist_lf_en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13690824703E+16"/>
    <n v="100000961"/>
    <n v="1.00013690824703E+16"/>
    <n v="100000961"/>
    <s v="success"/>
    <n v="7"/>
    <n v="13564747"/>
    <n v="115219246"/>
    <n v="128783993"/>
    <n v="100000961"/>
    <n v="9.4940200000000008"/>
    <n v="0.867919"/>
    <n v="4.0525900000000004"/>
    <n v="2930351152"/>
    <s v="2 20000 688042 8063576 1458996"/>
    <s v="2 20000 688036 8063574 1458996"/>
    <n v="9118"/>
    <n v="58258"/>
    <n v="11372774778906"/>
    <n v="41700356652"/>
    <n v="1047701452"/>
    <n v="177249116617"/>
    <n v="85908401268"/>
    <n v="23528625172"/>
    <n v="11155698011"/>
    <n v="0"/>
    <n v="112681156"/>
    <n v="11155698011"/>
    <n v="11268379167"/>
    <n v="185928300"/>
    <n v="0"/>
    <n v="1878019"/>
    <n v="185928300"/>
    <n v="187806319"/>
    <n v="19.39"/>
    <n v="9.6228999999999996"/>
    <n v="2761.64"/>
    <n v="2003.89"/>
    <n v="13889"/>
    <n v="1114"/>
    <n v="59.856709362663153"/>
    <n v="1.7338642166368419"/>
    <n v="2"/>
    <n v="20000"/>
    <n v="688036"/>
    <n v="8063574"/>
    <n v="1458996"/>
    <n v="0"/>
    <s v="u=1%, k=2x10^8"/>
    <x v="2"/>
    <n v="0.21947556132631582"/>
    <n v="5.5142181684210527E-3"/>
    <n v="0.9328900874578947"/>
    <n v="0.45214948035789476"/>
    <n v="0.12383486932631579"/>
    <n v="58.122845146026314"/>
  </r>
  <r>
    <s v="istree_exp6_rebuilding_time/step10256.txt"/>
    <s v="brown_ext_ist_lf_en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9.9999870628993306E+17"/>
    <n v="1000002782"/>
    <n v="9.9999870628993306E+17"/>
    <n v="1000002782"/>
    <s v="success"/>
    <n v="7"/>
    <n v="87198442"/>
    <n v="1084278870"/>
    <n v="1171477312"/>
    <n v="1000002782"/>
    <n v="13.4346"/>
    <n v="0.92227499999999996"/>
    <n v="4.00549"/>
    <n v="24324573920"/>
    <s v="0 0 0 1334 14789"/>
    <s v="0 0 0 1334 14789"/>
    <m/>
    <n v="405002"/>
    <n v="1436560951167"/>
    <n v="5470113"/>
    <m/>
    <n v="24084345"/>
    <n v="701803981"/>
    <n v="1836513"/>
    <n v="1091797229"/>
    <n v="0"/>
    <n v="11027215"/>
    <n v="1091797229"/>
    <n v="1102824444"/>
    <n v="18196620"/>
    <n v="0"/>
    <n v="183786"/>
    <n v="18196620"/>
    <n v="18380407"/>
    <n v="21.992100000000001"/>
    <n v="12.884600000000001"/>
    <n v="3640.08"/>
    <n v="2914.51"/>
    <n v="59444"/>
    <n v="15919"/>
    <n v="59.856706298624999"/>
    <n v="3.0549789666666664E-2"/>
    <n v="0"/>
    <n v="0"/>
    <n v="0"/>
    <n v="1334"/>
    <n v="14789"/>
    <n v="0"/>
    <s v="u=1%, k=2x10^9"/>
    <x v="3"/>
    <n v="2.2792137500000001E-4"/>
    <n v="0"/>
    <n v="1.0035143750000001E-3"/>
    <n v="2.9241832541666665E-2"/>
    <n v="7.6521375000000001E-5"/>
    <n v="59.826156508958334"/>
  </r>
  <r>
    <s v="istree_exp6_rebuilding_time/step10257.txt"/>
    <s v="brown_ext_ist_lf_en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1.0000048625807601E+18"/>
    <n v="1000002998"/>
    <n v="1.0000048625807601E+18"/>
    <n v="1000002998"/>
    <s v="success"/>
    <n v="7"/>
    <n v="89406048"/>
    <n v="1088712080"/>
    <n v="1178118128"/>
    <n v="1000002998"/>
    <n v="13.177199999999999"/>
    <n v="0.91851899999999997"/>
    <n v="4.0099499999999999"/>
    <n v="24572646496"/>
    <s v="0 0 0 7956 48987"/>
    <s v="0 0 0 7956 48987"/>
    <m/>
    <n v="180686"/>
    <n v="2873122100817"/>
    <n v="28706725"/>
    <m/>
    <n v="109623790"/>
    <n v="3274819911"/>
    <n v="10939457"/>
    <n v="1989650110"/>
    <n v="0"/>
    <n v="20098317"/>
    <n v="1989650110"/>
    <n v="2009748427"/>
    <n v="33160835"/>
    <n v="0"/>
    <n v="334971"/>
    <n v="33160835"/>
    <n v="33495807"/>
    <n v="22.023299999999999"/>
    <n v="12.939500000000001"/>
    <n v="3994.82"/>
    <n v="3329.37"/>
    <n v="59814"/>
    <n v="11842"/>
    <n v="59.856710433687503"/>
    <n v="7.1335205895833337E-2"/>
    <n v="0"/>
    <n v="0"/>
    <n v="0"/>
    <n v="7956"/>
    <n v="48987"/>
    <n v="0"/>
    <s v="u=1%, k=2x10^9"/>
    <x v="3"/>
    <n v="5.9805677083333327E-4"/>
    <n v="0"/>
    <n v="2.2838289583333332E-3"/>
    <n v="6.8225414812499996E-2"/>
    <n v="2.2790535416666665E-4"/>
    <n v="59.785375227791668"/>
  </r>
  <r>
    <s v="istree_exp6_rebuilding_time/step10258.txt"/>
    <s v="brown_ext_ist_lf_en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941306618496E+17"/>
    <n v="1000003227"/>
    <n v="9.9997941306618496E+17"/>
    <n v="1000003227"/>
    <s v="success"/>
    <n v="7"/>
    <n v="95110110"/>
    <n v="1100221495"/>
    <n v="1195331605"/>
    <n v="1000003227"/>
    <n v="12.5679"/>
    <n v="0.90891100000000002"/>
    <n v="4.0216200000000004"/>
    <n v="25215855888"/>
    <s v="0 0 0 84913 226492"/>
    <s v="0 0 0 84913 226492"/>
    <m/>
    <n v="98860"/>
    <n v="5746244409329"/>
    <n v="183028048"/>
    <m/>
    <n v="658746573"/>
    <n v="9967845341"/>
    <n v="100055428"/>
    <n v="4402711417"/>
    <n v="0"/>
    <n v="44471921"/>
    <n v="4402711417"/>
    <n v="4447183338"/>
    <n v="73378523"/>
    <n v="0"/>
    <n v="741198"/>
    <n v="73378523"/>
    <n v="74119722"/>
    <n v="22.0944"/>
    <n v="13.7751"/>
    <n v="3606.4"/>
    <n v="2883.68"/>
    <n v="60702"/>
    <n v="10124"/>
    <n v="59.856712597177079"/>
    <n v="0.11364245197916667"/>
    <n v="0"/>
    <n v="0"/>
    <n v="0"/>
    <n v="84913"/>
    <n v="226492"/>
    <n v="0"/>
    <s v="u=1%, k=2x10^9"/>
    <x v="3"/>
    <n v="1.9065421666666666E-3"/>
    <n v="0"/>
    <n v="6.8619434687499994E-3"/>
    <n v="0.10383172230208333"/>
    <n v="1.0422440416666668E-3"/>
    <n v="59.743070145197912"/>
  </r>
  <r>
    <s v="istree_exp6_rebuilding_time/step10259.txt"/>
    <s v="brown_ext_ist_lf_en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814672975E+18"/>
    <n v="1000001457"/>
    <n v="1.00000814672975E+18"/>
    <n v="1000001457"/>
    <s v="success"/>
    <n v="7"/>
    <n v="99949819"/>
    <n v="1110058105"/>
    <n v="1210007924"/>
    <n v="1000001457"/>
    <n v="12.106199999999999"/>
    <n v="0.90085499999999996"/>
    <n v="4.03165"/>
    <n v="25764212048"/>
    <s v="0 0 0 278325 485157"/>
    <s v="0 0 0 278325 485157"/>
    <m/>
    <n v="65394"/>
    <n v="8619367291237"/>
    <n v="493299927"/>
    <m/>
    <n v="1637866049"/>
    <n v="12313867865"/>
    <n v="290703063"/>
    <n v="6592460741"/>
    <n v="0"/>
    <n v="66600431"/>
    <n v="6592460741"/>
    <n v="6659061172"/>
    <n v="109874345"/>
    <n v="0"/>
    <n v="1110007"/>
    <n v="109874345"/>
    <n v="110984352"/>
    <n v="22.1768"/>
    <n v="14.011900000000001"/>
    <n v="3612.12"/>
    <n v="2880.8"/>
    <n v="61551"/>
    <n v="9378"/>
    <n v="59.856717300256946"/>
    <n v="0.10233150627777778"/>
    <n v="0"/>
    <n v="0"/>
    <n v="0"/>
    <n v="278325"/>
    <n v="485157"/>
    <n v="0"/>
    <s v="u=1%, k=2x10^9"/>
    <x v="3"/>
    <n v="3.4256939375E-3"/>
    <n v="0"/>
    <n v="1.1374069784722224E-2"/>
    <n v="8.5512971284722225E-2"/>
    <n v="2.0187712708333331E-3"/>
    <n v="59.754385793979168"/>
  </r>
  <r>
    <s v="istree_exp6_rebuilding_time/step10260.txt"/>
    <s v="brown_ext_ist_lf_en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7710319081894E+17"/>
    <n v="999990057"/>
    <n v="9.9997710319081894E+17"/>
    <n v="999990057"/>
    <s v="success"/>
    <n v="7"/>
    <n v="104084761"/>
    <n v="1118530492"/>
    <n v="1222615253"/>
    <n v="999990057"/>
    <n v="11.7463"/>
    <n v="0.89402099999999995"/>
    <n v="4.0403099999999998"/>
    <n v="26234762480"/>
    <s v="0 0 0 599573 789150"/>
    <s v="0 0 0 599573 789150"/>
    <m/>
    <n v="51146"/>
    <n v="11372776257601"/>
    <n v="984529466"/>
    <m/>
    <n v="3074285834"/>
    <n v="15184275238"/>
    <n v="588462904"/>
    <n v="8614545542"/>
    <n v="0"/>
    <n v="87021089"/>
    <n v="8614545542"/>
    <n v="8701566631"/>
    <n v="143575759"/>
    <n v="0"/>
    <n v="1450351"/>
    <n v="143575759"/>
    <n v="145026110"/>
    <n v="22.1721"/>
    <n v="14.1355"/>
    <n v="3646.23"/>
    <n v="2905.29"/>
    <n v="62223"/>
    <n v="9522"/>
    <n v="59.856717145268426"/>
    <n v="0.1043765970631579"/>
    <n v="0"/>
    <n v="0"/>
    <n v="0"/>
    <n v="599573"/>
    <n v="789150"/>
    <n v="0"/>
    <s v="u=1%, k=2x10^9"/>
    <x v="3"/>
    <n v="5.1817340315789473E-3"/>
    <n v="0"/>
    <n v="1.6180451757894735E-2"/>
    <n v="7.9917238094736845E-2"/>
    <n v="3.0971731789473686E-3"/>
    <n v="59.752340548205268"/>
  </r>
  <r>
    <s v="istree_exp6_rebuilding_time/step10261.txt"/>
    <s v="brown_ext_ist_lf_en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984853738"/>
    <n v="1000021"/>
    <n v="1000984853738"/>
    <n v="1000021"/>
    <s v="success"/>
    <n v="6"/>
    <n v="61256"/>
    <n v="1089230"/>
    <n v="1150486"/>
    <n v="1000021"/>
    <n v="18.781600000000001"/>
    <n v="0.918099"/>
    <n v="3.0591200000000001"/>
    <n v="22356624"/>
    <s v="1051 698263 10038131 11248669"/>
    <s v="777 697154 10036997 11248587"/>
    <n v="179459"/>
    <n v="1475724"/>
    <n v="1436561163176"/>
    <n v="35138604792"/>
    <n v="316847376"/>
    <n v="41370315332"/>
    <n v="32734933227"/>
    <n v="16671609715"/>
    <n v="3497352480"/>
    <n v="0"/>
    <n v="388582834"/>
    <n v="3497352480"/>
    <n v="3885935314"/>
    <n v="58289208"/>
    <n v="0"/>
    <n v="6476380"/>
    <n v="58289208"/>
    <n v="64765588"/>
    <n v="10.2318"/>
    <n v="0.36218899999999998"/>
    <n v="1032.8800000000001"/>
    <n v="368.74099999999999"/>
    <n v="1207"/>
    <n v="31"/>
    <n v="59.856715132333335"/>
    <n v="5.2596796017500003"/>
    <n v="777"/>
    <n v="697154"/>
    <n v="10036997"/>
    <n v="11248587"/>
    <n v="0"/>
    <n v="0"/>
    <s v="u=10%, k=2x10^6"/>
    <x v="4"/>
    <n v="1.4641085330000001"/>
    <n v="1.3201974E-2"/>
    <n v="1.7237631388333332"/>
    <n v="1.3639555511249999"/>
    <n v="0.69465040479166662"/>
    <n v="54.597035530583334"/>
  </r>
  <r>
    <s v="istree_exp6_rebuilding_time/step10262.txt"/>
    <s v="brown_ext_ist_lf_en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999408976944"/>
    <n v="999428"/>
    <n v="999408976944"/>
    <n v="999428"/>
    <s v="success"/>
    <n v="6"/>
    <n v="72849"/>
    <n v="1113477"/>
    <n v="1186326"/>
    <n v="999428"/>
    <n v="16.284700000000001"/>
    <n v="0.89757399999999998"/>
    <n v="3.0850599999999999"/>
    <n v="23700864"/>
    <s v="1732 1139152 10813025 15697634"/>
    <s v="1154 1138088 10809267 15697319"/>
    <n v="751334"/>
    <n v="546506"/>
    <n v="2873122366932"/>
    <n v="88077659573"/>
    <n v="1540944170"/>
    <n v="104548770306"/>
    <n v="56755165758"/>
    <n v="40649745296"/>
    <n v="5193066929"/>
    <n v="0"/>
    <n v="577023172"/>
    <n v="5193066929"/>
    <n v="5770090101"/>
    <n v="86551115"/>
    <n v="0"/>
    <n v="9617052"/>
    <n v="86551115"/>
    <n v="96168168"/>
    <n v="10.3856"/>
    <n v="0.469835"/>
    <n v="1380.06"/>
    <n v="593.18700000000001"/>
    <n v="1254"/>
    <n v="39"/>
    <n v="59.856715977750007"/>
    <n v="6.0744226063125"/>
    <n v="1154"/>
    <n v="1138088"/>
    <n v="10809267"/>
    <n v="15697319"/>
    <n v="0"/>
    <n v="0"/>
    <s v="u=10%, k=2x10^6"/>
    <x v="4"/>
    <n v="1.8349512411041669"/>
    <n v="3.2103003541666668E-2"/>
    <n v="2.178099381375"/>
    <n v="1.1823992866249999"/>
    <n v="0.84686969366666665"/>
    <n v="53.782293371437504"/>
  </r>
  <r>
    <s v="istree_exp6_rebuilding_time/step10263.txt"/>
    <s v="brown_ext_ist_lf_en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937083175"/>
    <n v="999934"/>
    <n v="999937083175"/>
    <n v="999934"/>
    <s v="success"/>
    <n v="6"/>
    <n v="66733"/>
    <n v="1100807"/>
    <n v="1167540"/>
    <n v="999934"/>
    <n v="17.495699999999999"/>
    <n v="0.90836399999999995"/>
    <n v="3.0714899999999998"/>
    <n v="22995040"/>
    <s v="2979 2761504 4780110 20317944"/>
    <s v="1759 2747337 4772576 20317157"/>
    <n v="3737587"/>
    <n v="218094"/>
    <n v="5746244973989"/>
    <n v="268125244934"/>
    <n v="9242380954"/>
    <n v="332752446229"/>
    <n v="146102762796"/>
    <n v="261118063193"/>
    <n v="7912675286"/>
    <n v="0"/>
    <n v="879179401"/>
    <n v="7912675286"/>
    <n v="8791854687"/>
    <n v="131877921"/>
    <n v="0"/>
    <n v="14652990"/>
    <n v="131877921"/>
    <n v="146530911"/>
    <n v="11.1381"/>
    <n v="1.6150500000000001"/>
    <n v="1823.43"/>
    <n v="996.10400000000004"/>
    <n v="1366"/>
    <n v="251"/>
    <n v="59.856718479052084"/>
    <n v="10.597301021937501"/>
    <n v="1759"/>
    <n v="2747337"/>
    <n v="4772576"/>
    <n v="20317157"/>
    <n v="0"/>
    <n v="0"/>
    <s v="u=10%, k=2x10^6"/>
    <x v="4"/>
    <n v="2.7929713013958337"/>
    <n v="9.6274801604166668E-2"/>
    <n v="3.4661713148854165"/>
    <n v="1.5219037791250001"/>
    <n v="2.7199798249270835"/>
    <n v="49.25941745711458"/>
  </r>
  <r>
    <s v="istree_exp6_rebuilding_time/step10264.txt"/>
    <s v="brown_ext_ist_lf_en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0291221975"/>
    <n v="1000330"/>
    <n v="1000291221975"/>
    <n v="1000330"/>
    <s v="success"/>
    <n v="6"/>
    <n v="51282"/>
    <n v="1069516"/>
    <n v="1120798"/>
    <n v="1000330"/>
    <n v="21.855599999999999"/>
    <n v="0.935311"/>
    <n v="3.0379499999999999"/>
    <n v="21230720"/>
    <s v="3766 6312317 1136405 17568465"/>
    <s v="2164 6282860 1132142 17567251"/>
    <n v="10098916"/>
    <n v="124326"/>
    <n v="8619368450253"/>
    <n v="530389361459"/>
    <n v="24383963118"/>
    <n v="701657193135"/>
    <n v="179269921091"/>
    <n v="637195847762"/>
    <n v="9733195814"/>
    <n v="0"/>
    <n v="1081496159"/>
    <n v="9733195814"/>
    <n v="10814691973"/>
    <n v="162219930"/>
    <n v="0"/>
    <n v="18024935"/>
    <n v="162219930"/>
    <n v="180244866"/>
    <n v="12.3416"/>
    <n v="2.7103999999999999"/>
    <n v="2220.98"/>
    <n v="1359.05"/>
    <n v="1515"/>
    <n v="320"/>
    <n v="59.856725348979161"/>
    <n v="14.395113101145833"/>
    <n v="2164"/>
    <n v="6282860"/>
    <n v="1132142"/>
    <n v="17567251"/>
    <n v="0"/>
    <n v="0"/>
    <s v="u=10%, k=2x10^6"/>
    <x v="4"/>
    <n v="3.683259454576389"/>
    <n v="0.16933307720833335"/>
    <n v="4.8726193967708333"/>
    <n v="1.2449300075763887"/>
    <n v="4.424971165013889"/>
    <n v="45.46161224783333"/>
  </r>
  <r>
    <s v="istree_exp6_rebuilding_time/step10265.txt"/>
    <s v="brown_ext_ist_lf_en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0687280568"/>
    <n v="999993"/>
    <n v="1000687280568"/>
    <n v="999993"/>
    <s v="success"/>
    <n v="6"/>
    <n v="54070"/>
    <n v="1074380"/>
    <n v="1128450"/>
    <n v="999993"/>
    <n v="20.870200000000001"/>
    <n v="0.93076300000000001"/>
    <n v="3.0439099999999999"/>
    <n v="21534736"/>
    <s v="4618 5987449 2908339 23903045"/>
    <s v="2549 5952740 2897670 23901136"/>
    <n v="13241255"/>
    <n v="86036"/>
    <n v="11372777853259"/>
    <n v="652757608340"/>
    <n v="36919756518"/>
    <n v="953349037923"/>
    <n v="236868645854"/>
    <n v="1137163386128"/>
    <n v="11461297265"/>
    <n v="0"/>
    <n v="1273450189"/>
    <n v="11461297265"/>
    <n v="12734747454"/>
    <n v="191021621"/>
    <n v="0"/>
    <n v="21224169"/>
    <n v="191021621"/>
    <n v="212245790"/>
    <n v="12.6098"/>
    <n v="3.1173500000000001"/>
    <n v="2489.89"/>
    <n v="1616.31"/>
    <n v="1651"/>
    <n v="345"/>
    <n v="59.856725543468421"/>
    <n v="15.879254919805264"/>
    <n v="2549"/>
    <n v="5952740"/>
    <n v="2897670"/>
    <n v="23901136"/>
    <n v="0"/>
    <n v="0"/>
    <s v="u=10%, k=2x10^6"/>
    <x v="4"/>
    <n v="3.435566359684211"/>
    <n v="0.19431450798947369"/>
    <n v="5.0176265153842108"/>
    <n v="1.2466770834421053"/>
    <n v="5.985070453305263"/>
    <n v="43.977470623663159"/>
  </r>
  <r>
    <s v="istree_exp6_rebuilding_time/step10266.txt"/>
    <s v="brown_ext_ist_lf_en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82725323013"/>
    <n v="9998491"/>
    <n v="99982725323013"/>
    <n v="9998491"/>
    <s v="success"/>
    <n v="7"/>
    <n v="1898240"/>
    <n v="12011703"/>
    <n v="13909943"/>
    <n v="9998491"/>
    <n v="7.3278100000000004"/>
    <n v="0.83239600000000002"/>
    <n v="4.0546699999999998"/>
    <n v="344073152"/>
    <s v="42 94872 2726901 25190705 84430"/>
    <s v="34 94773 2726840 25190659 84430"/>
    <n v="25769"/>
    <n v="613384"/>
    <n v="1436561244616"/>
    <n v="50870159651"/>
    <n v="207984199"/>
    <n v="58928256445"/>
    <n v="38967164936"/>
    <n v="22943909470"/>
    <n v="1551856058"/>
    <n v="0"/>
    <n v="172430257"/>
    <n v="1551856058"/>
    <n v="1724286315"/>
    <n v="25864267"/>
    <n v="0"/>
    <n v="2873837"/>
    <n v="25864267"/>
    <n v="28738105"/>
    <n v="18.505500000000001"/>
    <n v="7.3171799999999996"/>
    <n v="2305.62"/>
    <n v="1497.01"/>
    <n v="2439"/>
    <n v="154"/>
    <n v="59.856718525666672"/>
    <n v="7.1632281125416668"/>
    <n v="34"/>
    <n v="94773"/>
    <n v="2726840"/>
    <n v="25190659"/>
    <n v="84430"/>
    <n v="0"/>
    <s v="u=10%, k=2x10^7"/>
    <x v="5"/>
    <n v="2.1195899854583335"/>
    <n v="8.6660082916666676E-3"/>
    <n v="2.4553440185416666"/>
    <n v="1.6236318723333334"/>
    <n v="0.95599622791666672"/>
    <n v="52.693490413125005"/>
  </r>
  <r>
    <s v="istree_exp6_rebuilding_time/step10267.txt"/>
    <s v="brown_ext_ist_lf_en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4787316387"/>
    <n v="10002505"/>
    <n v="99994787316387"/>
    <n v="10002505"/>
    <s v="success"/>
    <n v="7"/>
    <n v="1903773"/>
    <n v="12034904"/>
    <n v="13938677"/>
    <n v="10002505"/>
    <n v="7.3216099999999997"/>
    <n v="0.831125"/>
    <n v="4.0550499999999996"/>
    <n v="344904880"/>
    <s v="78 180264 3958995 41739617 135543"/>
    <s v="58 180162 3958757 41739423 135543"/>
    <n v="113556"/>
    <n v="256794"/>
    <n v="2873122468455"/>
    <n v="111304384954"/>
    <n v="1024717165"/>
    <n v="143797683267"/>
    <n v="86044865088"/>
    <n v="52561961640"/>
    <n v="2639941206"/>
    <n v="0"/>
    <n v="293340226"/>
    <n v="2639941206"/>
    <n v="2933281432"/>
    <n v="43999020"/>
    <n v="0"/>
    <n v="4889003"/>
    <n v="43999020"/>
    <n v="48888023"/>
    <n v="18.7605"/>
    <n v="7.5007400000000004"/>
    <n v="2706.86"/>
    <n v="1851.85"/>
    <n v="2488"/>
    <n v="159"/>
    <n v="59.856718092812507"/>
    <n v="8.2236169190416657"/>
    <n v="58"/>
    <n v="180162"/>
    <n v="3958757"/>
    <n v="41739423"/>
    <n v="135543"/>
    <n v="0"/>
    <s v="u=10%, k=2x10^7"/>
    <x v="5"/>
    <n v="2.3188413532083332"/>
    <n v="2.1348274270833332E-2"/>
    <n v="2.9957850680624998"/>
    <n v="1.7926013559999998"/>
    <n v="1.0950408675000001"/>
    <n v="51.633101173770839"/>
  </r>
  <r>
    <s v="istree_exp6_rebuilding_time/step10268.txt"/>
    <s v="brown_ext_ist_lf_en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00206278370"/>
    <n v="9998781"/>
    <n v="100000206278370"/>
    <n v="9998781"/>
    <s v="success"/>
    <n v="7"/>
    <n v="1905109"/>
    <n v="12027469"/>
    <n v="13932578"/>
    <n v="9998781"/>
    <n v="7.3132700000000002"/>
    <n v="0.83132899999999998"/>
    <n v="4.05593"/>
    <n v="344879264"/>
    <s v="187 366802 5355224 79854360 232612"/>
    <s v="116 366750 5354333 79853608 232611"/>
    <n v="471620"/>
    <n v="133178"/>
    <n v="5746245230506"/>
    <n v="221416746201"/>
    <n v="4906099769"/>
    <n v="325906255153"/>
    <n v="289308636390"/>
    <n v="109488254613"/>
    <n v="5243872688"/>
    <n v="0"/>
    <n v="582700274"/>
    <n v="5243872688"/>
    <n v="5826572962"/>
    <n v="87397878"/>
    <n v="0"/>
    <n v="9711671"/>
    <n v="87397878"/>
    <n v="97109549"/>
    <n v="18.990500000000001"/>
    <n v="7.9494800000000003"/>
    <n v="2717.69"/>
    <n v="1822.65"/>
    <n v="2612"/>
    <n v="219"/>
    <n v="59.856721151104161"/>
    <n v="9.9065207513125006"/>
    <n v="116"/>
    <n v="366750"/>
    <n v="5354333"/>
    <n v="79853608"/>
    <n v="232611"/>
    <n v="0"/>
    <s v="u=10%, k=2x10^7"/>
    <x v="5"/>
    <n v="2.3064244395937501"/>
    <n v="5.1105205927083334E-2"/>
    <n v="3.3948568245104167"/>
    <n v="3.0136316290625"/>
    <n v="1.14050265221875"/>
    <n v="49.950200399791662"/>
  </r>
  <r>
    <s v="istree_exp6_rebuilding_time/step10269.txt"/>
    <s v="brown_ext_ist_lf_en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26169697482"/>
    <n v="10002621"/>
    <n v="100026169697482"/>
    <n v="10002621"/>
    <s v="success"/>
    <n v="7"/>
    <n v="1819933"/>
    <n v="11847652"/>
    <n v="13667585"/>
    <n v="10002621"/>
    <n v="7.5099400000000003"/>
    <n v="0.84426999999999996"/>
    <n v="4.0396000000000001"/>
    <n v="335162432"/>
    <s v="276 531452 4450927 112384600 281774"/>
    <s v="167 531373 4449485 112383105 281768"/>
    <n v="989592"/>
    <n v="88320"/>
    <n v="8619367414481"/>
    <n v="319690351170"/>
    <n v="8673661124"/>
    <n v="481352525431"/>
    <n v="511012731791"/>
    <n v="169598140677"/>
    <n v="7559256966"/>
    <n v="0"/>
    <n v="839888873"/>
    <n v="7559256966"/>
    <n v="8399145839"/>
    <n v="125987616"/>
    <n v="0"/>
    <n v="13998147"/>
    <n v="125987616"/>
    <n v="139985763"/>
    <n v="19.121600000000001"/>
    <n v="8.2679600000000004"/>
    <n v="2822.05"/>
    <n v="1911.41"/>
    <n v="2775"/>
    <n v="318"/>
    <n v="59.856718156118049"/>
    <n v="10.349495904118056"/>
    <n v="167"/>
    <n v="531373"/>
    <n v="4449485"/>
    <n v="112383105"/>
    <n v="281768"/>
    <n v="0"/>
    <s v="u=10%, k=2x10^7"/>
    <x v="5"/>
    <n v="2.2200718831249997"/>
    <n v="6.0233757805555559E-2"/>
    <n v="3.3427258710486112"/>
    <n v="3.5486995263263892"/>
    <n v="1.1777648658125"/>
    <n v="49.507222251999991"/>
  </r>
  <r>
    <s v="istree_exp6_rebuilding_time/step10270.txt"/>
    <s v="brown_ext_ist_lf_en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77374080090"/>
    <n v="9997072"/>
    <n v="99977374080090"/>
    <n v="9997072"/>
    <s v="success"/>
    <n v="7"/>
    <n v="1625319"/>
    <n v="11439042"/>
    <n v="13064361"/>
    <n v="9997072"/>
    <n v="8.0380299999999991"/>
    <n v="0.87394300000000003"/>
    <n v="4.0000099999999996"/>
    <n v="313050176"/>
    <s v="347 657959 5547036 139198715 347675"/>
    <s v="208 657865 5544675 139196237 347670"/>
    <n v="1634640"/>
    <n v="67648"/>
    <n v="11373258998331"/>
    <n v="418539368697"/>
    <n v="16184840703"/>
    <n v="672314597747"/>
    <n v="772359703589"/>
    <n v="238372451667"/>
    <n v="9358255191"/>
    <n v="0"/>
    <n v="1039847250"/>
    <n v="9358255191"/>
    <n v="10398102441"/>
    <n v="155970919"/>
    <n v="0"/>
    <n v="17330787"/>
    <n v="155970919"/>
    <n v="173301707"/>
    <n v="19.340199999999999"/>
    <n v="8.5379100000000001"/>
    <n v="2996.53"/>
    <n v="2058.2800000000002"/>
    <n v="2875"/>
    <n v="461"/>
    <n v="59.859257885952637"/>
    <n v="11.146162960015788"/>
    <n v="208"/>
    <n v="657865"/>
    <n v="5544675"/>
    <n v="139196237"/>
    <n v="347670"/>
    <n v="0"/>
    <s v="u=10%, k=2x10^7"/>
    <x v="5"/>
    <n v="2.2028387826157894"/>
    <n v="8.518337212105262E-2"/>
    <n v="3.5384978828789473"/>
    <n v="4.0650510715210526"/>
    <n v="1.2545918508789473"/>
    <n v="48.713094925936851"/>
  </r>
  <r>
    <s v="istree_exp6_rebuilding_time/step10271.txt"/>
    <s v="brown_ext_ist_lf_en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08043475473E+16"/>
    <n v="100005027"/>
    <n v="1.00008043475473E+16"/>
    <n v="100005027"/>
    <s v="success"/>
    <n v="7"/>
    <n v="14401895"/>
    <n v="117018096"/>
    <n v="131419991"/>
    <n v="100005027"/>
    <n v="9.1251899999999999"/>
    <n v="0.85461200000000004"/>
    <n v="4.06731"/>
    <n v="3028085024"/>
    <s v="2 12695 1332552 12276115 2026881"/>
    <s v="2 12682 1332543 12276114 2026881"/>
    <n v="2190"/>
    <n v="529278"/>
    <n v="1436561204554"/>
    <n v="28806433894"/>
    <n v="30061818"/>
    <n v="38088003065"/>
    <n v="29622233469"/>
    <n v="12067310574"/>
    <n v="1306476884"/>
    <n v="0"/>
    <n v="145147230"/>
    <n v="1306476884"/>
    <n v="1451624114"/>
    <n v="21774614"/>
    <n v="0"/>
    <n v="2419120"/>
    <n v="21774614"/>
    <n v="24193735"/>
    <n v="20.8751"/>
    <n v="9.4337499999999999"/>
    <n v="2740.67"/>
    <n v="2019.45"/>
    <n v="9947"/>
    <n v="1546"/>
    <n v="59.856716856416661"/>
    <n v="4.5255851174999995"/>
    <n v="2"/>
    <n v="12682"/>
    <n v="1332543"/>
    <n v="12276114"/>
    <n v="2026881"/>
    <n v="0"/>
    <s v="u=10%, k=2x10^8"/>
    <x v="6"/>
    <n v="1.2002680789166666"/>
    <n v="1.25257575E-3"/>
    <n v="1.5870001277083334"/>
    <n v="1.234259727875"/>
    <n v="0.50280460724999998"/>
    <n v="55.33113173891666"/>
  </r>
  <r>
    <s v="istree_exp6_rebuilding_time/step10272.txt"/>
    <s v="brown_ext_ist_lf_en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1.00001997056742E+16"/>
    <n v="100005832"/>
    <n v="1.00001997056742E+16"/>
    <n v="100005832"/>
    <s v="success"/>
    <n v="7"/>
    <n v="14587693"/>
    <n v="117471012"/>
    <n v="132058705"/>
    <n v="100005832"/>
    <n v="9.0527499999999996"/>
    <n v="0.85132300000000005"/>
    <n v="4.0723900000000004"/>
    <n v="3050581952"/>
    <s v="4 34412 2115970 20183619 3346393"/>
    <s v="4 34382 2115957 20183607 3346391"/>
    <n v="13887"/>
    <n v="211716"/>
    <n v="2873122484433"/>
    <n v="82467453250"/>
    <n v="202911077"/>
    <n v="109921797673"/>
    <n v="76774538521"/>
    <n v="35055913053"/>
    <n v="2180350645"/>
    <n v="0"/>
    <n v="242269897"/>
    <n v="2180350645"/>
    <n v="2422620542"/>
    <n v="36339177"/>
    <n v="0"/>
    <n v="4037831"/>
    <n v="36339177"/>
    <n v="40377009"/>
    <n v="21.513500000000001"/>
    <n v="9.8269199999999994"/>
    <n v="3249.05"/>
    <n v="2428.6799999999998"/>
    <n v="13517"/>
    <n v="1290"/>
    <n v="59.856718425687497"/>
    <n v="6.3421377827916672"/>
    <n v="4"/>
    <n v="34382"/>
    <n v="2115957"/>
    <n v="20183607"/>
    <n v="3346391"/>
    <n v="0"/>
    <s v="u=10%, k=2x10^8"/>
    <x v="6"/>
    <n v="1.7180719427083335"/>
    <n v="4.2273141041666669E-3"/>
    <n v="2.2900374515208335"/>
    <n v="1.5994695525208333"/>
    <n v="0.73033152193749995"/>
    <n v="53.514580642895829"/>
  </r>
  <r>
    <s v="istree_exp6_rebuilding_time/step10273.txt"/>
    <s v="brown_ext_ist_lf_en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670858946940"/>
    <n v="99994181"/>
    <n v="9999670858946940"/>
    <n v="99994181"/>
    <s v="success"/>
    <n v="7"/>
    <n v="11938474"/>
    <n v="111860409"/>
    <n v="123798883"/>
    <n v="99994181"/>
    <n v="10.3697"/>
    <n v="0.89391900000000002"/>
    <n v="4.0187999999999997"/>
    <n v="2745094832"/>
    <s v="11 89170 3553086 35998887 6070697"/>
    <s v="9 89145 3553009 35998846 6070692"/>
    <n v="84364"/>
    <n v="82008"/>
    <n v="5746297984293"/>
    <n v="182918131988"/>
    <n v="1626985054"/>
    <n v="325904356122"/>
    <n v="256941459497"/>
    <n v="85380296244"/>
    <n v="4084711170"/>
    <n v="0"/>
    <n v="453861092"/>
    <n v="4084711170"/>
    <n v="4538572262"/>
    <n v="68078519"/>
    <n v="0"/>
    <n v="7564351"/>
    <n v="68078519"/>
    <n v="75642871"/>
    <n v="22.0976"/>
    <n v="10.8492"/>
    <n v="3355.8"/>
    <n v="2483.31"/>
    <n v="13208"/>
    <n v="1220"/>
    <n v="59.857270669718751"/>
    <n v="8.8830336344270844"/>
    <n v="9"/>
    <n v="89145"/>
    <n v="3553009"/>
    <n v="35998846"/>
    <n v="6070692"/>
    <n v="0"/>
    <s v="u=10%, k=2x10^8"/>
    <x v="6"/>
    <n v="1.9053972082083332"/>
    <n v="1.6947760979166667E-2"/>
    <n v="3.3948370429375001"/>
    <n v="2.6764735364270833"/>
    <n v="0.88937808587499989"/>
    <n v="50.974237035291665"/>
  </r>
  <r>
    <s v="istree_exp6_rebuilding_time/step10274.txt"/>
    <s v="brown_ext_ist_lf_en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2201800542E+16"/>
    <n v="100000466"/>
    <n v="1.00002201800542E+16"/>
    <n v="100000466"/>
    <s v="success"/>
    <n v="7"/>
    <n v="11544789"/>
    <n v="111072222"/>
    <n v="122617011"/>
    <n v="100000466"/>
    <n v="10.621"/>
    <n v="0.90031899999999998"/>
    <n v="4.0107499999999998"/>
    <n v="2700824256"/>
    <s v="18 129966 4549064 50694909 8666697"/>
    <s v="13 129963 4548904 50694820 8666691"/>
    <n v="175893"/>
    <n v="48674"/>
    <n v="8619527614925"/>
    <n v="266005441240"/>
    <n v="5300049169"/>
    <n v="578300031468"/>
    <n v="483769676469"/>
    <n v="135219224784"/>
    <n v="5869608429"/>
    <n v="0"/>
    <n v="652165818"/>
    <n v="5869608429"/>
    <n v="6521774247"/>
    <n v="97826807"/>
    <n v="0"/>
    <n v="10869430"/>
    <n v="97826807"/>
    <n v="108696237"/>
    <n v="22.247699999999998"/>
    <n v="11.186199999999999"/>
    <n v="3431.86"/>
    <n v="2545.41"/>
    <n v="14034"/>
    <n v="1166"/>
    <n v="59.85783065920139"/>
    <n v="10.198572382847223"/>
    <n v="13"/>
    <n v="129963"/>
    <n v="4548904"/>
    <n v="50694820"/>
    <n v="8666691"/>
    <n v="0"/>
    <s v="u=10%, k=2x10^8"/>
    <x v="6"/>
    <n v="1.8472600086111111"/>
    <n v="3.6805897006944449E-2"/>
    <n v="4.0159724407500006"/>
    <n v="3.3595116421458333"/>
    <n v="0.93902239433333334"/>
    <n v="49.659258276354166"/>
  </r>
  <r>
    <s v="istree_exp6_rebuilding_time/step10275.txt"/>
    <s v="brown_ext_ist_lf_en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595126894270"/>
    <n v="100003369"/>
    <n v="9999595126894270"/>
    <n v="100003369"/>
    <s v="success"/>
    <n v="7"/>
    <n v="14913202"/>
    <n v="118185412"/>
    <n v="133098614"/>
    <n v="100003369"/>
    <n v="8.9248899999999995"/>
    <n v="0.84615700000000005"/>
    <n v="4.0815000000000001"/>
    <n v="3088108736"/>
    <s v="28 159990 5516394 64125490 11065008"/>
    <s v="16 159976 5516130 64125335 11064996"/>
    <n v="271971"/>
    <n v="34340"/>
    <n v="11373222645064"/>
    <n v="337823711414"/>
    <n v="12108002339"/>
    <n v="823949260513"/>
    <n v="723682470506"/>
    <n v="183931493236"/>
    <n v="7464618983"/>
    <n v="0"/>
    <n v="829431775"/>
    <n v="7464618983"/>
    <n v="8294050758"/>
    <n v="124410316"/>
    <n v="0"/>
    <n v="13823862"/>
    <n v="124410316"/>
    <n v="138234179"/>
    <n v="22.266500000000001"/>
    <n v="11.3538"/>
    <n v="3512.79"/>
    <n v="2629.62"/>
    <n v="14308"/>
    <n v="1144"/>
    <n v="59.859066552968414"/>
    <n v="10.955236515831579"/>
    <n v="16"/>
    <n v="159976"/>
    <n v="5516130"/>
    <n v="64125335"/>
    <n v="11064996"/>
    <n v="0"/>
    <s v="u=10%, k=2x10^8"/>
    <x v="6"/>
    <n v="1.7780195337578948"/>
    <n v="6.3726328100000007E-2"/>
    <n v="4.3365750553315792"/>
    <n v="3.8088551079263158"/>
    <n v="0.96806049071578948"/>
    <n v="48.903830037136835"/>
  </r>
  <r>
    <s v="istree_exp6_rebuilding_time/step10276.txt"/>
    <s v="brown_ext_ist_lf_en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1.00002197258095E+18"/>
    <n v="1000003626"/>
    <n v="1.00002197258095E+18"/>
    <n v="1000003626"/>
    <s v="success"/>
    <n v="7"/>
    <n v="107438223"/>
    <n v="1125452151"/>
    <n v="1232890374"/>
    <n v="1000003626"/>
    <n v="11.475300000000001"/>
    <n v="0.88853499999999996"/>
    <n v="4.0473999999999997"/>
    <n v="26618050048"/>
    <s v="0 0 0 1020749 1102434"/>
    <s v="0 0 0 1020749 1102434"/>
    <m/>
    <n v="388406"/>
    <n v="1436563520940"/>
    <n v="867282399"/>
    <m/>
    <n v="1760520834"/>
    <n v="2111020848"/>
    <n v="255562258"/>
    <n v="945729721"/>
    <n v="0"/>
    <n v="105064311"/>
    <n v="945729721"/>
    <n v="1050794032"/>
    <n v="15762162"/>
    <n v="0"/>
    <n v="1751071"/>
    <n v="15762162"/>
    <n v="17513233"/>
    <n v="22.930900000000001"/>
    <n v="13.508800000000001"/>
    <n v="3814.33"/>
    <n v="3044.16"/>
    <n v="61803"/>
    <n v="16546"/>
    <n v="59.8568133725"/>
    <n v="0.20809943079166668"/>
    <n v="0"/>
    <n v="0"/>
    <n v="0"/>
    <n v="1020749"/>
    <n v="1102434"/>
    <n v="0"/>
    <s v="u=10%, k=2x10^9"/>
    <x v="7"/>
    <n v="3.6136766625000004E-2"/>
    <n v="0"/>
    <n v="7.3355034750000006E-2"/>
    <n v="8.7959202E-2"/>
    <n v="1.0648427416666667E-2"/>
    <n v="59.64871394170833"/>
  </r>
  <r>
    <s v="istree_exp6_rebuilding_time/step10277.txt"/>
    <s v="brown_ext_ist_lf_en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9761702464102E+17"/>
    <n v="999991176"/>
    <n v="9.9999761702464102E+17"/>
    <n v="999991176"/>
    <s v="success"/>
    <n v="7"/>
    <n v="119359960"/>
    <n v="1150604373"/>
    <n v="1269964333"/>
    <n v="999991176"/>
    <n v="10.639799999999999"/>
    <n v="0.86910100000000001"/>
    <n v="4.0731400000000004"/>
    <n v="27995435024"/>
    <s v="0 0 0 4907540 2907374"/>
    <s v="0 0 0 4907540 2907374"/>
    <m/>
    <n v="171586"/>
    <n v="2873126301033"/>
    <n v="5138571996"/>
    <m/>
    <n v="9112750155"/>
    <n v="9196083163"/>
    <n v="1741489249"/>
    <n v="1701338973"/>
    <n v="0"/>
    <n v="189013226"/>
    <n v="1701338973"/>
    <n v="1890352199"/>
    <n v="28355649"/>
    <n v="0"/>
    <n v="3150220"/>
    <n v="28355649"/>
    <n v="31505869"/>
    <n v="23.1645"/>
    <n v="13.7094"/>
    <n v="4239.6899999999996"/>
    <n v="3533.69"/>
    <n v="63672"/>
    <n v="12554"/>
    <n v="59.856797938187498"/>
    <n v="0.52476863672916674"/>
    <n v="0"/>
    <n v="0"/>
    <n v="0"/>
    <n v="4907540"/>
    <n v="2907374"/>
    <n v="0"/>
    <s v="u=10%, k=2x10^9"/>
    <x v="7"/>
    <n v="0.10705358324999999"/>
    <n v="0"/>
    <n v="0.1898489615625"/>
    <n v="0.19158506589583335"/>
    <n v="3.6281026020833336E-2"/>
    <n v="59.332029301458334"/>
  </r>
  <r>
    <s v="istree_exp6_rebuilding_time/step10278.txt"/>
    <s v="brown_ext_ist_lf_en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8397807577894E+17"/>
    <n v="999995161"/>
    <n v="9.9998397807577894E+17"/>
    <n v="999995161"/>
    <s v="success"/>
    <n v="7"/>
    <n v="126481582"/>
    <n v="1167766879"/>
    <n v="1294248461"/>
    <n v="999995161"/>
    <n v="10.232699999999999"/>
    <n v="0.85633099999999995"/>
    <n v="4.0897699999999997"/>
    <n v="28867387568"/>
    <s v="0 0 417915 25508025 7834827"/>
    <s v="0 0 417915 25508020 7834827"/>
    <n v="14"/>
    <n v="89686"/>
    <n v="5746252186245"/>
    <n v="31488380338"/>
    <n v="20756"/>
    <n v="45497033176"/>
    <n v="40747339190"/>
    <n v="11239674828"/>
    <n v="3575779019"/>
    <n v="0"/>
    <n v="397373330"/>
    <n v="3575779019"/>
    <n v="3973152349"/>
    <n v="59596316"/>
    <n v="0"/>
    <n v="6622888"/>
    <n v="59596316"/>
    <n v="66219205"/>
    <n v="23.625499999999999"/>
    <n v="14.6854"/>
    <n v="4030.8"/>
    <n v="3262.13"/>
    <n v="66638"/>
    <n v="9676"/>
    <n v="59.856793606718753"/>
    <n v="1.3434630030000001"/>
    <n v="0"/>
    <n v="0"/>
    <n v="417915"/>
    <n v="25508020"/>
    <n v="7834827"/>
    <n v="0"/>
    <s v="u=10%, k=2x10^9"/>
    <x v="7"/>
    <n v="0.32800396185416664"/>
    <n v="2.1620833333333332E-7"/>
    <n v="0.47392742891666667"/>
    <n v="0.42445144989583333"/>
    <n v="0.117079946125"/>
    <n v="58.513330603718757"/>
  </r>
  <r>
    <s v="istree_exp6_rebuilding_time/step10279.txt"/>
    <s v="brown_ext_ist_lf_enabled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1.00005445699961E+18"/>
    <n v="1000023353"/>
    <n v="1.00005445699961E+18"/>
    <n v="1000023353"/>
    <s v="success"/>
    <n v="7"/>
    <n v="89142354"/>
    <n v="1088197338"/>
    <n v="1177339692"/>
    <n v="1000023353"/>
    <n v="13.2074"/>
    <n v="0.91897200000000001"/>
    <n v="4.0094099999999999"/>
    <n v="24543238400"/>
    <s v="1 31584 2161503 33496669 9481828"/>
    <s v="1 31583 2161491 33496663 9481828"/>
    <n v="25521"/>
    <n v="48484"/>
    <n v="8621736547242"/>
    <n v="187234226123"/>
    <n v="3129003459"/>
    <n v="699214191331"/>
    <n v="204600217170"/>
    <n v="106541863018"/>
    <n v="4671236151"/>
    <n v="0"/>
    <n v="519027777"/>
    <n v="4671236151"/>
    <n v="5190263928"/>
    <n v="77853935"/>
    <n v="0"/>
    <n v="8650462"/>
    <n v="77853935"/>
    <n v="86504398"/>
    <n v="25.143000000000001"/>
    <n v="15.882999999999999"/>
    <n v="4326.33"/>
    <n v="3487.82"/>
    <n v="103140"/>
    <n v="9083"/>
    <n v="59.873170466958335"/>
    <n v="8.3383298687569454"/>
    <n v="1"/>
    <n v="31583"/>
    <n v="2161491"/>
    <n v="33496663"/>
    <n v="9481828"/>
    <n v="0"/>
    <s v="u=10%, k=2x10^9"/>
    <x v="7"/>
    <n v="1.3002376814097223"/>
    <n v="2.17291906875E-2"/>
    <n v="4.8556541064652778"/>
    <n v="1.4208348414583334"/>
    <n v="0.73987404873611107"/>
    <n v="51.534840598201392"/>
  </r>
  <r>
    <s v="istree_exp6_rebuilding_time/step10280.txt"/>
    <s v="brown_ext_ist_lf_en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3471679518E+18"/>
    <n v="1000010319"/>
    <n v="1.00003471679518E+18"/>
    <n v="1000010319"/>
    <s v="success"/>
    <n v="7"/>
    <n v="116975072"/>
    <n v="1145494549"/>
    <n v="1262469621"/>
    <n v="1000010319"/>
    <n v="10.7926"/>
    <n v="0.87299400000000005"/>
    <n v="4.0679100000000004"/>
    <n v="27717543696"/>
    <s v="3 31594 2149505 37101730 11861609"/>
    <s v="1 31592 2149488 37101717 11861609"/>
    <n v="33989"/>
    <n v="35068"/>
    <n v="11372788794649"/>
    <n v="239409107972"/>
    <n v="4011734946"/>
    <n v="737926253083"/>
    <n v="233737160725"/>
    <n v="320880452295"/>
    <n v="6013968705"/>
    <n v="0"/>
    <n v="668204499"/>
    <n v="6013968705"/>
    <n v="6682173204"/>
    <n v="100232811"/>
    <n v="0"/>
    <n v="11136741"/>
    <n v="100232811"/>
    <n v="111369553"/>
    <n v="24.862400000000001"/>
    <n v="15.7202"/>
    <n v="4481.21"/>
    <n v="3619.93"/>
    <n v="120122"/>
    <n v="9100"/>
    <n v="59.856783129731575"/>
    <n v="8.0840247843210538"/>
    <n v="1"/>
    <n v="31592"/>
    <n v="2149488"/>
    <n v="37101717"/>
    <n v="11861609"/>
    <n v="0"/>
    <s v="u=10%, k=2x10^9"/>
    <x v="7"/>
    <n v="1.2600479366947368"/>
    <n v="2.1114394452631576E-2"/>
    <n v="3.8838223846473685"/>
    <n v="1.2301955827631579"/>
    <n v="1.6888444857631579"/>
    <n v="51.772758345410523"/>
  </r>
  <r>
    <s v="istree_exp6_rebuilding_time/step10281.txt"/>
    <s v="brown_ext_ist_lf_en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0751882144"/>
    <n v="1000525"/>
    <n v="1000751882144"/>
    <n v="1000525"/>
    <s v="success"/>
    <n v="6"/>
    <n v="34540"/>
    <n v="1035543"/>
    <n v="1070083"/>
    <n v="1000525"/>
    <n v="30.981000000000002"/>
    <n v="0.96618400000000004"/>
    <n v="3.0030199999999998"/>
    <n v="19331952"/>
    <s v="3952 1826124 26239004 29416207"/>
    <s v="2031 1818973 26231587 29415584"/>
    <n v="910928"/>
    <n v="1034816"/>
    <n v="1436567694044"/>
    <n v="93662503601"/>
    <n v="1083499720"/>
    <n v="108870940705"/>
    <n v="79161552395"/>
    <n v="44119291935"/>
    <n v="1523143056"/>
    <n v="0"/>
    <n v="1015417959"/>
    <n v="1523143056"/>
    <n v="2538561015"/>
    <n v="25385717"/>
    <n v="0"/>
    <n v="16923632"/>
    <n v="25385717"/>
    <n v="42309350"/>
    <n v="15.706"/>
    <n v="1.05277"/>
    <n v="1580.39"/>
    <n v="623.63300000000004"/>
    <n v="1238"/>
    <n v="26"/>
    <n v="59.856987251833338"/>
    <n v="13.6207411815"/>
    <n v="2031"/>
    <n v="1818973"/>
    <n v="26231587"/>
    <n v="29415584"/>
    <n v="0"/>
    <n v="0"/>
    <s v="u=40%, k=2x10^6"/>
    <x v="8"/>
    <n v="3.9026043167083331"/>
    <n v="4.5145821666666669E-2"/>
    <n v="4.5362891960416665"/>
    <n v="3.2983980164583335"/>
    <n v="1.8383038306249999"/>
    <n v="46.236246070333337"/>
  </r>
  <r>
    <s v="istree_exp6_rebuilding_time/step10282.txt"/>
    <s v="brown_ext_ist_lf_en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9069891071"/>
    <n v="999794"/>
    <n v="999069891071"/>
    <n v="999794"/>
    <s v="success"/>
    <n v="6"/>
    <n v="64689"/>
    <n v="1097998"/>
    <n v="1162687"/>
    <n v="999794"/>
    <n v="17.973500000000001"/>
    <n v="0.91056099999999995"/>
    <n v="3.0689299999999999"/>
    <n v="22804176"/>
    <s v="7459 2859831 27141031 39396966"/>
    <s v="2895 2853345 27119166 39395139"/>
    <n v="3699297"/>
    <n v="376956"/>
    <n v="2873125435062"/>
    <n v="244172007272"/>
    <n v="5082643721"/>
    <n v="271409830259"/>
    <n v="151916803045"/>
    <n v="102624104945"/>
    <n v="2171260326"/>
    <n v="0"/>
    <n v="1447544518"/>
    <n v="2171260326"/>
    <n v="3618804844"/>
    <n v="36187672"/>
    <n v="0"/>
    <n v="24125741"/>
    <n v="36187672"/>
    <n v="60313414"/>
    <n v="16.207100000000001"/>
    <n v="1.5250600000000001"/>
    <n v="2171.7399999999998"/>
    <n v="1030.9100000000001"/>
    <n v="1305"/>
    <n v="34"/>
    <n v="59.856779897125001"/>
    <n v="16.150112275874999"/>
    <n v="2895"/>
    <n v="2853345"/>
    <n v="27119166"/>
    <n v="39395139"/>
    <n v="0"/>
    <n v="0"/>
    <s v="u=40%, k=2x10^6"/>
    <x v="8"/>
    <n v="5.0869168181666664"/>
    <n v="0.10588841085416667"/>
    <n v="5.6543714637291664"/>
    <n v="3.1649333967708331"/>
    <n v="2.1380021863541665"/>
    <n v="43.706667621250006"/>
  </r>
  <r>
    <s v="istree_exp6_rebuilding_time/step10283.txt"/>
    <s v="brown_ext_ist_lf_en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1000940500385"/>
    <n v="1000085"/>
    <n v="1000940500385"/>
    <n v="1000085"/>
    <s v="success"/>
    <n v="6"/>
    <n v="33064"/>
    <n v="1032161"/>
    <n v="1065225"/>
    <n v="1000085"/>
    <n v="32.217100000000002"/>
    <n v="0.96892299999999998"/>
    <n v="3.0000599999999999"/>
    <n v="19159680"/>
    <s v="9395 5530222 9580612 40669133"/>
    <s v="3521 5475430 9549903 40665248"/>
    <n v="14907051"/>
    <n v="125264"/>
    <n v="5746329050091"/>
    <n v="692934436104"/>
    <n v="26367424603"/>
    <n v="746680537388"/>
    <n v="311107296621"/>
    <n v="500258101499"/>
    <n v="2639542055"/>
    <n v="0"/>
    <n v="1759631784"/>
    <n v="2639542055"/>
    <n v="4399173839"/>
    <n v="43992367"/>
    <n v="0"/>
    <n v="29327196"/>
    <n v="43992367"/>
    <n v="73319563"/>
    <n v="19.4437"/>
    <n v="6.0476099999999997"/>
    <n v="3643.95"/>
    <n v="2400.65"/>
    <n v="1444"/>
    <n v="147"/>
    <n v="59.857594271781245"/>
    <n v="23.722372877239582"/>
    <n v="3521"/>
    <n v="5475430"/>
    <n v="9549903"/>
    <n v="40665248"/>
    <n v="0"/>
    <n v="0"/>
    <s v="u=40%, k=2x10^6"/>
    <x v="8"/>
    <n v="7.2180670427500004"/>
    <n v="0.27466067294791668"/>
    <n v="7.7779222644583328"/>
    <n v="3.24070100646875"/>
    <n v="5.2110218906145835"/>
    <n v="36.135221394541659"/>
  </r>
  <r>
    <s v="istree_exp6_rebuilding_time/step10284.txt"/>
    <s v="brown_ext_ist_lf_en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1014493145"/>
    <n v="1000598"/>
    <n v="1001014493145"/>
    <n v="1000598"/>
    <s v="success"/>
    <n v="6"/>
    <n v="51500"/>
    <n v="1069931"/>
    <n v="1121431"/>
    <n v="1000598"/>
    <n v="21.775400000000001"/>
    <n v="0.935199"/>
    <n v="3.0383599999999999"/>
    <n v="21255104"/>
    <s v="10417 11159440 2009961 31013346"/>
    <s v="3822 11061944 1995621 31009004"/>
    <n v="36441618"/>
    <n v="61780"/>
    <n v="8619377502633"/>
    <n v="1357364580848"/>
    <n v="67560451955"/>
    <n v="1498301735384"/>
    <n v="398545139417"/>
    <n v="1075121543161"/>
    <n v="2865109205"/>
    <n v="0"/>
    <n v="1910009327"/>
    <n v="2865109205"/>
    <n v="4775118532"/>
    <n v="47751820"/>
    <n v="0"/>
    <n v="31833488"/>
    <n v="47751820"/>
    <n v="79585308"/>
    <n v="24.331"/>
    <n v="10.456799999999999"/>
    <n v="5035.9799999999996"/>
    <n v="3562.43"/>
    <n v="1658"/>
    <n v="297"/>
    <n v="59.856788212729171"/>
    <n v="30.533982296979168"/>
    <n v="3822"/>
    <n v="11061944"/>
    <n v="1995621"/>
    <n v="31009004"/>
    <n v="0"/>
    <n v="0"/>
    <s v="u=40%, k=2x10^6"/>
    <x v="8"/>
    <n v="9.426142922555556"/>
    <n v="0.46916980524305557"/>
    <n v="10.404873162388888"/>
    <n v="2.7676745792847219"/>
    <n v="7.466121827506945"/>
    <n v="29.322805915750003"/>
  </r>
  <r>
    <s v="istree_exp6_rebuilding_time/step10285.txt"/>
    <s v="brown_ext_ist_lf_en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838569426"/>
    <n v="999639"/>
    <n v="999838569426"/>
    <n v="999639"/>
    <s v="success"/>
    <n v="6"/>
    <n v="53637"/>
    <n v="1073589"/>
    <n v="1127226"/>
    <n v="999639"/>
    <n v="21.015799999999999"/>
    <n v="0.93111900000000003"/>
    <n v="3.0431300000000001"/>
    <n v="21489472"/>
    <s v="12998 10344119 5026867 41257567"/>
    <s v="4399 10227464 4991053 41250458"/>
    <n v="49215151"/>
    <n v="40356"/>
    <n v="11372784126947"/>
    <n v="1752142798368"/>
    <n v="103056428700"/>
    <n v="2013691568466"/>
    <n v="538307990962"/>
    <n v="1883353270573"/>
    <n v="3296284470"/>
    <n v="0"/>
    <n v="2197509953"/>
    <n v="3296284470"/>
    <n v="5493794423"/>
    <n v="54938074"/>
    <n v="0"/>
    <n v="36625165"/>
    <n v="54938074"/>
    <n v="91563240"/>
    <n v="24.843800000000002"/>
    <n v="11.6854"/>
    <n v="5773.2"/>
    <n v="4271.91"/>
    <n v="1855"/>
    <n v="203"/>
    <n v="59.856758562878944"/>
    <n v="33.108168721415787"/>
    <n v="4399"/>
    <n v="10227464"/>
    <n v="4991053"/>
    <n v="41250458"/>
    <n v="0"/>
    <n v="0"/>
    <s v="u=40%, k=2x10^6"/>
    <x v="8"/>
    <n v="9.2218042019368429"/>
    <n v="0.54240225631578942"/>
    <n v="10.598376676136843"/>
    <n v="2.833199952431579"/>
    <n v="9.9123856345947363"/>
    <n v="26.748589841463158"/>
  </r>
  <r>
    <s v="istree_exp6_rebuilding_time/step10286.txt"/>
    <s v="brown_ext_ist_lf_en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1811743005"/>
    <n v="9997007"/>
    <n v="99971811743005"/>
    <n v="9997007"/>
    <s v="success"/>
    <n v="7"/>
    <n v="1805798"/>
    <n v="11809080"/>
    <n v="13614878"/>
    <n v="9997007"/>
    <n v="7.5395399999999997"/>
    <n v="0.846553"/>
    <n v="4.0360300000000002"/>
    <n v="333412208"/>
    <s v="149 262977 7537272 68849613 232384"/>
    <s v="94 262411 7536889 68849303 232384"/>
    <n v="128204"/>
    <n v="447300"/>
    <n v="1436562186559"/>
    <n v="137450156414"/>
    <n v="608003080"/>
    <n v="155499178930"/>
    <n v="91038185112"/>
    <n v="64653845249"/>
    <n v="706669827"/>
    <n v="0"/>
    <n v="471098384"/>
    <n v="706669827"/>
    <n v="1177768211"/>
    <n v="11777830"/>
    <n v="0"/>
    <n v="7851639"/>
    <n v="11777830"/>
    <n v="19629470"/>
    <n v="25.9267"/>
    <n v="11.072800000000001"/>
    <n v="3380.54"/>
    <n v="2133.34"/>
    <n v="2449"/>
    <n v="155"/>
    <n v="59.856757773291669"/>
    <n v="18.718723699375001"/>
    <n v="94"/>
    <n v="262411"/>
    <n v="7536889"/>
    <n v="68849303"/>
    <n v="232384"/>
    <n v="0"/>
    <s v="u=40%, k=2x10^7"/>
    <x v="9"/>
    <n v="5.727089850583333"/>
    <n v="2.5333461666666668E-2"/>
    <n v="6.4791324554166669"/>
    <n v="3.7932577129999996"/>
    <n v="2.6939102187083335"/>
    <n v="41.138034073916671"/>
  </r>
  <r>
    <s v="istree_exp6_rebuilding_time/step10287.txt"/>
    <s v="brown_ext_ist_lf_en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06379189101"/>
    <n v="10000728"/>
    <n v="100006379189101"/>
    <n v="10000728"/>
    <s v="success"/>
    <n v="7"/>
    <n v="1760129"/>
    <n v="11716464"/>
    <n v="13476593"/>
    <n v="10000728"/>
    <n v="7.6565899999999996"/>
    <n v="0.85356200000000004"/>
    <n v="4.0268699999999997"/>
    <n v="328274896"/>
    <s v="346 475442 10390589 108818209 355149"/>
    <s v="153 474881 10389084 108816905 355147"/>
    <n v="522699"/>
    <n v="187974"/>
    <n v="2873124149651"/>
    <n v="282830561200"/>
    <n v="2777077066"/>
    <n v="362929921785"/>
    <n v="203729978625"/>
    <n v="138265446845"/>
    <n v="1148479566"/>
    <n v="0"/>
    <n v="765654699"/>
    <n v="1148479566"/>
    <n v="1914134265"/>
    <n v="19141326"/>
    <n v="0"/>
    <n v="12760911"/>
    <n v="19141326"/>
    <n v="31902237"/>
    <n v="26.703900000000001"/>
    <n v="11.6851"/>
    <n v="4154.71"/>
    <n v="2778.04"/>
    <n v="2509"/>
    <n v="192"/>
    <n v="59.85675311772917"/>
    <n v="20.636103865020832"/>
    <n v="153"/>
    <n v="474881"/>
    <n v="10389084"/>
    <n v="108816905"/>
    <n v="355147"/>
    <n v="0"/>
    <s v="u=40%, k=2x10^7"/>
    <x v="9"/>
    <n v="5.8923033583333329"/>
    <n v="5.785577220833333E-2"/>
    <n v="7.5610400371874995"/>
    <n v="4.2443745546875"/>
    <n v="2.880530142604167"/>
    <n v="39.220649252708334"/>
  </r>
  <r>
    <s v="istree_exp6_rebuilding_time/step10288.txt"/>
    <s v="brown_ext_ist_lf_en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3625214232"/>
    <n v="9998868"/>
    <n v="99993625214232"/>
    <n v="9998868"/>
    <s v="success"/>
    <n v="7"/>
    <n v="1648296"/>
    <n v="11486223"/>
    <n v="13134519"/>
    <n v="9998868"/>
    <n v="7.96854"/>
    <n v="0.87051000000000001"/>
    <n v="4.0045000000000002"/>
    <n v="315643232"/>
    <s v="821 850724 12404856 184336921 535964"/>
    <s v="269 850485 12400332 184332402 535960"/>
    <n v="1899382"/>
    <n v="89926"/>
    <n v="5746905841949"/>
    <n v="503936014625"/>
    <n v="11638404616"/>
    <n v="746916980704"/>
    <n v="692836254769"/>
    <n v="257025035380"/>
    <n v="2017668770"/>
    <n v="0"/>
    <n v="1345110046"/>
    <n v="2017668770"/>
    <n v="3362778816"/>
    <n v="33627812"/>
    <n v="0"/>
    <n v="22418500"/>
    <n v="33627812"/>
    <n v="56046313"/>
    <n v="27.544499999999999"/>
    <n v="13.542299999999999"/>
    <n v="4687.54"/>
    <n v="3217.24"/>
    <n v="2651"/>
    <n v="249"/>
    <n v="59.863602520302088"/>
    <n v="23.045340521812502"/>
    <n v="269"/>
    <n v="850485"/>
    <n v="12400332"/>
    <n v="184332402"/>
    <n v="535960"/>
    <n v="0"/>
    <s v="u=40%, k=2x10^7"/>
    <x v="9"/>
    <n v="5.2493334856770835"/>
    <n v="0.12123338141666667"/>
    <n v="7.7803852156666666"/>
    <n v="7.2170443205104169"/>
    <n v="2.6773441185416669"/>
    <n v="36.818261998489589"/>
  </r>
  <r>
    <s v="istree_exp6_rebuilding_time/step10289.txt"/>
    <s v="brown_ext_ist_lf_en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00423251442"/>
    <n v="10000032"/>
    <n v="100000423251442"/>
    <n v="10000032"/>
    <s v="success"/>
    <n v="7"/>
    <n v="1625817"/>
    <n v="11442433"/>
    <n v="13068250"/>
    <n v="10000032"/>
    <n v="8.03796"/>
    <n v="0.87394300000000003"/>
    <n v="4.0000099999999996"/>
    <n v="313144272"/>
    <s v="1311 1199045 10029546 253535170 633989"/>
    <s v="379 1198695 10022849 253525974 633980"/>
    <n v="3871628"/>
    <n v="58438"/>
    <n v="8619920246538"/>
    <n v="716301634320"/>
    <n v="24174233347"/>
    <n v="1093149850045"/>
    <n v="1271591176630"/>
    <n v="386804251548"/>
    <n v="2842045400"/>
    <n v="0"/>
    <n v="1894763192"/>
    <n v="2842045400"/>
    <n v="4736808592"/>
    <n v="47367423"/>
    <n v="0"/>
    <n v="31579386"/>
    <n v="47367423"/>
    <n v="78946809"/>
    <n v="27.874199999999998"/>
    <n v="14.3817"/>
    <n v="4955.96"/>
    <n v="3412.7"/>
    <n v="2833"/>
    <n v="339"/>
    <n v="59.860557267625005"/>
    <n v="24.250146846458332"/>
    <n v="379"/>
    <n v="1198695"/>
    <n v="10022849"/>
    <n v="253525974"/>
    <n v="633980"/>
    <n v="0"/>
    <s v="u=40%, k=2x10^7"/>
    <x v="9"/>
    <n v="4.9743169049999993"/>
    <n v="0.16787662046527779"/>
    <n v="7.5913184030902778"/>
    <n v="8.8304942821527774"/>
    <n v="2.6861406357500002"/>
    <n v="35.610410421166677"/>
  </r>
  <r>
    <s v="istree_exp6_rebuilding_time/step10290.txt"/>
    <s v="brown_ext_ist_lf_en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99992563418855"/>
    <n v="9998108"/>
    <n v="99992563418855"/>
    <n v="9998108"/>
    <s v="success"/>
    <n v="7"/>
    <n v="1868780"/>
    <n v="11957516"/>
    <n v="13826296"/>
    <n v="9998108"/>
    <n v="7.3985700000000003"/>
    <n v="0.83613599999999999"/>
    <n v="4.0484"/>
    <n v="340858032"/>
    <s v="1623 1452733 12253295 307645879 772377"/>
    <s v="459 1452244 12242540 307631227 772359"/>
    <n v="6118632"/>
    <n v="43854"/>
    <n v="11372783609520"/>
    <n v="920833910713"/>
    <n v="41490409716"/>
    <n v="1491502817841"/>
    <n v="2054309815174"/>
    <n v="506058584289"/>
    <n v="3447252391"/>
    <n v="0"/>
    <n v="2298065119"/>
    <n v="3447252391"/>
    <n v="5745317510"/>
    <n v="57454206"/>
    <n v="0"/>
    <n v="38301085"/>
    <n v="57454206"/>
    <n v="95755291"/>
    <n v="28.503"/>
    <n v="15.151199999999999"/>
    <n v="5360.43"/>
    <n v="3655.99"/>
    <n v="2957"/>
    <n v="404"/>
    <n v="59.856755839578945"/>
    <n v="26.390502830173681"/>
    <n v="459"/>
    <n v="1452244"/>
    <n v="12242540"/>
    <n v="307631227"/>
    <n v="772359"/>
    <n v="0"/>
    <s v="u=40%, k=2x10^7"/>
    <x v="9"/>
    <n v="4.8464942669105264"/>
    <n v="0.21837057745263158"/>
    <n v="7.8500148307421052"/>
    <n v="10.812156921968421"/>
    <n v="2.6634662330999999"/>
    <n v="33.466253009405264"/>
  </r>
  <r>
    <s v="istree_exp6_rebuilding_time/step10291.txt"/>
    <s v="brown_ext_ist_lf_en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96213695930"/>
    <n v="99992584"/>
    <n v="9999596213695930"/>
    <n v="99992584"/>
    <s v="success"/>
    <n v="7"/>
    <n v="14648287"/>
    <n v="117594496"/>
    <n v="132242783"/>
    <n v="99992584"/>
    <n v="9.0278700000000001"/>
    <n v="0.85031699999999999"/>
    <n v="4.0742000000000003"/>
    <n v="3057777248"/>
    <s v="10 44549 3681015 32936249 5432739"/>
    <s v="7 44485 3680988 32936232 5432738"/>
    <n v="13614"/>
    <n v="354986"/>
    <n v="1436561976994"/>
    <n v="93845490505"/>
    <n v="164373166"/>
    <n v="123625764355"/>
    <n v="89953015290"/>
    <n v="43305100379"/>
    <n v="586773611"/>
    <n v="0"/>
    <n v="391151520"/>
    <n v="586773611"/>
    <n v="977925131"/>
    <n v="9779560"/>
    <n v="0"/>
    <n v="6519192"/>
    <n v="9779560"/>
    <n v="16298752"/>
    <n v="27.576599999999999"/>
    <n v="13.3118"/>
    <n v="3947.9"/>
    <n v="2841.34"/>
    <n v="12596"/>
    <n v="1547"/>
    <n v="59.856749041416663"/>
    <n v="14.620572653958334"/>
    <n v="7"/>
    <n v="44485"/>
    <n v="3680988"/>
    <n v="32936232"/>
    <n v="5432738"/>
    <n v="0"/>
    <s v="u=40%, k=2x10^8"/>
    <x v="10"/>
    <n v="3.9102287710416666"/>
    <n v="6.8488819166666664E-3"/>
    <n v="5.1510735147916664"/>
    <n v="3.7480423037499997"/>
    <n v="1.8043791824583335"/>
    <n v="45.236176387458329"/>
  </r>
  <r>
    <s v="istree_exp6_rebuilding_time/step10292.txt"/>
    <s v="brown_ext_ist_lf_en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335334398860"/>
    <n v="99993211"/>
    <n v="9999335334398860"/>
    <n v="99993211"/>
    <s v="success"/>
    <n v="7"/>
    <n v="14229807"/>
    <n v="116638690"/>
    <n v="130868497"/>
    <n v="99993211"/>
    <n v="9.19679"/>
    <n v="0.85729"/>
    <n v="4.06677"/>
    <n v="3007228928"/>
    <s v="25 102992 5641078 50613555 8444026"/>
    <s v="12 102819 5640979 50613462 8444020"/>
    <n v="67664"/>
    <n v="129006"/>
    <n v="2873123698653"/>
    <n v="234513786450"/>
    <n v="1136069480"/>
    <n v="309530590676"/>
    <n v="216253009334"/>
    <n v="104959778504"/>
    <n v="927189442"/>
    <n v="0"/>
    <n v="618230098"/>
    <n v="927189442"/>
    <n v="1545419540"/>
    <n v="15453157"/>
    <n v="0"/>
    <n v="10303834"/>
    <n v="15453157"/>
    <n v="25756992"/>
    <n v="29.636900000000001"/>
    <n v="14.321899999999999"/>
    <n v="4935.41"/>
    <n v="3632.62"/>
    <n v="13098"/>
    <n v="1285"/>
    <n v="59.856743721937498"/>
    <n v="18.049859050916666"/>
    <n v="12"/>
    <n v="102819"/>
    <n v="5640979"/>
    <n v="50613462"/>
    <n v="8444020"/>
    <n v="0"/>
    <s v="u=40%, k=2x10^8"/>
    <x v="10"/>
    <n v="4.8857038843750002"/>
    <n v="2.3668114166666667E-2"/>
    <n v="6.4485539724166658"/>
    <n v="4.5052710277916672"/>
    <n v="2.1866620521666666"/>
    <n v="41.806884671020825"/>
  </r>
  <r>
    <s v="istree_exp6_rebuilding_time/step10293.txt"/>
    <s v="brown_ext_ist_lf_en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1.00006209554846E+16"/>
    <n v="100006202"/>
    <n v="1.00006209554846E+16"/>
    <n v="100006202"/>
    <s v="success"/>
    <n v="7"/>
    <n v="14937086"/>
    <n v="118263189"/>
    <n v="133200275"/>
    <n v="100006202"/>
    <n v="8.9174199999999999"/>
    <n v="0.84562400000000004"/>
    <n v="4.08169"/>
    <n v="3091530816"/>
    <s v="55 218092 8730809 90564766 15282176"/>
    <s v="22 217977 8730384 90564488 15282160"/>
    <n v="329586"/>
    <n v="56128"/>
    <n v="5746633034485"/>
    <n v="437479763638"/>
    <n v="8459090917"/>
    <n v="697962100509"/>
    <n v="682416687743"/>
    <n v="210610575738"/>
    <n v="1701575627"/>
    <n v="0"/>
    <n v="1134445100"/>
    <n v="1701575627"/>
    <n v="2836020727"/>
    <n v="28359593"/>
    <n v="0"/>
    <n v="18907418"/>
    <n v="28359593"/>
    <n v="47267012"/>
    <n v="30.656600000000001"/>
    <n v="16.0352"/>
    <n v="5255.01"/>
    <n v="3839.89"/>
    <n v="13784"/>
    <n v="1197"/>
    <n v="59.860760775885417"/>
    <n v="21.218002276510415"/>
    <n v="22"/>
    <n v="217977"/>
    <n v="8730384"/>
    <n v="90564488"/>
    <n v="15282160"/>
    <n v="0"/>
    <s v="u=40%, k=2x10^8"/>
    <x v="10"/>
    <n v="4.5570808712291671"/>
    <n v="8.8115530385416654E-2"/>
    <n v="7.2704385469687507"/>
    <n v="7.1085071639895832"/>
    <n v="2.1938601639374999"/>
    <n v="38.642758499374999"/>
  </r>
  <r>
    <s v="istree_exp6_rebuilding_time/step10294.txt"/>
    <s v="brown_ext_ist_lf_en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648308489100"/>
    <n v="99986192"/>
    <n v="9998648308489100"/>
    <n v="99986192"/>
    <s v="success"/>
    <n v="7"/>
    <n v="14715118"/>
    <n v="117750702"/>
    <n v="132465820"/>
    <n v="99986192"/>
    <n v="9.0020199999999999"/>
    <n v="0.84913499999999997"/>
    <n v="4.0758099999999997"/>
    <n v="3065373680"/>
    <s v="88 309924 11000587 124211052 21242080"/>
    <s v="31 309882 10999763 124210464 21242043"/>
    <n v="654444"/>
    <n v="34114"/>
    <n v="8620489335499"/>
    <n v="619933320924"/>
    <n v="24369592422"/>
    <n v="1107091295661"/>
    <n v="1228565870198"/>
    <n v="322228177833"/>
    <n v="2385271917"/>
    <n v="0"/>
    <n v="1590136799"/>
    <n v="2385271917"/>
    <n v="3975408716"/>
    <n v="39754531"/>
    <n v="0"/>
    <n v="26502279"/>
    <n v="39754531"/>
    <n v="66256811"/>
    <n v="30.9328"/>
    <n v="16.8962"/>
    <n v="5504.54"/>
    <n v="4041.06"/>
    <n v="14207"/>
    <n v="1087"/>
    <n v="59.864509274298612"/>
    <n v="22.931862896097222"/>
    <n v="31"/>
    <n v="309882"/>
    <n v="10999763"/>
    <n v="124210464"/>
    <n v="21242043"/>
    <n v="0"/>
    <s v="u=40%, k=2x10^8"/>
    <x v="10"/>
    <n v="4.305092506416667"/>
    <n v="0.16923328070833332"/>
    <n v="7.6881339976458332"/>
    <n v="8.5317074319305561"/>
    <n v="2.2376956793958334"/>
    <n v="36.93264637820139"/>
  </r>
  <r>
    <s v="istree_exp6_rebuilding_time/step10295.txt"/>
    <s v="brown_ext_ist_lf_en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3921832749E+16"/>
    <n v="100006215"/>
    <n v="1.00003921832749E+16"/>
    <n v="100006215"/>
    <s v="success"/>
    <n v="7"/>
    <n v="14016164"/>
    <n v="116183873"/>
    <n v="130200037"/>
    <n v="100006215"/>
    <n v="9.2892799999999998"/>
    <n v="0.86075800000000002"/>
    <n v="4.0621700000000001"/>
    <n v="2982523520"/>
    <s v="151 389939 13378194 152137635 26172198"/>
    <s v="39 389893 13376926 152136676 26172107"/>
    <n v="1048544"/>
    <n v="24242"/>
    <n v="11372782404438"/>
    <n v="798727091922"/>
    <n v="43128680993"/>
    <n v="1537675380302"/>
    <n v="1869998858744"/>
    <n v="437514481620"/>
    <n v="2949452344"/>
    <n v="0"/>
    <n v="1966297715"/>
    <n v="2949452344"/>
    <n v="4915750059"/>
    <n v="49157539"/>
    <n v="0"/>
    <n v="32771628"/>
    <n v="49157539"/>
    <n v="81929167"/>
    <n v="31.297899999999998"/>
    <n v="17.496600000000001"/>
    <n v="5782.73"/>
    <n v="4263.0600000000004"/>
    <n v="14455"/>
    <n v="1134"/>
    <n v="59.856749497042102"/>
    <n v="24.668655229373684"/>
    <n v="39"/>
    <n v="389893"/>
    <n v="13376926"/>
    <n v="152136676"/>
    <n v="26172107"/>
    <n v="0"/>
    <s v="u=40%, k=2x10^8"/>
    <x v="10"/>
    <n v="4.203826799589474"/>
    <n v="0.22699305785789475"/>
    <n v="8.0930283173789466"/>
    <n v="9.8420992565473693"/>
    <n v="2.3027077980000001"/>
    <n v="35.188094267668419"/>
  </r>
  <r>
    <s v="istree_exp6_rebuilding_time/step10296.txt"/>
    <s v="brown_ext_ist_lf_en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6623373140595E+17"/>
    <n v="999988432"/>
    <n v="9.9996623373140595E+17"/>
    <n v="999988432"/>
    <s v="success"/>
    <n v="7"/>
    <n v="128005166"/>
    <n v="1170533389"/>
    <n v="1298538555"/>
    <n v="999988432"/>
    <n v="10.144399999999999"/>
    <n v="0.85430200000000001"/>
    <n v="4.0928500000000003"/>
    <n v="29034284912"/>
    <s v="0 0 111735 21012551 6954085"/>
    <s v="0 0 111735 21012550 6954085"/>
    <n v="2"/>
    <n v="336268"/>
    <n v="1436561808440"/>
    <n v="17203434107"/>
    <n v="2272"/>
    <n v="23821289017"/>
    <n v="21466632534"/>
    <n v="3784900196"/>
    <n v="536885704"/>
    <n v="0"/>
    <n v="357948908"/>
    <n v="536885704"/>
    <n v="894834612"/>
    <n v="8948095"/>
    <n v="0"/>
    <n v="5965815"/>
    <n v="8948095"/>
    <n v="14913910"/>
    <n v="26.0517"/>
    <n v="15.3462"/>
    <n v="4403.7700000000004"/>
    <n v="3493.89"/>
    <n v="62803"/>
    <n v="16517"/>
    <n v="59.856742018333335"/>
    <n v="2.7615107552500002"/>
    <n v="0"/>
    <n v="0"/>
    <n v="111735"/>
    <n v="21012550"/>
    <n v="6954085"/>
    <n v="0"/>
    <s v="u=40%, k=2x10^9"/>
    <x v="11"/>
    <n v="0.71680975445833328"/>
    <n v="9.4666666666666667E-8"/>
    <n v="0.99255370904166673"/>
    <n v="0.89444302224999994"/>
    <n v="0.15770417483333335"/>
    <n v="57.095231263083335"/>
  </r>
  <r>
    <s v="istree_exp6_rebuilding_time/step10297.txt"/>
    <s v="brown_ext_ist_lf_enabled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1015412062E+18"/>
    <n v="1000008217"/>
    <n v="1.00001015412062E+18"/>
    <n v="1000008217"/>
    <s v="success"/>
    <n v="7"/>
    <n v="87792081"/>
    <n v="1085474358"/>
    <n v="1173266439"/>
    <n v="1000008217"/>
    <n v="13.364100000000001"/>
    <n v="0.92126399999999997"/>
    <n v="4.0066899999999999"/>
    <n v="24391315536"/>
    <s v="2 26304 2534912 34442915 9625948"/>
    <s v="1 26284 2534905 34442907 9625947"/>
    <n v="10913"/>
    <n v="115686"/>
    <n v="2873123562158"/>
    <n v="176744441139"/>
    <n v="293030958"/>
    <n v="267913738525"/>
    <n v="123650661444"/>
    <n v="88981138300"/>
    <n v="770089962"/>
    <n v="0"/>
    <n v="513409888"/>
    <n v="770089962"/>
    <n v="1283499850"/>
    <n v="12834832"/>
    <n v="0"/>
    <n v="8556831"/>
    <n v="12834832"/>
    <n v="21391664"/>
    <n v="31.8476"/>
    <n v="19.1282"/>
    <n v="6043.54"/>
    <n v="4887.9799999999996"/>
    <n v="85034"/>
    <n v="12556"/>
    <n v="59.856740878291667"/>
    <n v="13.699646049291667"/>
    <n v="1"/>
    <n v="26284"/>
    <n v="2534905"/>
    <n v="34442907"/>
    <n v="9625947"/>
    <n v="0"/>
    <s v="u=40%, k=2x10^9"/>
    <x v="11"/>
    <n v="3.6821758570625001"/>
    <n v="6.1048116250000005E-3"/>
    <n v="5.5815362192708333"/>
    <n v="2.5760554467499999"/>
    <n v="1.8537737145833333"/>
    <n v="46.157094829000002"/>
  </r>
  <r>
    <s v="istree_exp6_rebuilding_time/step10298.txt"/>
    <s v="brown_ext_ist_lf_en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1.00000039469559E+18"/>
    <n v="999997767"/>
    <n v="1.00000039469559E+18"/>
    <n v="999997767"/>
    <s v="success"/>
    <n v="7"/>
    <n v="84465055"/>
    <n v="1078802328"/>
    <n v="1163267383"/>
    <n v="999997767"/>
    <n v="13.7722"/>
    <n v="0.926952"/>
    <n v="4"/>
    <n v="24018041632"/>
    <s v="7 61924 4628829 67777000 19005822"/>
    <s v="2 61899 4628795 67776976 19005817"/>
    <n v="54990"/>
    <n v="53562"/>
    <n v="5945629711491"/>
    <n v="375212863819"/>
    <n v="3794086867"/>
    <n v="916468100096"/>
    <n v="379085643230"/>
    <n v="201476624729"/>
    <n v="1500084237"/>
    <n v="0"/>
    <n v="1000003653"/>
    <n v="1500084237"/>
    <n v="2500087890"/>
    <n v="25001403"/>
    <n v="0"/>
    <n v="16666727"/>
    <n v="25001403"/>
    <n v="41668131"/>
    <n v="33.186399999999999"/>
    <n v="20.9512"/>
    <n v="5934.75"/>
    <n v="4683.4399999999996"/>
    <n v="87516"/>
    <n v="10014"/>
    <n v="61.933642828031253"/>
    <n v="19.542055403552084"/>
    <n v="2"/>
    <n v="61899"/>
    <n v="4628795"/>
    <n v="67776976"/>
    <n v="19005817"/>
    <n v="0"/>
    <s v="u=40%, k=2x10^9"/>
    <x v="11"/>
    <n v="3.9084673314479166"/>
    <n v="3.9521738197916663E-2"/>
    <n v="9.5465427093333322"/>
    <n v="3.9488087836458337"/>
    <n v="2.0987148409270833"/>
    <n v="42.391587424479169"/>
  </r>
  <r>
    <s v="istree_exp6_rebuilding_time/step10299.txt"/>
    <s v="brown_ext_ist_lf_en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0285765222E+18"/>
    <n v="1000004999"/>
    <n v="1.00000285765222E+18"/>
    <n v="1000004999"/>
    <s v="success"/>
    <n v="7"/>
    <n v="105408479"/>
    <n v="1123331576"/>
    <n v="1228740055"/>
    <n v="1000004999"/>
    <n v="11.6569"/>
    <n v="0.89021399999999995"/>
    <n v="4.0446900000000001"/>
    <n v="26436819248"/>
    <s v="4 75019 6381055 100167042 28200785"/>
    <s v="2 75018 6380987 100166990 28200782"/>
    <n v="96745"/>
    <n v="34160"/>
    <n v="8619743336020"/>
    <n v="474509417267"/>
    <n v="4349875280"/>
    <n v="1182638838279"/>
    <n v="562269642950"/>
    <n v="250504098234"/>
    <n v="2217304391"/>
    <n v="0"/>
    <n v="1478263890"/>
    <n v="2217304391"/>
    <n v="3695568281"/>
    <n v="36955073"/>
    <n v="0"/>
    <n v="24637731"/>
    <n v="36955073"/>
    <n v="61592804"/>
    <n v="32.049700000000001"/>
    <n v="20.5825"/>
    <n v="5895.01"/>
    <n v="4678.54"/>
    <n v="120322"/>
    <n v="9291"/>
    <n v="59.859328722361106"/>
    <n v="17.182443555624999"/>
    <n v="2"/>
    <n v="75018"/>
    <n v="6380987"/>
    <n v="100166990"/>
    <n v="28200782"/>
    <n v="0"/>
    <s v="u=40%, k=2x10^9"/>
    <x v="11"/>
    <n v="3.2952042865763889"/>
    <n v="3.0207467222222222E-2"/>
    <n v="8.2127697102708339"/>
    <n v="3.9046502982638893"/>
    <n v="1.7396117932916666"/>
    <n v="42.676885166736106"/>
  </r>
  <r>
    <s v="istree_exp6_rebuilding_time/step10300.txt"/>
    <s v="brown_ext_ist_lf_en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4182128977E+18"/>
    <n v="1000019642"/>
    <n v="1.00004182128977E+18"/>
    <n v="1000019642"/>
    <s v="success"/>
    <n v="7"/>
    <n v="122991040"/>
    <n v="1158576903"/>
    <n v="1281567943"/>
    <n v="1000019642"/>
    <n v="10.42"/>
    <n v="0.86314500000000005"/>
    <n v="4.0811799999999998"/>
    <n v="28422430368"/>
    <s v="7 94772 6451164 108188624 32129639"/>
    <s v="3 94762 6451075 108188557 32129639"/>
    <n v="154856"/>
    <n v="22856"/>
    <n v="11375261948225"/>
    <n v="609078530489"/>
    <n v="10531824029"/>
    <n v="2009558440910"/>
    <n v="867910331335"/>
    <n v="475069418641"/>
    <n v="2592379069"/>
    <n v="0"/>
    <n v="1728193858"/>
    <n v="2592379069"/>
    <n v="4320572927"/>
    <n v="43206317"/>
    <n v="0"/>
    <n v="28803230"/>
    <n v="43206317"/>
    <n v="72009548"/>
    <n v="33.002600000000001"/>
    <n v="21.424499999999998"/>
    <n v="6275.8"/>
    <n v="4997.21"/>
    <n v="120687"/>
    <n v="9149"/>
    <n v="59.869799727499995"/>
    <n v="20.906044975810527"/>
    <n v="3"/>
    <n v="94762"/>
    <n v="6451075"/>
    <n v="108188557"/>
    <n v="32129639"/>
    <n v="0"/>
    <s v="u=40%, k=2x10^9"/>
    <x v="11"/>
    <n v="3.2056764762578944"/>
    <n v="5.543065278421052E-2"/>
    <n v="10.576623373210525"/>
    <n v="4.5679491122894742"/>
    <n v="2.5003653612684213"/>
    <n v="38.963754751689471"/>
  </r>
  <r>
    <s v="istree_exp6_rebuilding_time/step10301.txt"/>
    <s v="brown_ext_ist_lf_dis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1012342372"/>
    <n v="1001027"/>
    <n v="1001012342372"/>
    <n v="1001027"/>
    <s v="success"/>
    <n v="6"/>
    <n v="68021"/>
    <n v="1104115"/>
    <n v="1172136"/>
    <n v="1001027"/>
    <n v="17.231999999999999"/>
    <n v="0.90663300000000002"/>
    <n v="3.07376"/>
    <n v="23149056"/>
    <s v="97 81722 1176620 1320580"/>
    <s v="91 81704 1176598 1320579"/>
    <m/>
    <n v="1688248"/>
    <n v="1436561758219"/>
    <n v="3976538243"/>
    <n v="82737454793"/>
    <n v="5915125353"/>
    <n v="5225674522"/>
    <n v="2182809116"/>
    <n v="4521191401"/>
    <n v="0"/>
    <n v="45662965"/>
    <n v="4521191401"/>
    <n v="4566854366"/>
    <n v="75353190"/>
    <n v="0"/>
    <n v="761049"/>
    <n v="75353190"/>
    <n v="76114239"/>
    <n v="8.39649"/>
    <n v="9.3694700000000006E-2"/>
    <n v="878.22500000000002"/>
    <n v="262.73399999999998"/>
    <n v="1394"/>
    <n v="27"/>
    <n v="59.856739925791665"/>
    <n v="4.1682334177916669"/>
    <n v="91"/>
    <n v="81704"/>
    <n v="1176598"/>
    <n v="1320579"/>
    <n v="0"/>
    <n v="0"/>
    <s v="u=1%, k=2x10^6"/>
    <x v="12"/>
    <n v="0.16568909345833333"/>
    <n v="3.4473939497083332"/>
    <n v="0.24646355637499998"/>
    <n v="0.21773643841666668"/>
    <n v="9.0950379833333331E-2"/>
    <n v="55.688506507999996"/>
  </r>
  <r>
    <s v="istree_exp6_rebuilding_time/step10302.txt"/>
    <s v="brown_ext_ist_lf_dis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958084548"/>
    <n v="999376"/>
    <n v="999958084548"/>
    <n v="999376"/>
    <s v="success"/>
    <n v="6"/>
    <n v="46002"/>
    <n v="1057746"/>
    <n v="1103748"/>
    <n v="999376"/>
    <n v="23.993500000000001"/>
    <n v="0.94481700000000002"/>
    <n v="3.0265399999999998"/>
    <n v="20609712"/>
    <s v="142 130314 1237177 1794245"/>
    <s v="132 130297 1237107 1794238"/>
    <m/>
    <n v="598736"/>
    <n v="2873123540316"/>
    <n v="9518146002"/>
    <n v="354012142161"/>
    <n v="12780178346"/>
    <n v="10492372178"/>
    <n v="4893078450"/>
    <n v="6536243267"/>
    <n v="0"/>
    <n v="66032780"/>
    <n v="6536243267"/>
    <n v="6602276047"/>
    <n v="108937387"/>
    <n v="0"/>
    <n v="1100546"/>
    <n v="108937387"/>
    <n v="110037934"/>
    <n v="8.2397600000000004"/>
    <n v="0.10332"/>
    <n v="1206.69"/>
    <n v="361.07600000000002"/>
    <n v="1610"/>
    <n v="72"/>
    <n v="59.856740423249995"/>
    <n v="8.1603316070208329"/>
    <n v="132"/>
    <n v="130297"/>
    <n v="1237107"/>
    <n v="1794238"/>
    <n v="0"/>
    <n v="0"/>
    <s v="u=1%, k=2x10^6"/>
    <x v="12"/>
    <n v="0.19829470837499999"/>
    <n v="7.3752529616875"/>
    <n v="0.26625371554166666"/>
    <n v="0.21859108704166666"/>
    <n v="0.101939134375"/>
    <n v="51.696408816229166"/>
  </r>
  <r>
    <s v="istree_exp6_rebuilding_time/step10303.txt"/>
    <s v="brown_ext_ist_lf_dis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482217111"/>
    <n v="1000477"/>
    <n v="1000482217111"/>
    <n v="1000477"/>
    <s v="success"/>
    <n v="6"/>
    <n v="49096"/>
    <n v="1064960"/>
    <n v="1114056"/>
    <n v="1000477"/>
    <n v="22.691400000000002"/>
    <n v="0.93945000000000001"/>
    <n v="3.03288"/>
    <n v="20975216"/>
    <s v="243 349258 606102 2577282"/>
    <s v="223 348971 605949 2577260"/>
    <m/>
    <n v="254542"/>
    <n v="5746246999393"/>
    <n v="29368139698"/>
    <n v="1275224476785"/>
    <n v="28105741118"/>
    <n v="16775652753"/>
    <n v="8654567056"/>
    <n v="11037789114"/>
    <n v="0"/>
    <n v="111493027"/>
    <n v="11037789114"/>
    <n v="11149282141"/>
    <n v="183963151"/>
    <n v="0"/>
    <n v="1858217"/>
    <n v="183963151"/>
    <n v="185821369"/>
    <n v="8.2273800000000001"/>
    <n v="0.233765"/>
    <n v="1430.95"/>
    <n v="384.404"/>
    <n v="2156"/>
    <n v="144"/>
    <n v="59.856739577010416"/>
    <n v="14.147172681354165"/>
    <n v="223"/>
    <n v="348971"/>
    <n v="605949"/>
    <n v="2577260"/>
    <n v="0"/>
    <n v="0"/>
    <s v="u=1%, k=2x10^6"/>
    <x v="12"/>
    <n v="0.30591812185416667"/>
    <n v="13.28358829984375"/>
    <n v="0.29276813664583334"/>
    <n v="0.17474638284374999"/>
    <n v="9.0151740166666661E-2"/>
    <n v="45.709566895656252"/>
  </r>
  <r>
    <s v="istree_exp6_rebuilding_time/step10304.txt"/>
    <s v="brown_ext_ist_lf_dis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331822658"/>
    <n v="999492"/>
    <n v="999331822658"/>
    <n v="999492"/>
    <s v="success"/>
    <n v="6"/>
    <n v="51780"/>
    <n v="1069679"/>
    <n v="1121459"/>
    <n v="999492"/>
    <n v="21.658100000000001"/>
    <n v="0.93438500000000002"/>
    <n v="3.0390199999999998"/>
    <n v="21273504"/>
    <s v="321 840699 151797 2340977"/>
    <s v="288 840001 151681 2340946"/>
    <m/>
    <n v="147190"/>
    <n v="8619371299576"/>
    <n v="52052922973"/>
    <n v="2664967495593"/>
    <n v="50873859313"/>
    <n v="21742945852"/>
    <n v="14410119725"/>
    <n v="14271094185"/>
    <n v="0"/>
    <n v="144149617"/>
    <n v="14271094185"/>
    <n v="14415243802"/>
    <n v="237851569"/>
    <n v="0"/>
    <n v="2402493"/>
    <n v="237851569"/>
    <n v="240254063"/>
    <n v="8.4849300000000003"/>
    <n v="0.33541799999999999"/>
    <n v="1638.5"/>
    <n v="399.65199999999999"/>
    <n v="2806"/>
    <n v="275"/>
    <n v="59.856745135944443"/>
    <n v="19.472550996222221"/>
    <n v="288"/>
    <n v="840001"/>
    <n v="151681"/>
    <n v="2340946"/>
    <n v="0"/>
    <n v="0"/>
    <s v="u=1%, k=2x10^6"/>
    <x v="12"/>
    <n v="0.36147863175694445"/>
    <n v="18.506718719395835"/>
    <n v="0.3532906896736111"/>
    <n v="0.15099267952777776"/>
    <n v="0.10007027586805556"/>
    <n v="40.384194139722219"/>
  </r>
  <r>
    <s v="istree_exp6_rebuilding_time/step10305.txt"/>
    <s v="brown_ext_ist_lf_dis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8975814283"/>
    <n v="999535"/>
    <n v="998975814283"/>
    <n v="999535"/>
    <s v="success"/>
    <n v="6"/>
    <n v="33062"/>
    <n v="1031633"/>
    <n v="1064695"/>
    <n v="999535"/>
    <n v="32.203000000000003"/>
    <n v="0.96888600000000002"/>
    <n v="3.0001199999999999"/>
    <n v="19151072"/>
    <s v="404 849044 414446 3398891"/>
    <s v="362 848163 414156 3398832"/>
    <m/>
    <n v="122834"/>
    <n v="11377250561648"/>
    <n v="64090220903"/>
    <n v="3829887662140"/>
    <n v="55419272113"/>
    <n v="28997996611"/>
    <n v="15744614161"/>
    <n v="17899260242"/>
    <n v="0"/>
    <n v="180792358"/>
    <n v="17899260242"/>
    <n v="18080052600"/>
    <n v="298321004"/>
    <n v="0"/>
    <n v="3013205"/>
    <n v="298321004"/>
    <n v="301334210"/>
    <n v="8.5460399999999996"/>
    <n v="0.39063100000000001"/>
    <n v="1728.75"/>
    <n v="410.815"/>
    <n v="2576"/>
    <n v="331"/>
    <n v="59.880266113936841"/>
    <n v="21.021788241726316"/>
    <n v="362"/>
    <n v="848163"/>
    <n v="414156"/>
    <n v="3398832"/>
    <n v="0"/>
    <n v="0"/>
    <s v="u=1%, k=2x10^6"/>
    <x v="12"/>
    <n v="0.33731695212105267"/>
    <n v="20.15730348494737"/>
    <n v="0.29168037954210524"/>
    <n v="0.15262103479473685"/>
    <n v="8.2866390321052627E-2"/>
    <n v="38.858477872210528"/>
  </r>
  <r>
    <s v="istree_exp6_rebuilding_time/step10306.txt"/>
    <s v="brown_ext_ist_lf_dis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26059555963"/>
    <n v="10002264"/>
    <n v="100026059555963"/>
    <n v="10002264"/>
    <s v="success"/>
    <n v="7"/>
    <n v="1625788"/>
    <n v="11444602"/>
    <n v="13070390"/>
    <n v="10002264"/>
    <n v="8.0394199999999998"/>
    <n v="0.87397199999999997"/>
    <n v="4"/>
    <n v="313176656"/>
    <s v="4 11148 320776 2927348 9840"/>
    <s v="4 11148 320774 2927348 9840"/>
    <m/>
    <n v="718268"/>
    <n v="1450065889221"/>
    <n v="5458711164"/>
    <n v="84146579528"/>
    <n v="7803304406"/>
    <n v="5006959101"/>
    <n v="2092784072"/>
    <n v="1980459061"/>
    <n v="0"/>
    <n v="20003263"/>
    <n v="1980459061"/>
    <n v="2000462324"/>
    <n v="33007651"/>
    <n v="0"/>
    <n v="333387"/>
    <n v="33007651"/>
    <n v="33341038"/>
    <n v="16.1402"/>
    <n v="5.8921599999999996"/>
    <n v="2024.08"/>
    <n v="1226.81"/>
    <n v="2673"/>
    <n v="157"/>
    <n v="60.419412050874996"/>
    <n v="4.3545140946250003"/>
    <n v="4"/>
    <n v="11148"/>
    <n v="320774"/>
    <n v="2927348"/>
    <n v="9840"/>
    <n v="0"/>
    <s v="u=1%, k=2x10^7"/>
    <x v="13"/>
    <n v="0.2274462985"/>
    <n v="3.5061074803333336"/>
    <n v="0.32513768358333334"/>
    <n v="0.20862329587499998"/>
    <n v="8.7199336333333335E-2"/>
    <n v="56.064897956249993"/>
  </r>
  <r>
    <s v="istree_exp6_rebuilding_time/step10307.txt"/>
    <s v="brown_ext_ist_lf_dis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3493402096"/>
    <n v="9999931"/>
    <n v="100003493402096"/>
    <n v="9999931"/>
    <s v="success"/>
    <n v="7"/>
    <n v="1906741"/>
    <n v="12036004"/>
    <n v="13942745"/>
    <n v="9999931"/>
    <n v="7.3123399999999998"/>
    <n v="0.83083499999999999"/>
    <n v="4.0560400000000003"/>
    <n v="345152976"/>
    <s v="6 18636 416619 4689474 14958"/>
    <s v="6 18634 416615 4689473 14958"/>
    <m/>
    <n v="285762"/>
    <n v="2873122348743"/>
    <n v="10924656951"/>
    <n v="286720125310"/>
    <n v="16313602108"/>
    <n v="11312845367"/>
    <n v="4567526653"/>
    <n v="3265735859"/>
    <n v="0"/>
    <n v="32992358"/>
    <n v="3265735859"/>
    <n v="3298728217"/>
    <n v="54428930"/>
    <n v="0"/>
    <n v="549872"/>
    <n v="54428930"/>
    <n v="54978803"/>
    <n v="16.023599999999998"/>
    <n v="5.98055"/>
    <n v="2430.27"/>
    <n v="1490.59"/>
    <n v="2795"/>
    <n v="197"/>
    <n v="59.856715598812507"/>
    <n v="6.8716407581041672"/>
    <n v="6"/>
    <n v="18634"/>
    <n v="416615"/>
    <n v="4689473"/>
    <n v="14958"/>
    <n v="0"/>
    <s v="u=1%, k=2x10^7"/>
    <x v="13"/>
    <n v="0.2275970198125"/>
    <n v="5.9733359439583333"/>
    <n v="0.33986671058333334"/>
    <n v="0.23568427847916665"/>
    <n v="9.5156805270833325E-2"/>
    <n v="52.985074840708336"/>
  </r>
  <r>
    <s v="istree_exp6_rebuilding_time/step10308.txt"/>
    <s v="brown_ext_ist_lf_dis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3549916151"/>
    <n v="9998430"/>
    <n v="99993549916151"/>
    <n v="9998430"/>
    <s v="success"/>
    <n v="7"/>
    <n v="1907508"/>
    <n v="12034634"/>
    <n v="13942142"/>
    <n v="9998430"/>
    <n v="7.3090900000000003"/>
    <n v="0.83080500000000002"/>
    <n v="4.0562800000000001"/>
    <n v="345193776"/>
    <s v="13 37951 562965 8658422 25246"/>
    <s v="12 37951 562954 8658406 25246"/>
    <m/>
    <n v="134412"/>
    <n v="5746245106532"/>
    <n v="22670485016"/>
    <n v="1196625817578"/>
    <n v="32890205471"/>
    <n v="36505314051"/>
    <n v="9383665015"/>
    <n v="6242369096"/>
    <n v="0"/>
    <n v="63052315"/>
    <n v="6242369096"/>
    <n v="6305421411"/>
    <n v="104039484"/>
    <n v="0"/>
    <n v="1050871"/>
    <n v="104039484"/>
    <n v="105090356"/>
    <n v="16.007300000000001"/>
    <n v="6.3816300000000004"/>
    <n v="2528.44"/>
    <n v="1244.32"/>
    <n v="3205"/>
    <n v="261"/>
    <n v="59.856719859708335"/>
    <n v="13.521619657614584"/>
    <n v="12"/>
    <n v="37951"/>
    <n v="562954"/>
    <n v="8658406"/>
    <n v="25246"/>
    <n v="0"/>
    <s v="u=1%, k=2x10^7"/>
    <x v="13"/>
    <n v="0.23615088558333333"/>
    <n v="12.464852266437498"/>
    <n v="0.34260630698958333"/>
    <n v="0.38026368803124999"/>
    <n v="9.7746510572916667E-2"/>
    <n v="46.335100202093756"/>
  </r>
  <r>
    <s v="istree_exp6_rebuilding_time/step10309.txt"/>
    <s v="brown_ext_ist_lf_dis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25296836097"/>
    <n v="10001569"/>
    <n v="100025296836097"/>
    <n v="10001569"/>
    <s v="success"/>
    <n v="7"/>
    <n v="1903141"/>
    <n v="12025925"/>
    <n v="13929066"/>
    <n v="10001569"/>
    <n v="7.3189900000000003"/>
    <n v="0.83166700000000005"/>
    <n v="4.0555199999999996"/>
    <n v="344697264"/>
    <s v="16 50616 427932 11058431 27875"/>
    <s v="16 50614 427904 11058406 27875"/>
    <m/>
    <n v="80568"/>
    <n v="8619559684362"/>
    <n v="30531586661"/>
    <n v="2530173039114"/>
    <n v="41093799353"/>
    <n v="79377712760"/>
    <n v="12865145424"/>
    <n v="8179888230"/>
    <n v="0"/>
    <n v="82628030"/>
    <n v="8179888230"/>
    <n v="8262516260"/>
    <n v="136331470"/>
    <n v="0"/>
    <n v="1377133"/>
    <n v="136331470"/>
    <n v="137708604"/>
    <n v="16.038900000000002"/>
    <n v="6.5147700000000004"/>
    <n v="2877.43"/>
    <n v="1251.6400000000001"/>
    <n v="3540"/>
    <n v="334"/>
    <n v="59.858053363625004"/>
    <n v="18.708620022999998"/>
    <n v="16"/>
    <n v="50614"/>
    <n v="427904"/>
    <n v="11058406"/>
    <n v="27875"/>
    <n v="0"/>
    <s v="u=1%, k=2x10^7"/>
    <x v="13"/>
    <n v="0.21202490736805554"/>
    <n v="17.570646104958332"/>
    <n v="0.28537360661805555"/>
    <n v="0.55123411638888886"/>
    <n v="8.9341287666666658E-2"/>
    <n v="41.149433340625009"/>
  </r>
  <r>
    <s v="istree_exp6_rebuilding_time/step10310.txt"/>
    <s v="brown_ext_ist_lf_dis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99978300069347"/>
    <n v="9998134"/>
    <n v="99978300069347"/>
    <n v="9998134"/>
    <s v="success"/>
    <n v="7"/>
    <n v="1625308"/>
    <n v="11440100"/>
    <n v="13065408"/>
    <n v="9998134"/>
    <n v="8.0387299999999993"/>
    <n v="0.87395500000000004"/>
    <n v="4.0000099999999996"/>
    <n v="313066224"/>
    <s v="22 63262 532504 13387841 33596"/>
    <s v="20 63262 532473 13387798 33596"/>
    <m/>
    <n v="61830"/>
    <n v="11550447343113"/>
    <n v="39866109824"/>
    <n v="4143596353646"/>
    <n v="50661341173"/>
    <n v="103077646733"/>
    <n v="16170285530"/>
    <n v="9899018534"/>
    <n v="0"/>
    <n v="99993112"/>
    <n v="9899018534"/>
    <n v="9999011646"/>
    <n v="164983642"/>
    <n v="0"/>
    <n v="1666551"/>
    <n v="164983642"/>
    <n v="166650194"/>
    <n v="16.0794"/>
    <n v="6.60114"/>
    <n v="3181.26"/>
    <n v="1247.5"/>
    <n v="4011"/>
    <n v="410"/>
    <n v="60.79182812164737"/>
    <n v="22.912482825821051"/>
    <n v="20"/>
    <n v="63262"/>
    <n v="532473"/>
    <n v="13387798"/>
    <n v="33596"/>
    <n v="0"/>
    <s v="u=1%, k=2x10^7"/>
    <x v="13"/>
    <n v="0.20982163065263157"/>
    <n v="21.80840186129474"/>
    <n v="0.26663863775263158"/>
    <n v="0.54251393017368421"/>
    <n v="8.5106765947368421E-2"/>
    <n v="37.879345295826312"/>
  </r>
  <r>
    <s v="istree_exp6_rebuilding_time/step10311.txt"/>
    <s v="brown_ext_ist_lf_dis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2344933926E+16"/>
    <n v="99998372"/>
    <n v="1.00002344933926E+16"/>
    <n v="99998372"/>
    <s v="success"/>
    <n v="7"/>
    <n v="14120248"/>
    <n v="116401197"/>
    <n v="130521445"/>
    <n v="99998372"/>
    <n v="9.2435700000000001"/>
    <n v="0.85908399999999996"/>
    <n v="4.0644"/>
    <n v="2994488272"/>
    <s v="0 0 5 604696 201201"/>
    <s v="0 0 5 604696 201201"/>
    <m/>
    <n v="632360"/>
    <n v="1436561319395"/>
    <n v="286570121"/>
    <m/>
    <n v="816209436"/>
    <n v="1732168353"/>
    <n v="117104171"/>
    <n v="1700508218"/>
    <n v="0"/>
    <n v="17173310"/>
    <n v="1700508218"/>
    <n v="1717681528"/>
    <n v="28341803"/>
    <n v="0"/>
    <n v="286221"/>
    <n v="28341803"/>
    <n v="28628025"/>
    <n v="18.925599999999999"/>
    <n v="8.2611100000000004"/>
    <n v="2337.5700000000002"/>
    <n v="1746.85"/>
    <n v="7484"/>
    <n v="1573"/>
    <n v="59.856721641458336"/>
    <n v="0.12300217004166668"/>
    <n v="0"/>
    <n v="0"/>
    <n v="5"/>
    <n v="604696"/>
    <n v="201201"/>
    <n v="0"/>
    <s v="u=1%, k=2x10^8"/>
    <x v="14"/>
    <n v="1.1940421708333334E-2"/>
    <n v="0"/>
    <n v="3.4008726499999996E-2"/>
    <n v="7.2173681375000007E-2"/>
    <n v="4.8793404583333333E-3"/>
    <n v="59.73371947141667"/>
  </r>
  <r>
    <s v="istree_exp6_rebuilding_time/step10312.txt"/>
    <s v="brown_ext_ist_lf_dis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1589098589E+16"/>
    <n v="99994309"/>
    <n v="1.00001589098589E+16"/>
    <n v="99994309"/>
    <s v="success"/>
    <n v="7"/>
    <n v="14926803"/>
    <n v="118211751"/>
    <n v="133138554"/>
    <n v="99994309"/>
    <n v="8.9194300000000002"/>
    <n v="0.84589099999999995"/>
    <n v="4.0818000000000003"/>
    <n v="3089732304"/>
    <s v="0 0 15088 2039490 422061"/>
    <s v="0 0 15088 2039490 422061"/>
    <m/>
    <n v="272504"/>
    <n v="2873122856883"/>
    <n v="1454818455"/>
    <n v="1688"/>
    <n v="3523764711"/>
    <n v="5554809015"/>
    <n v="602014811"/>
    <n v="2989770438"/>
    <n v="0"/>
    <n v="30211154"/>
    <n v="2989770438"/>
    <n v="3019981592"/>
    <n v="49829507"/>
    <n v="0"/>
    <n v="503519"/>
    <n v="49829507"/>
    <n v="50333026"/>
    <n v="19.038699999999999"/>
    <n v="8.36998"/>
    <n v="2657.25"/>
    <n v="1984.68"/>
    <n v="7815"/>
    <n v="1287"/>
    <n v="59.856726185062506"/>
    <n v="0.23198768083333332"/>
    <n v="0"/>
    <n v="0"/>
    <n v="15088"/>
    <n v="2039490"/>
    <n v="422061"/>
    <n v="0"/>
    <s v="u=1%, k=2x10^8"/>
    <x v="14"/>
    <n v="3.03087178125E-2"/>
    <n v="3.5166666666666664E-8"/>
    <n v="7.3411764812500002E-2"/>
    <n v="0.1157251878125"/>
    <n v="1.2541975229166667E-2"/>
    <n v="59.624738504229171"/>
  </r>
  <r>
    <s v="istree_exp6_rebuilding_time/step10313.txt"/>
    <s v="brown_ext_ist_lf_dis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823223602580"/>
    <n v="99994796"/>
    <n v="9999823223602580"/>
    <n v="99994796"/>
    <s v="success"/>
    <n v="7"/>
    <n v="11199011"/>
    <n v="110373323"/>
    <n v="121572334"/>
    <n v="99994796"/>
    <n v="10.855600000000001"/>
    <n v="0.90596900000000002"/>
    <n v="4.0037900000000004"/>
    <n v="2661905360"/>
    <s v="1 9927 395128 3999531 673322"/>
    <s v="1 9927 395127 3999531 673322"/>
    <m/>
    <n v="106510"/>
    <n v="5769507401064"/>
    <n v="19270667417"/>
    <n v="810151501008"/>
    <n v="32934434920"/>
    <n v="58386615570"/>
    <n v="7798823369"/>
    <n v="5024237463"/>
    <n v="0"/>
    <n v="50752014"/>
    <n v="5024237463"/>
    <n v="5074989477"/>
    <n v="83737291"/>
    <n v="0"/>
    <n v="845866"/>
    <n v="83737291"/>
    <n v="84583157"/>
    <n v="19.377199999999998"/>
    <n v="9.3450699999999998"/>
    <n v="3144.14"/>
    <n v="1954.61"/>
    <n v="11550"/>
    <n v="1086"/>
    <n v="60.099035427750003"/>
    <n v="9.6723129404583332"/>
    <n v="1"/>
    <n v="9927"/>
    <n v="395127"/>
    <n v="3999531"/>
    <n v="673322"/>
    <n v="0"/>
    <s v="u=1%, k=2x10^8"/>
    <x v="14"/>
    <n v="0.20073611892708332"/>
    <n v="8.4390781354999991"/>
    <n v="0.3430670304166667"/>
    <n v="0.60819391218749996"/>
    <n v="8.1237743427083328E-2"/>
    <n v="50.42672248729167"/>
  </r>
  <r>
    <s v="istree_exp6_rebuilding_time/step10314.txt"/>
    <s v="brown_ext_ist_lf_dis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9603079686040"/>
    <n v="99997645"/>
    <n v="9999603079686040"/>
    <n v="99997645"/>
    <s v="success"/>
    <n v="7"/>
    <n v="14736101"/>
    <n v="117760606"/>
    <n v="132496707"/>
    <n v="99997645"/>
    <n v="8.9913000000000007"/>
    <n v="0.84916000000000003"/>
    <n v="4.0777200000000002"/>
    <n v="3066675936"/>
    <s v="1 9998 351093 5294474 1001006"/>
    <s v="1 9998 351091 5294472 1001005"/>
    <m/>
    <n v="73080"/>
    <n v="8637928819513"/>
    <n v="20624930129"/>
    <n v="1241895604604"/>
    <n v="31123630412"/>
    <n v="78513707321"/>
    <n v="9014766158"/>
    <n v="7426810041"/>
    <n v="0"/>
    <n v="75024080"/>
    <n v="7426810041"/>
    <n v="7501834121"/>
    <n v="123780167"/>
    <n v="0"/>
    <n v="1250401"/>
    <n v="123780167"/>
    <n v="125030568"/>
    <n v="19.316600000000001"/>
    <n v="9.4450199999999995"/>
    <n v="3169.3"/>
    <n v="1949.05"/>
    <n v="13518"/>
    <n v="1054"/>
    <n v="59.98561680217361"/>
    <n v="9.5914766571111105"/>
    <n v="1"/>
    <n v="9998"/>
    <n v="351091"/>
    <n v="5294472"/>
    <n v="1001005"/>
    <n v="0"/>
    <s v="u=1%, k=2x10^8"/>
    <x v="14"/>
    <n v="0.1432286814513889"/>
    <n v="8.624275031972223"/>
    <n v="0.21613632230555557"/>
    <n v="0.54523407861805551"/>
    <n v="6.2602542763888894E-2"/>
    <n v="50.394140145062501"/>
  </r>
  <r>
    <s v="istree_exp6_rebuilding_time/step10315.txt"/>
    <s v="brown_ext_ist_lf_dis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08574893393E+16"/>
    <n v="100007904"/>
    <n v="1.00008574893393E+16"/>
    <n v="100007904"/>
    <s v="success"/>
    <n v="7"/>
    <n v="12373303"/>
    <n v="112766175"/>
    <n v="125139478"/>
    <n v="100007904"/>
    <n v="10.1137"/>
    <n v="0.88686100000000001"/>
    <n v="4.0263099999999996"/>
    <n v="2795330096"/>
    <s v="1 16789 677251 7725477 1305865"/>
    <s v="1 16788 677248 7725474 1305865"/>
    <m/>
    <n v="57154"/>
    <n v="11414306421529"/>
    <n v="31785652408"/>
    <n v="1639294366538"/>
    <n v="45693009422"/>
    <n v="353645522299"/>
    <n v="12756420309"/>
    <n v="9504937349"/>
    <n v="0"/>
    <n v="96021152"/>
    <n v="9504937349"/>
    <n v="9600958501"/>
    <n v="158415622"/>
    <n v="0"/>
    <n v="1600352"/>
    <n v="158415622"/>
    <n v="160015975"/>
    <n v="19.3781"/>
    <n v="9.6331600000000002"/>
    <n v="3211.91"/>
    <n v="1965.45"/>
    <n v="13526"/>
    <n v="1148"/>
    <n v="60.075296955415787"/>
    <n v="10.964078794610527"/>
    <n v="1"/>
    <n v="16788"/>
    <n v="677248"/>
    <n v="7725474"/>
    <n v="1305865"/>
    <n v="0"/>
    <s v="u=1%, k=2x10^8"/>
    <x v="14"/>
    <n v="0.16729290741052633"/>
    <n v="8.627865087042105"/>
    <n v="0.24048952327368422"/>
    <n v="1.8612922226263158"/>
    <n v="6.7139054257894737E-2"/>
    <n v="49.111218160805258"/>
  </r>
  <r>
    <s v="istree_exp6_rebuilding_time/step10316.txt"/>
    <s v="brown_ext_ist_lf_dis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9.9999057004234304E+17"/>
    <n v="1000002693"/>
    <n v="9.9999057004234304E+17"/>
    <n v="1000002693"/>
    <s v="success"/>
    <n v="7"/>
    <n v="87191096"/>
    <n v="1084264182"/>
    <n v="1171455278"/>
    <n v="1000002693"/>
    <n v="13.435499999999999"/>
    <n v="0.92228699999999997"/>
    <n v="4.0054699999999999"/>
    <n v="24323748864"/>
    <s v="0 0 0 1334 14733"/>
    <s v="0 0 0 1334 14733"/>
    <m/>
    <n v="404076"/>
    <n v="1436561491880"/>
    <n v="5673541"/>
    <m/>
    <n v="24495130"/>
    <n v="808491077"/>
    <n v="1610838"/>
    <n v="1089278841"/>
    <n v="0"/>
    <n v="10998929"/>
    <n v="1089278841"/>
    <n v="1100277770"/>
    <n v="18154647"/>
    <n v="0"/>
    <n v="183315"/>
    <n v="18154647"/>
    <n v="18337962"/>
    <n v="22.048200000000001"/>
    <n v="12.869"/>
    <n v="3648.33"/>
    <n v="2910.3"/>
    <n v="59443"/>
    <n v="16530"/>
    <n v="59.856728828333331"/>
    <n v="3.5011274416666668E-2"/>
    <n v="0"/>
    <n v="0"/>
    <n v="0"/>
    <n v="1334"/>
    <n v="14733"/>
    <n v="0"/>
    <s v="u=1%, k=2x10^9"/>
    <x v="15"/>
    <n v="2.3639754166666666E-4"/>
    <n v="0"/>
    <n v="1.0206304166666667E-3"/>
    <n v="3.3687128208333333E-2"/>
    <n v="6.7118250000000007E-5"/>
    <n v="59.821717553916663"/>
  </r>
  <r>
    <s v="istree_exp6_rebuilding_time/step10317.txt"/>
    <s v="brown_ext_ist_lf_dis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022611892096E+17"/>
    <n v="1000002432"/>
    <n v="9.9999022611892096E+17"/>
    <n v="1000002432"/>
    <s v="success"/>
    <n v="7"/>
    <n v="89402940"/>
    <n v="1088706097"/>
    <n v="1178109037"/>
    <n v="1000002432"/>
    <n v="13.1775"/>
    <n v="0.91852400000000001"/>
    <n v="4.0099499999999999"/>
    <n v="24572296240"/>
    <s v="0 0 0 8132 48456"/>
    <s v="0 0 0 8132 48456"/>
    <m/>
    <n v="180730"/>
    <n v="2873122984920"/>
    <n v="30218319"/>
    <m/>
    <n v="113818193"/>
    <n v="2527233587"/>
    <n v="9530466"/>
    <n v="1988682186"/>
    <n v="0"/>
    <n v="20082488"/>
    <n v="1988682186"/>
    <n v="2008764674"/>
    <n v="33144703"/>
    <n v="0"/>
    <n v="334708"/>
    <n v="33144703"/>
    <n v="33479411"/>
    <n v="21.982299999999999"/>
    <n v="12.918699999999999"/>
    <n v="3996.32"/>
    <n v="3332.31"/>
    <n v="59813"/>
    <n v="12106"/>
    <n v="59.856728852499998"/>
    <n v="5.585001177083334E-2"/>
    <n v="0"/>
    <n v="0"/>
    <n v="0"/>
    <n v="8132"/>
    <n v="48456"/>
    <n v="0"/>
    <s v="u=1%, k=2x10^9"/>
    <x v="15"/>
    <n v="6.2954831250000001E-4"/>
    <n v="0"/>
    <n v="2.3712123541666666E-3"/>
    <n v="5.2650699729166667E-2"/>
    <n v="1.9855137499999998E-4"/>
    <n v="59.800878840729162"/>
  </r>
  <r>
    <s v="istree_exp6_rebuilding_time/step10318.txt"/>
    <s v="brown_ext_ist_lf_dis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493503562701E+17"/>
    <n v="1000002611"/>
    <n v="9.9997493503562701E+17"/>
    <n v="1000002611"/>
    <s v="success"/>
    <n v="7"/>
    <n v="95125500"/>
    <n v="1100252693"/>
    <n v="1195378193"/>
    <n v="1000002611"/>
    <n v="12.5663"/>
    <n v="0.90888400000000003"/>
    <n v="4.0216500000000002"/>
    <n v="25217583792"/>
    <s v="0 0 0 85697 227164"/>
    <s v="0 0 0 85697 227164"/>
    <m/>
    <n v="99008"/>
    <n v="5746246218828"/>
    <n v="192575058"/>
    <m/>
    <n v="640587396"/>
    <n v="10263493646"/>
    <n v="104683268"/>
    <n v="4408571698"/>
    <n v="0"/>
    <n v="44538880"/>
    <n v="4408571698"/>
    <n v="4453110578"/>
    <n v="73476194"/>
    <n v="0"/>
    <n v="742314"/>
    <n v="73476194"/>
    <n v="74218509"/>
    <n v="22.091200000000001"/>
    <n v="13.764699999999999"/>
    <n v="3601.81"/>
    <n v="2884.76"/>
    <n v="60704"/>
    <n v="9786"/>
    <n v="59.856731446124996"/>
    <n v="0.11668061841666666"/>
    <n v="0"/>
    <n v="0"/>
    <n v="0"/>
    <n v="85697"/>
    <n v="227164"/>
    <n v="0"/>
    <s v="u=1%, k=2x10^9"/>
    <x v="15"/>
    <n v="2.0059901874999999E-3"/>
    <n v="0"/>
    <n v="6.6727853750000003E-3"/>
    <n v="0.10691139214583334"/>
    <n v="1.0904507083333334E-3"/>
    <n v="59.74005082770833"/>
  </r>
  <r>
    <s v="istree_exp6_rebuilding_time/step10319.txt"/>
    <s v="brown_ext_ist_lf_dis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001509115E+18"/>
    <n v="999997450"/>
    <n v="1.00000001509115E+18"/>
    <n v="999997450"/>
    <s v="success"/>
    <n v="7"/>
    <n v="100039026"/>
    <n v="1110240178"/>
    <n v="1210279204"/>
    <n v="999997450"/>
    <n v="12.098100000000001"/>
    <n v="0.90070399999999995"/>
    <n v="4.0318300000000002"/>
    <n v="25774319344"/>
    <s v="0 0 0 283574 490387"/>
    <s v="0 0 0 283574 490387"/>
    <m/>
    <n v="65898"/>
    <n v="8619370055698"/>
    <n v="527042271"/>
    <n v="3001"/>
    <n v="1605608223"/>
    <n v="13456263267"/>
    <n v="312446355"/>
    <n v="6635289971"/>
    <n v="0"/>
    <n v="67021071"/>
    <n v="6635289971"/>
    <n v="6702311042"/>
    <n v="110588166"/>
    <n v="0"/>
    <n v="1117017"/>
    <n v="110588166"/>
    <n v="111705184"/>
    <n v="22.1236"/>
    <n v="13.9992"/>
    <n v="3588.74"/>
    <n v="2860"/>
    <n v="61562"/>
    <n v="9208"/>
    <n v="59.85673649790278"/>
    <n v="0.11042613275694445"/>
    <n v="0"/>
    <n v="0"/>
    <n v="0"/>
    <n v="283574"/>
    <n v="490387"/>
    <n v="0"/>
    <s v="u=1%, k=2x10^9"/>
    <x v="15"/>
    <n v="3.6600157708333333E-3"/>
    <n v="2.0840277777777779E-8"/>
    <n v="1.1150057104166666E-2"/>
    <n v="9.3446272687499998E-2"/>
    <n v="2.1697663541666665E-3"/>
    <n v="59.746310365145838"/>
  </r>
  <r>
    <s v="istree_exp6_rebuilding_time/step10320.txt"/>
    <s v="brown_ext_ist_lf_dis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259258397199E+18"/>
    <n v="1000004565"/>
    <n v="1.0000259258397199E+18"/>
    <n v="1000004565"/>
    <s v="success"/>
    <n v="7"/>
    <n v="104171653"/>
    <n v="1118707281"/>
    <n v="1222878934"/>
    <n v="1000004565"/>
    <n v="11.739100000000001"/>
    <n v="0.89389300000000005"/>
    <n v="4.0404900000000001"/>
    <n v="26244677712"/>
    <s v="0 0 0 608383 797444"/>
    <s v="0 0 0 608383 797444"/>
    <m/>
    <n v="51180"/>
    <n v="11372779980148"/>
    <n v="1022008825"/>
    <m/>
    <n v="2942156366"/>
    <n v="15069259038"/>
    <n v="603601660"/>
    <n v="8658249756"/>
    <n v="0"/>
    <n v="87454322"/>
    <n v="8658249756"/>
    <n v="8745704078"/>
    <n v="144304162"/>
    <n v="0"/>
    <n v="1457572"/>
    <n v="144304162"/>
    <n v="145761734"/>
    <n v="22.192699999999999"/>
    <n v="14.13"/>
    <n v="3627.83"/>
    <n v="2894.68"/>
    <n v="62236"/>
    <n v="9067"/>
    <n v="59.856736737621048"/>
    <n v="0.10335276783684211"/>
    <n v="0"/>
    <n v="0"/>
    <n v="0"/>
    <n v="608383"/>
    <n v="797444"/>
    <n v="0"/>
    <s v="u=1%, k=2x10^9"/>
    <x v="15"/>
    <n v="5.3789938157894727E-3"/>
    <n v="0"/>
    <n v="1.5485033505263156E-2"/>
    <n v="7.9311889673684216E-2"/>
    <n v="3.1768508421052633E-3"/>
    <n v="59.75338396978421"/>
  </r>
  <r>
    <s v="istree_exp6_rebuilding_time/step10321.txt"/>
    <s v="brown_ext_ist_lf_dis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542076274"/>
    <n v="1000494"/>
    <n v="1000542076274"/>
    <n v="1000494"/>
    <s v="success"/>
    <n v="6"/>
    <n v="33043"/>
    <n v="1032539"/>
    <n v="1065582"/>
    <n v="1000494"/>
    <n v="32.2483"/>
    <n v="0.96896499999999997"/>
    <n v="3.0000200000000001"/>
    <n v="19164048"/>
    <s v="730 503341 7235173 8110564"/>
    <s v="560 502563 7234391 8110499"/>
    <m/>
    <n v="1060000"/>
    <n v="1436986401827"/>
    <n v="24834037363"/>
    <n v="430800492960"/>
    <n v="29959400657"/>
    <n v="11827259425"/>
    <n v="12606306072"/>
    <n v="2519582289"/>
    <n v="0"/>
    <n v="279980326"/>
    <n v="2519582289"/>
    <n v="2799562615"/>
    <n v="41993038"/>
    <n v="0"/>
    <n v="4666338"/>
    <n v="41993038"/>
    <n v="46659376"/>
    <n v="9.8478600000000007"/>
    <n v="0.38550299999999998"/>
    <n v="1429.67"/>
    <n v="338.48500000000001"/>
    <n v="1714"/>
    <n v="26"/>
    <n v="59.874433409458334"/>
    <n v="21.251145686541665"/>
    <n v="560"/>
    <n v="502563"/>
    <n v="7234391"/>
    <n v="8110499"/>
    <n v="0"/>
    <n v="0"/>
    <s v="u=10%, k=2x10^6"/>
    <x v="16"/>
    <n v="1.0347515567916667"/>
    <n v="17.950020540000001"/>
    <n v="1.2483083607083334"/>
    <n v="0.49280247604166666"/>
    <n v="0.52526275300000003"/>
    <n v="38.623287722916672"/>
  </r>
  <r>
    <s v="istree_exp6_rebuilding_time/step10322.txt"/>
    <s v="brown_ext_ist_lf_dis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998685678944"/>
    <n v="998960"/>
    <n v="998685678944"/>
    <n v="998960"/>
    <s v="success"/>
    <n v="6"/>
    <n v="33009"/>
    <n v="1030983"/>
    <n v="1063992"/>
    <n v="998960"/>
    <n v="32.233400000000003"/>
    <n v="0.96893899999999999"/>
    <n v="3.0000100000000001"/>
    <n v="19136432"/>
    <s v="938 615924 5846666 8485808"/>
    <s v="624 615325 5844659 8485667"/>
    <m/>
    <n v="294980"/>
    <n v="2874756988406"/>
    <n v="44864265571"/>
    <n v="1431509793484"/>
    <n v="50164120156"/>
    <n v="21715907540"/>
    <n v="21649995784"/>
    <n v="2807298508"/>
    <n v="0"/>
    <n v="311886564"/>
    <n v="2807298508"/>
    <n v="3119185072"/>
    <n v="46788308"/>
    <n v="0"/>
    <n v="5198109"/>
    <n v="46788308"/>
    <n v="51986417"/>
    <n v="9.8523099999999992"/>
    <n v="0.47812300000000002"/>
    <n v="2559.21"/>
    <n v="501.46600000000001"/>
    <n v="2021"/>
    <n v="68"/>
    <n v="59.890770591791664"/>
    <n v="32.706335052812499"/>
    <n v="624"/>
    <n v="615325"/>
    <n v="5844659"/>
    <n v="8485667"/>
    <n v="0"/>
    <n v="0"/>
    <s v="u=10%, k=2x10^6"/>
    <x v="16"/>
    <n v="0.93467219939583324"/>
    <n v="29.823120697583335"/>
    <n v="1.0450858365833333"/>
    <n v="0.45241474041666668"/>
    <n v="0.45104157883333335"/>
    <n v="27.184435538979166"/>
  </r>
  <r>
    <s v="istree_exp6_rebuilding_time/step10323.txt"/>
    <s v="brown_ext_ist_lf_dis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843725389"/>
    <n v="999843"/>
    <n v="999843725389"/>
    <n v="999843"/>
    <s v="success"/>
    <n v="6"/>
    <n v="33025"/>
    <n v="1031899"/>
    <n v="1064924"/>
    <n v="999843"/>
    <n v="32.246000000000002"/>
    <n v="0.96893499999999999"/>
    <n v="3.0000499999999999"/>
    <n v="19152368"/>
    <s v="1169 1088159 1881417 7991617"/>
    <s v="693 1082139 1878454 7991233"/>
    <m/>
    <n v="85658"/>
    <n v="5751193925582"/>
    <n v="103802600740"/>
    <n v="3802274116869"/>
    <n v="80428032259"/>
    <n v="49334969616"/>
    <n v="25741894760"/>
    <n v="3116972314"/>
    <n v="0"/>
    <n v="346318309"/>
    <n v="3116972314"/>
    <n v="3463290623"/>
    <n v="51949538"/>
    <n v="0"/>
    <n v="5771971"/>
    <n v="51949538"/>
    <n v="57721510"/>
    <n v="10.351699999999999"/>
    <n v="1.4918"/>
    <n v="4618.8500000000004"/>
    <n v="780.75599999999997"/>
    <n v="2835"/>
    <n v="248"/>
    <n v="59.908270058145831"/>
    <n v="42.308141815041665"/>
    <n v="693"/>
    <n v="1082139"/>
    <n v="1878454"/>
    <n v="7991233"/>
    <n v="0"/>
    <n v="0"/>
    <s v="u=10%, k=2x10^6"/>
    <x v="16"/>
    <n v="1.0812770910416667"/>
    <n v="39.607022050718747"/>
    <n v="0.83779200269791676"/>
    <n v="0.51390593350000002"/>
    <n v="0.26814473708333336"/>
    <n v="17.600128243104173"/>
  </r>
  <r>
    <s v="istree_exp6_rebuilding_time/step10324.txt"/>
    <s v="brown_ext_ist_lf_dis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0252400962"/>
    <n v="999727"/>
    <n v="1000252400962"/>
    <n v="999727"/>
    <s v="success"/>
    <n v="6"/>
    <n v="33040"/>
    <n v="1031798"/>
    <n v="1064838"/>
    <n v="999727"/>
    <n v="32.2288"/>
    <n v="0.96891700000000003"/>
    <n v="3.0000800000000001"/>
    <n v="19151952"/>
    <s v="1210 1969472 354054 5477406"/>
    <s v="675 1960154 352745 5476986"/>
    <m/>
    <n v="43732"/>
    <n v="8628692860821"/>
    <n v="155013957645"/>
    <n v="6147795363682"/>
    <n v="116924536422"/>
    <n v="362727819202"/>
    <n v="32212273512"/>
    <n v="3035204173"/>
    <n v="0"/>
    <n v="337240521"/>
    <n v="3035204173"/>
    <n v="3372444694"/>
    <n v="50586736"/>
    <n v="0"/>
    <n v="5620675"/>
    <n v="50586736"/>
    <n v="56207411"/>
    <n v="11.436500000000001"/>
    <n v="2.4230399999999999"/>
    <n v="7029.21"/>
    <n v="1009.01"/>
    <n v="3750"/>
    <n v="316"/>
    <n v="59.921478200145835"/>
    <n v="47.32412465599306"/>
    <n v="675"/>
    <n v="1960154"/>
    <n v="352745"/>
    <n v="5476986"/>
    <n v="0"/>
    <n v="0"/>
    <s v="u=10%, k=2x10^6"/>
    <x v="16"/>
    <n v="1.0764858169791667"/>
    <n v="42.693023358902778"/>
    <n v="0.81197594737500001"/>
    <n v="2.5189431889027776"/>
    <n v="0.22369634383333337"/>
    <n v="12.597353544152789"/>
  </r>
  <r>
    <s v="istree_exp6_rebuilding_time/step10325.txt"/>
    <s v="brown_ext_ist_lf_dis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0038018942"/>
    <n v="999885"/>
    <n v="1000038018942"/>
    <n v="999885"/>
    <s v="success"/>
    <n v="6"/>
    <n v="54567"/>
    <n v="1075798"/>
    <n v="1130365"/>
    <n v="999885"/>
    <n v="20.715199999999999"/>
    <n v="0.92943600000000004"/>
    <n v="3.04501"/>
    <n v="21598688"/>
    <s v="1417 1941908 940915 7747584"/>
    <s v="826 1929803 937524 7746931"/>
    <m/>
    <n v="37124"/>
    <n v="11372856659226"/>
    <n v="200678330705"/>
    <n v="7936019024141"/>
    <n v="123560064882"/>
    <n v="827746787048"/>
    <n v="33467470668"/>
    <n v="3715497770"/>
    <n v="0"/>
    <n v="412848521"/>
    <n v="3715497770"/>
    <n v="4128346291"/>
    <n v="61924962"/>
    <n v="0"/>
    <n v="6880808"/>
    <n v="61924962"/>
    <n v="68805771"/>
    <n v="11.542199999999999"/>
    <n v="2.7707199999999998"/>
    <n v="7496.81"/>
    <n v="1130.44"/>
    <n v="3223"/>
    <n v="315"/>
    <n v="59.857140311715789"/>
    <n v="48.007745670757899"/>
    <n v="826"/>
    <n v="1929803"/>
    <n v="937524"/>
    <n v="7746931"/>
    <n v="0"/>
    <n v="0"/>
    <s v="u=10%, k=2x10^6"/>
    <x v="16"/>
    <n v="1.0562017405526316"/>
    <n v="41.768521179689472"/>
    <n v="0.65031613095789476"/>
    <n v="4.3565620370947364"/>
    <n v="0.17614458246315787"/>
    <n v="11.849394640957897"/>
  </r>
  <r>
    <s v="istree_exp6_rebuilding_time/step10326.txt"/>
    <s v="brown_ext_ist_lf_dis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72482028463"/>
    <n v="9997019"/>
    <n v="99972482028463"/>
    <n v="9997019"/>
    <s v="success"/>
    <n v="7"/>
    <n v="1625274"/>
    <n v="11438900"/>
    <n v="13064174"/>
    <n v="9997019"/>
    <n v="8.0381400000000003"/>
    <n v="0.87394899999999998"/>
    <n v="4"/>
    <n v="313044304"/>
    <s v="28 67168 1923544 17554685 58495"/>
    <s v="24 67096 1923501 17554645 58495"/>
    <m/>
    <n v="427010"/>
    <n v="1442973092585"/>
    <n v="31809302763"/>
    <n v="472673195454"/>
    <n v="37313016484"/>
    <n v="23906600642"/>
    <n v="11660064025"/>
    <n v="1079810382"/>
    <n v="0"/>
    <n v="119971029"/>
    <n v="1079810382"/>
    <n v="1199781411"/>
    <n v="17996839"/>
    <n v="0"/>
    <n v="1999517"/>
    <n v="17996839"/>
    <n v="19996356"/>
    <n v="17.989799999999999"/>
    <n v="7.1730299999999998"/>
    <n v="3344.06"/>
    <n v="1434.41"/>
    <n v="3441"/>
    <n v="155"/>
    <n v="60.123878857708327"/>
    <n v="24.056757473666668"/>
    <n v="24"/>
    <n v="67096"/>
    <n v="1923501"/>
    <n v="17554645"/>
    <n v="58495"/>
    <n v="0"/>
    <s v="u=10%, k=2x10^7"/>
    <x v="17"/>
    <n v="1.3253876151250001"/>
    <n v="19.694716477250001"/>
    <n v="1.5547090201666667"/>
    <n v="0.99610836008333337"/>
    <n v="0.48583600104166669"/>
    <n v="36.067121384041663"/>
  </r>
  <r>
    <s v="istree_exp6_rebuilding_time/step10327.txt"/>
    <s v="brown_ext_ist_lf_dis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0456893940"/>
    <n v="9999499"/>
    <n v="99990456893940"/>
    <n v="9999499"/>
    <s v="success"/>
    <n v="7"/>
    <n v="1709306"/>
    <n v="11618384"/>
    <n v="13327690"/>
    <n v="9999499"/>
    <n v="7.7971399999999997"/>
    <n v="0.86066200000000004"/>
    <n v="4.0173899999999998"/>
    <n v="322642032"/>
    <s v="39 96126 2105715 22033658 72062"/>
    <s v="30 96082 2105596 22033572 72062"/>
    <m/>
    <n v="136150"/>
    <n v="2873123913757"/>
    <n v="52891520447"/>
    <n v="1398067268272"/>
    <n v="66312470544"/>
    <n v="62138330827"/>
    <n v="20613177146"/>
    <n v="1393931580"/>
    <n v="0"/>
    <n v="154877488"/>
    <n v="1393931580"/>
    <n v="1548809068"/>
    <n v="23232193"/>
    <n v="0"/>
    <n v="2581291"/>
    <n v="23232193"/>
    <n v="25813484"/>
    <n v="18.1343"/>
    <n v="7.3234000000000004"/>
    <n v="5147.0600000000004"/>
    <n v="1757.62"/>
    <n v="3847"/>
    <n v="164"/>
    <n v="59.856748203270833"/>
    <n v="33.333807650749996"/>
    <n v="30"/>
    <n v="96082"/>
    <n v="2105596"/>
    <n v="22033572"/>
    <n v="72062"/>
    <n v="0"/>
    <s v="u=10%, k=2x10^7"/>
    <x v="17"/>
    <n v="1.1019066759791667"/>
    <n v="29.126401422333334"/>
    <n v="1.3815098030000001"/>
    <n v="1.2945485588958332"/>
    <n v="0.42944119054166668"/>
    <n v="26.522940552520836"/>
  </r>
  <r>
    <s v="istree_exp6_rebuilding_time/step10328.txt"/>
    <s v="brown_ext_ist_lf_dis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17414332991"/>
    <n v="10001013"/>
    <n v="100017414332991"/>
    <n v="10001013"/>
    <s v="success"/>
    <n v="7"/>
    <n v="1625801"/>
    <n v="11443389"/>
    <n v="13069190"/>
    <n v="10001013"/>
    <n v="8.0386199999999999"/>
    <n v="0.87395599999999996"/>
    <n v="4"/>
    <n v="313158288"/>
    <s v="57 116996 1706310 25353536 74766"/>
    <s v="37 116982 1706127 25353329 74766"/>
    <m/>
    <n v="48492"/>
    <n v="5818533463767"/>
    <n v="63883051600"/>
    <n v="3716664551480"/>
    <n v="80515426675"/>
    <n v="440919691820"/>
    <n v="25165361127"/>
    <n v="1665155323"/>
    <n v="0"/>
    <n v="185015747"/>
    <n v="1665155323"/>
    <n v="1850171070"/>
    <n v="27752588"/>
    <n v="0"/>
    <n v="3083595"/>
    <n v="27752588"/>
    <n v="30836184"/>
    <n v="18.290500000000002"/>
    <n v="7.6856499999999999"/>
    <n v="8252.9699999999993"/>
    <n v="1648.08"/>
    <n v="4419"/>
    <n v="337"/>
    <n v="60.609723580906255"/>
    <n v="45.074459194812498"/>
    <n v="37"/>
    <n v="116982"/>
    <n v="1706127"/>
    <n v="25353329"/>
    <n v="74766"/>
    <n v="0"/>
    <s v="u=10%, k=2x10^7"/>
    <x v="17"/>
    <n v="0.66544845416666665"/>
    <n v="38.715255744583338"/>
    <n v="0.83870236119791663"/>
    <n v="4.5929134564583336"/>
    <n v="0.26213917840625001"/>
    <n v="15.53526438609375"/>
  </r>
  <r>
    <s v="istree_exp6_rebuilding_time/step10329.txt"/>
    <s v="brown_ext_ist_lf_dis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99996959081729"/>
    <n v="10000245"/>
    <n v="99996959081729"/>
    <n v="10000245"/>
    <s v="success"/>
    <n v="7"/>
    <n v="1625820"/>
    <n v="11442646"/>
    <n v="13068466"/>
    <n v="10000245"/>
    <n v="8.0380800000000008"/>
    <n v="0.87394499999999997"/>
    <n v="4.0000099999999996"/>
    <n v="313147920"/>
    <s v="54 110710 926266 23416672 58327"/>
    <s v="35 110703 926116 23416364 58326"/>
    <m/>
    <n v="27496"/>
    <n v="8729126374480"/>
    <n v="60307435236"/>
    <n v="6036122281252"/>
    <n v="78361685595"/>
    <n v="1106057561663"/>
    <n v="25305086331"/>
    <n v="1574935423"/>
    <n v="0"/>
    <n v="174990738"/>
    <n v="1574935423"/>
    <n v="1749926161"/>
    <n v="26248923"/>
    <n v="0"/>
    <n v="2916512"/>
    <n v="26248923"/>
    <n v="29165436"/>
    <n v="18.3718"/>
    <n v="7.9719899999999999"/>
    <n v="12249.9"/>
    <n v="1621.33"/>
    <n v="4762"/>
    <n v="403"/>
    <n v="60.618933156111112"/>
    <n v="50.737180903312499"/>
    <n v="35"/>
    <n v="110703"/>
    <n v="926116"/>
    <n v="23416364"/>
    <n v="58326"/>
    <n v="0"/>
    <s v="u=10%, k=2x10^7"/>
    <x v="17"/>
    <n v="0.41880163358333333"/>
    <n v="41.917515842027775"/>
    <n v="0.54417837218749998"/>
    <n v="7.6809552893263877"/>
    <n v="0.1757297661875"/>
    <n v="9.8817522527986057"/>
  </r>
  <r>
    <s v="istree_exp6_rebuilding_time/step10330.txt"/>
    <s v="brown_ext_ist_lf_dis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93990938700"/>
    <n v="10000161"/>
    <n v="99993990938700"/>
    <n v="10000161"/>
    <s v="success"/>
    <n v="7"/>
    <n v="1764706"/>
    <n v="11738493"/>
    <n v="13503199"/>
    <n v="10000161"/>
    <n v="7.6518100000000002"/>
    <n v="0.851912"/>
    <n v="4.0279699999999998"/>
    <n v="329009872"/>
    <s v="57 115881 984013 24625613 62004"/>
    <s v="36 115875 983785 24625205 62003"/>
    <m/>
    <n v="20846"/>
    <n v="11382093239191"/>
    <n v="64365181836"/>
    <n v="7884859347336"/>
    <n v="82601599136"/>
    <n v="1816183424410"/>
    <n v="25675532572"/>
    <n v="1653724733"/>
    <n v="0"/>
    <n v="183732989"/>
    <n v="1653724733"/>
    <n v="1837457722"/>
    <n v="27562078"/>
    <n v="0"/>
    <n v="3062216"/>
    <n v="27562078"/>
    <n v="30624295"/>
    <n v="18.473800000000001"/>
    <n v="8.1802200000000003"/>
    <n v="14574.9"/>
    <n v="1647.38"/>
    <n v="5210"/>
    <n v="412"/>
    <n v="59.905753890478941"/>
    <n v="51.966763606789478"/>
    <n v="36"/>
    <n v="115875"/>
    <n v="983785"/>
    <n v="24625205"/>
    <n v="62003"/>
    <n v="0"/>
    <s v="u=10%, k=2x10^7"/>
    <x v="17"/>
    <n v="0.33876411492631581"/>
    <n v="41.499259722821051"/>
    <n v="0.43474525861052632"/>
    <n v="9.5588601284736843"/>
    <n v="0.13513438195789473"/>
    <n v="7.9389902836894706"/>
  </r>
  <r>
    <s v="istree_exp6_rebuilding_time/step10331.txt"/>
    <s v="brown_ext_ist_lf_dis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17751961716E+16"/>
    <n v="100008769"/>
    <n v="1.00017751961716E+16"/>
    <n v="100008769"/>
    <s v="success"/>
    <n v="7"/>
    <n v="11011105"/>
    <n v="110009778"/>
    <n v="121020883"/>
    <n v="100008769"/>
    <n v="10.9908"/>
    <n v="0.90908999999999995"/>
    <n v="4"/>
    <n v="2641044832"/>
    <s v="2 12730 994665 8433984 1385881"/>
    <s v="2 12717 994664 8433983 1385881"/>
    <m/>
    <n v="365128"/>
    <n v="1470719624682"/>
    <n v="24270497486"/>
    <n v="445117489563"/>
    <n v="31670485879"/>
    <n v="29518836705"/>
    <n v="10162447317"/>
    <n v="900091551"/>
    <n v="0"/>
    <n v="99994507"/>
    <n v="900091551"/>
    <n v="1000086058"/>
    <n v="15001525"/>
    <n v="0"/>
    <n v="1666575"/>
    <n v="15001525"/>
    <n v="16668100"/>
    <n v="21.052700000000002"/>
    <n v="9.5846099999999996"/>
    <n v="4020.43"/>
    <n v="2034.86"/>
    <n v="9840"/>
    <n v="1566"/>
    <n v="61.279984361749996"/>
    <n v="22.530823206250002"/>
    <n v="2"/>
    <n v="12717"/>
    <n v="994664"/>
    <n v="8433983"/>
    <n v="1385881"/>
    <n v="0"/>
    <s v="u=10%, k=2x10^8"/>
    <x v="18"/>
    <n v="1.0112707285833333"/>
    <n v="18.546562065124998"/>
    <n v="1.3196035782916666"/>
    <n v="1.2299515293749999"/>
    <n v="0.42343530487499997"/>
    <n v="38.749161155499998"/>
  </r>
  <r>
    <s v="istree_exp6_rebuilding_time/step10332.txt"/>
    <s v="brown_ext_ist_lf_dis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467248598830"/>
    <n v="99999123"/>
    <n v="9999467248598830"/>
    <n v="99999123"/>
    <s v="success"/>
    <n v="7"/>
    <n v="11010017"/>
    <n v="109999150"/>
    <n v="121009167"/>
    <n v="99999123"/>
    <n v="10.9908"/>
    <n v="0.90908999999999995"/>
    <n v="4"/>
    <n v="2640787744"/>
    <s v="3 25791 1409833 12480770 2055148"/>
    <s v="3 25768 1409824 12480763 2055148"/>
    <m/>
    <n v="136406"/>
    <n v="3330725409764"/>
    <n v="57251020186"/>
    <n v="1401921992409"/>
    <n v="70046280403"/>
    <n v="185509133197"/>
    <n v="20986087813"/>
    <n v="1349774618"/>
    <n v="0"/>
    <n v="149991738"/>
    <n v="1349774618"/>
    <n v="1499766356"/>
    <n v="22496243"/>
    <n v="0"/>
    <n v="2499862"/>
    <n v="22496243"/>
    <n v="24996105"/>
    <n v="21.620699999999999"/>
    <n v="9.8429500000000001"/>
    <n v="5926.03"/>
    <n v="2388.1"/>
    <n v="13302"/>
    <n v="1307"/>
    <n v="69.390112703416662"/>
    <n v="36.160719041833332"/>
    <n v="3"/>
    <n v="25768"/>
    <n v="1409824"/>
    <n v="12480763"/>
    <n v="2055148"/>
    <n v="0"/>
    <s v="u=10%, k=2x10^8"/>
    <x v="18"/>
    <n v="1.1927295872083332"/>
    <n v="29.206708175187501"/>
    <n v="1.4592975083958333"/>
    <n v="3.8647736082708337"/>
    <n v="0.43721016277083335"/>
    <n v="33.22939366158333"/>
  </r>
  <r>
    <s v="istree_exp6_rebuilding_time/step10333.txt"/>
    <s v="brown_ext_ist_lf_dis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515689317330"/>
    <n v="99992622"/>
    <n v="9999515689317330"/>
    <n v="99992622"/>
    <s v="success"/>
    <n v="7"/>
    <n v="14659314"/>
    <n v="117582508"/>
    <n v="132241822"/>
    <n v="99992622"/>
    <n v="9.0210100000000004"/>
    <n v="0.85040400000000005"/>
    <n v="4.0760399999999999"/>
    <n v="3057495920"/>
    <s v="3 29745 1185675 13235250 2330061"/>
    <s v="3 29736 1185658 13235236 2330061"/>
    <m/>
    <n v="49698"/>
    <n v="5767033699276"/>
    <n v="59023751692"/>
    <n v="2644652587111"/>
    <n v="72269126272"/>
    <n v="1140840197283"/>
    <n v="20508481087"/>
    <n v="1562896307"/>
    <n v="0"/>
    <n v="173653517"/>
    <n v="1562896307"/>
    <n v="1736549824"/>
    <n v="26048271"/>
    <n v="0"/>
    <n v="2894225"/>
    <n v="26048271"/>
    <n v="28942497"/>
    <n v="21.798100000000002"/>
    <n v="10.4693"/>
    <n v="7593.51"/>
    <n v="2271.92"/>
    <n v="14122"/>
    <n v="1059"/>
    <n v="60.073267700791668"/>
    <n v="41.013480660885413"/>
    <n v="3"/>
    <n v="29736"/>
    <n v="1185658"/>
    <n v="13235236"/>
    <n v="2330061"/>
    <n v="0"/>
    <s v="u=10%, k=2x10^8"/>
    <x v="18"/>
    <n v="0.6148307467916666"/>
    <n v="27.548464449072913"/>
    <n v="0.75280339866666657"/>
    <n v="11.88375205503125"/>
    <n v="0.21363001132291667"/>
    <n v="19.059787039906247"/>
  </r>
  <r>
    <s v="istree_exp6_rebuilding_time/step10334.txt"/>
    <s v="brown_ext_ist_lf_dis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4085328754E+16"/>
    <n v="100005359"/>
    <n v="1.00004085328754E+16"/>
    <n v="100005359"/>
    <s v="success"/>
    <n v="7"/>
    <n v="13055553"/>
    <n v="114205186"/>
    <n v="127260739"/>
    <n v="100005359"/>
    <n v="9.7476299999999991"/>
    <n v="0.875664"/>
    <n v="4.0401899999999999"/>
    <n v="2873790800"/>
    <s v="3 34428 1376223 15515557 2637585"/>
    <s v="3 34428 1376201 15515524 2637582"/>
    <m/>
    <n v="33792"/>
    <n v="8652332439964"/>
    <n v="66877954365"/>
    <n v="3963913886924"/>
    <n v="90650830797"/>
    <n v="2405513996590"/>
    <n v="22732105793"/>
    <n v="1758311962"/>
    <n v="0"/>
    <n v="195346127"/>
    <n v="1758311962"/>
    <n v="1953658089"/>
    <n v="29305199"/>
    <n v="0"/>
    <n v="3255768"/>
    <n v="29305199"/>
    <n v="32560968"/>
    <n v="21.912800000000001"/>
    <n v="10.7827"/>
    <n v="9300.93"/>
    <n v="2306.85"/>
    <n v="16855"/>
    <n v="1248"/>
    <n v="60.08564194419445"/>
    <n v="45.483949822701391"/>
    <n v="3"/>
    <n v="34428"/>
    <n v="1376201"/>
    <n v="15515524"/>
    <n v="2637582"/>
    <n v="0"/>
    <s v="u=10%, k=2x10^8"/>
    <x v="18"/>
    <n v="0.46443023864583327"/>
    <n v="27.527179770305555"/>
    <n v="0.62951965831250001"/>
    <n v="16.704958309652778"/>
    <n v="0.1578618457847222"/>
    <n v="14.601692121493059"/>
  </r>
  <r>
    <s v="istree_exp6_rebuilding_time/step10335.txt"/>
    <s v="brown_ext_ist_lf_dis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1.00008769842667E+16"/>
    <n v="100010399"/>
    <n v="1.00008769842667E+16"/>
    <n v="100010399"/>
    <s v="success"/>
    <n v="7"/>
    <n v="12548295"/>
    <n v="113141556"/>
    <n v="125689851"/>
    <n v="100010399"/>
    <n v="10.016500000000001"/>
    <n v="0.88393999999999995"/>
    <n v="4.0298600000000002"/>
    <n v="2815556192"/>
    <s v="3 36152 1363909 15491727 2637848"/>
    <s v="3 36151 1363880 15491701 2637846"/>
    <m/>
    <n v="26402"/>
    <n v="11440173734544"/>
    <n v="69568248679"/>
    <n v="5277624826489"/>
    <n v="87277664523"/>
    <n v="3859510976435"/>
    <n v="22909262091"/>
    <n v="1761928923"/>
    <n v="0"/>
    <n v="195788557"/>
    <n v="1761928923"/>
    <n v="1957717480"/>
    <n v="29365482"/>
    <n v="0"/>
    <n v="3263142"/>
    <n v="29365482"/>
    <n v="32628624"/>
    <n v="22.07"/>
    <n v="11.0054"/>
    <n v="11278.4"/>
    <n v="2335.3200000000002"/>
    <n v="15404"/>
    <n v="1104"/>
    <n v="60.211440708126311"/>
    <n v="49.036268306405262"/>
    <n v="3"/>
    <n v="36151"/>
    <n v="1363880"/>
    <n v="15491701"/>
    <n v="2637846"/>
    <n v="0"/>
    <s v="u=10%, k=2x10^8"/>
    <x v="18"/>
    <n v="0.36614867725789479"/>
    <n v="27.776972770994735"/>
    <n v="0.45935612906842105"/>
    <n v="20.31321566544737"/>
    <n v="0.1205750636368421"/>
    <n v="11.175172401721049"/>
  </r>
  <r>
    <s v="istree_exp6_rebuilding_time/step10336.txt"/>
    <s v="brown_ext_ist_lf_dis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8913568521101E+17"/>
    <n v="999998702"/>
    <n v="9.9998913568521101E+17"/>
    <n v="999998702"/>
    <s v="success"/>
    <n v="7"/>
    <n v="107459792"/>
    <n v="1125494989"/>
    <n v="1232954781"/>
    <n v="999998702"/>
    <n v="11.473599999999999"/>
    <n v="0.88849699999999998"/>
    <n v="4.0474500000000004"/>
    <n v="26620506464"/>
    <s v="0 0 0 1023748 1105778"/>
    <s v="0 0 0 1023748 1105778"/>
    <m/>
    <n v="388828"/>
    <n v="1436559113759"/>
    <n v="875135690"/>
    <m/>
    <n v="1764366261"/>
    <n v="2212357454"/>
    <n v="241846640"/>
    <n v="946507790"/>
    <n v="0"/>
    <n v="105176088"/>
    <n v="946507790"/>
    <n v="1051683878"/>
    <n v="15775129"/>
    <n v="0"/>
    <n v="1752934"/>
    <n v="15775129"/>
    <n v="17528064"/>
    <n v="22.952000000000002"/>
    <n v="13.4697"/>
    <n v="3810.88"/>
    <n v="3044.6"/>
    <n v="61806"/>
    <n v="16083"/>
    <n v="59.856629739958329"/>
    <n v="0.21223775187500002"/>
    <n v="0"/>
    <n v="0"/>
    <n v="0"/>
    <n v="1023748"/>
    <n v="1105778"/>
    <n v="0"/>
    <s v="u=10%, k=2x10^9"/>
    <x v="19"/>
    <n v="3.6463987083333337E-2"/>
    <n v="0"/>
    <n v="7.3515260875000002E-2"/>
    <n v="9.2181560583333336E-2"/>
    <n v="1.0076943333333333E-2"/>
    <n v="59.644391988083328"/>
  </r>
  <r>
    <s v="istree_exp6_rebuilding_time/step10337.txt"/>
    <s v="brown_ext_ist_lf_dis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452013759E+18"/>
    <n v="1000015774"/>
    <n v="1.00001452013759E+18"/>
    <n v="1000015774"/>
    <s v="success"/>
    <n v="7"/>
    <n v="119354497"/>
    <n v="1150602360"/>
    <n v="1269956857"/>
    <n v="1000015774"/>
    <n v="10.6402"/>
    <n v="0.86912400000000001"/>
    <n v="4.0731099999999998"/>
    <n v="27994560064"/>
    <s v="0 0 1 4891645 2899318"/>
    <s v="0 0 1 4891644 2899318"/>
    <m/>
    <n v="171536"/>
    <n v="2873118960933"/>
    <n v="5145536496"/>
    <m/>
    <n v="9190457896"/>
    <n v="9217216696"/>
    <n v="1746210914"/>
    <n v="1698818247"/>
    <n v="0"/>
    <n v="188767118"/>
    <n v="1698818247"/>
    <n v="1887585365"/>
    <n v="28313637"/>
    <n v="0"/>
    <n v="3146118"/>
    <n v="28313637"/>
    <n v="31459756"/>
    <n v="23.132400000000001"/>
    <n v="13.6997"/>
    <n v="4245.16"/>
    <n v="3534.62"/>
    <n v="63668"/>
    <n v="12442"/>
    <n v="59.856645019437501"/>
    <n v="0.52707129170833333"/>
    <n v="0"/>
    <n v="0"/>
    <n v="1"/>
    <n v="4891644"/>
    <n v="2899318"/>
    <n v="0"/>
    <s v="u=10%, k=2x10^9"/>
    <x v="19"/>
    <n v="0.10719867700000001"/>
    <n v="0"/>
    <n v="0.19146787283333333"/>
    <n v="0.19202534783333333"/>
    <n v="3.6379394041666666E-2"/>
    <n v="59.329573727729169"/>
  </r>
  <r>
    <s v="istree_exp6_rebuilding_time/step10338.txt"/>
    <s v="brown_ext_ist_lf_dis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9648939111603E+17"/>
    <n v="999994784"/>
    <n v="9.9999648939111603E+17"/>
    <n v="999994784"/>
    <s v="success"/>
    <n v="7"/>
    <n v="126255255"/>
    <n v="1167309990"/>
    <n v="1293565245"/>
    <n v="999994784"/>
    <n v="10.2456"/>
    <n v="0.85666600000000004"/>
    <n v="4.0892999999999997"/>
    <n v="28841750768"/>
    <s v="0 0 455920 25846840 7895178"/>
    <s v="0 0 455919 25846837 7895176"/>
    <m/>
    <n v="90430"/>
    <n v="5746252953244"/>
    <n v="32323118141"/>
    <n v="334383"/>
    <n v="45930721204"/>
    <n v="41376671181"/>
    <n v="10957616611"/>
    <n v="3603555867"/>
    <n v="0"/>
    <n v="400395121"/>
    <n v="3603555867"/>
    <n v="4003950988"/>
    <n v="60059264"/>
    <n v="0"/>
    <n v="6673252"/>
    <n v="60059264"/>
    <n v="66732516"/>
    <n v="23.614100000000001"/>
    <n v="14.6919"/>
    <n v="3999.76"/>
    <n v="3234.5"/>
    <n v="66650"/>
    <n v="9961"/>
    <n v="59.856801596291668"/>
    <n v="1.3602964741666668"/>
    <n v="0"/>
    <n v="0"/>
    <n v="455919"/>
    <n v="25846837"/>
    <n v="7895176"/>
    <n v="0"/>
    <s v="u=10%, k=2x10^9"/>
    <x v="19"/>
    <n v="0.33669914730208333"/>
    <n v="3.4831562499999999E-6"/>
    <n v="0.47844501254166666"/>
    <n v="0.43100699146874999"/>
    <n v="0.11414183969791668"/>
    <n v="58.496505122125001"/>
  </r>
  <r>
    <s v="istree_exp6_rebuilding_time/step10340.txt"/>
    <s v="brown_ext_ist_lf_dis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9612179411994E+17"/>
    <n v="999979799"/>
    <n v="9.9999612179411994E+17"/>
    <n v="999979799"/>
    <s v="success"/>
    <n v="7"/>
    <n v="84465084"/>
    <n v="1078784410"/>
    <n v="1163249494"/>
    <n v="999979799"/>
    <n v="13.772"/>
    <n v="0.92695099999999997"/>
    <n v="4"/>
    <n v="24017757264"/>
    <s v="1 31599 2148497 33458648 9430975"/>
    <s v="1 31597 2148485 33458637 9430974"/>
    <m/>
    <n v="28372"/>
    <n v="20421656735146"/>
    <n v="239134257200"/>
    <n v="12482269974555"/>
    <n v="235078347819"/>
    <n v="154628392722"/>
    <n v="87439823002"/>
    <n v="4500707811"/>
    <n v="0"/>
    <n v="500016368"/>
    <n v="4500707811"/>
    <n v="5000724179"/>
    <n v="75011796"/>
    <n v="0"/>
    <n v="8333606"/>
    <n v="75011796"/>
    <n v="83345402"/>
    <n v="25.139800000000001"/>
    <n v="15.9772"/>
    <n v="11364.7"/>
    <n v="3534.39"/>
    <n v="121577"/>
    <n v="8918"/>
    <n v="107.48240386918947"/>
    <n v="69.466056817357895"/>
    <n v="1"/>
    <n v="31597"/>
    <n v="2148485"/>
    <n v="33458637"/>
    <n v="9430974"/>
    <n v="0"/>
    <s v="u=10%, k=2x10^9"/>
    <x v="19"/>
    <n v="1.2586013536842107"/>
    <n v="65.696157760815794"/>
    <n v="1.237254462205263"/>
    <n v="0.81383364590526319"/>
    <n v="0.46020959474736839"/>
    <n v="38.016347051831573"/>
  </r>
  <r>
    <s v="istree_exp6_rebuilding_time/step10341.txt"/>
    <s v="brown_ext_ist_lf_dis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998768154418"/>
    <n v="998696"/>
    <n v="998768154418"/>
    <n v="998696"/>
    <s v="success"/>
    <n v="6"/>
    <n v="33008"/>
    <n v="1030711"/>
    <n v="1063719"/>
    <n v="998696"/>
    <n v="32.226100000000002"/>
    <n v="0.96893899999999999"/>
    <n v="3.0000100000000001"/>
    <n v="19132000"/>
    <s v="1960 905558 13007425 14557168"/>
    <s v="1007 901919 13003798 14556802"/>
    <m/>
    <n v="513328"/>
    <n v="1437029230951"/>
    <n v="45507778395"/>
    <n v="751596282692"/>
    <n v="51219998608"/>
    <n v="18129123452"/>
    <n v="22367271814"/>
    <n v="755171992"/>
    <n v="0"/>
    <n v="503457555"/>
    <n v="755171992"/>
    <n v="1258629547"/>
    <n v="12586199"/>
    <n v="0"/>
    <n v="8390959"/>
    <n v="12586199"/>
    <n v="20977159"/>
    <n v="14.850199999999999"/>
    <n v="1.2215"/>
    <n v="3175.65"/>
    <n v="586.58799999999997"/>
    <n v="1774"/>
    <n v="27"/>
    <n v="59.876217956291669"/>
    <n v="37.034185623375002"/>
    <n v="1007"/>
    <n v="901919"/>
    <n v="13003798"/>
    <n v="14556802"/>
    <n v="0"/>
    <n v="0"/>
    <s v="u=40%, k=2x10^6"/>
    <x v="20"/>
    <n v="1.8961574331250002"/>
    <n v="31.316511778833334"/>
    <n v="2.1341666086666664"/>
    <n v="0.75538014383333341"/>
    <n v="0.93196965891666661"/>
    <n v="22.842032332916666"/>
  </r>
  <r>
    <s v="istree_exp6_rebuilding_time/step10342.txt"/>
    <s v="brown_ext_ist_lf_dis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0387834536"/>
    <n v="1000365"/>
    <n v="1000387834536"/>
    <n v="1000365"/>
    <s v="success"/>
    <n v="6"/>
    <n v="33043"/>
    <n v="1032415"/>
    <n v="1065458"/>
    <n v="1000365"/>
    <n v="32.244599999999998"/>
    <n v="0.96895600000000004"/>
    <n v="3.0000200000000001"/>
    <n v="19162064"/>
    <s v="2343 896691 8506610 12348494"/>
    <s v="908 894557 8500383 12347902"/>
    <m/>
    <n v="120368"/>
    <n v="2874956575409"/>
    <n v="70160367116"/>
    <n v="2043260068005"/>
    <n v="70628127735"/>
    <n v="30386296508"/>
    <n v="30917796703"/>
    <n v="680859247"/>
    <n v="0"/>
    <n v="453942365"/>
    <n v="680859247"/>
    <n v="1134801612"/>
    <n v="11347654"/>
    <n v="0"/>
    <n v="7565706"/>
    <n v="11347654"/>
    <n v="18913360"/>
    <n v="14.9092"/>
    <n v="1.63018"/>
    <n v="7050.58"/>
    <n v="980.99400000000003"/>
    <n v="2161"/>
    <n v="69"/>
    <n v="59.894928654354167"/>
    <n v="46.778180334729171"/>
    <n v="908"/>
    <n v="894557"/>
    <n v="8500383"/>
    <n v="12347902"/>
    <n v="0"/>
    <n v="0"/>
    <s v="u=40%, k=2x10^6"/>
    <x v="20"/>
    <n v="1.4616743149166667"/>
    <n v="42.567918083437498"/>
    <n v="1.4714193278125001"/>
    <n v="0.63304784391666669"/>
    <n v="0.64412076464583334"/>
    <n v="13.11674831962501"/>
  </r>
  <r>
    <s v="istree_exp6_rebuilding_time/step10343.txt"/>
    <s v="brown_ext_ist_lf_dis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768349783"/>
    <n v="999994"/>
    <n v="999768349783"/>
    <n v="999994"/>
    <s v="success"/>
    <n v="6"/>
    <n v="33029"/>
    <n v="1032041"/>
    <n v="1065070"/>
    <n v="999994"/>
    <n v="32.246499999999997"/>
    <n v="0.96894800000000003"/>
    <n v="3.0000499999999999"/>
    <n v="19154960"/>
    <s v="1810 1195014 2072036 8784972"/>
    <s v="761 1183563 2066397 8784205"/>
    <m/>
    <n v="33400"/>
    <n v="5748740112298"/>
    <n v="134226529519"/>
    <n v="4409275615505"/>
    <n v="91510377410"/>
    <n v="308993101494"/>
    <n v="28429719177"/>
    <n v="570440345"/>
    <n v="0"/>
    <n v="380288959"/>
    <n v="570440345"/>
    <n v="950729304"/>
    <n v="9507339"/>
    <n v="0"/>
    <n v="6338149"/>
    <n v="9507339"/>
    <n v="15845488"/>
    <n v="17.239599999999999"/>
    <n v="5.5125999999999999"/>
    <n v="16592.900000000001"/>
    <n v="2195.4"/>
    <n v="2986"/>
    <n v="112"/>
    <n v="59.882709503104167"/>
    <n v="51.796201490677085"/>
    <n v="761"/>
    <n v="1183563"/>
    <n v="2066397"/>
    <n v="8784205"/>
    <n v="0"/>
    <n v="0"/>
    <s v="u=40%, k=2x10^6"/>
    <x v="20"/>
    <n v="1.3981930158229166"/>
    <n v="45.929954328177082"/>
    <n v="0.95323309802083334"/>
    <n v="3.2186781405624996"/>
    <n v="0.29614290809374999"/>
    <n v="8.0865080124270818"/>
  </r>
  <r>
    <s v="istree_exp6_rebuilding_time/step10344.txt"/>
    <s v="brown_ext_ist_lf_dis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0648108663"/>
    <n v="1000986"/>
    <n v="1000648108663"/>
    <n v="1000986"/>
    <s v="success"/>
    <n v="6"/>
    <n v="51409"/>
    <n v="1070191"/>
    <n v="1121600"/>
    <n v="1000986"/>
    <n v="21.8172"/>
    <n v="0.935334"/>
    <n v="3.0381300000000002"/>
    <n v="21251184"/>
    <s v="1678 2059222 369382 5722950"/>
    <s v="705 2043356 367318 5722204"/>
    <m/>
    <n v="16328"/>
    <n v="8619419416614"/>
    <n v="190377259692"/>
    <n v="6700334850609"/>
    <n v="125355014112"/>
    <n v="746233766903"/>
    <n v="32642574124"/>
    <n v="528933474"/>
    <n v="0"/>
    <n v="352580531"/>
    <n v="528933474"/>
    <n v="881514005"/>
    <n v="8815557"/>
    <n v="0"/>
    <n v="5876342"/>
    <n v="8815557"/>
    <n v="14691900"/>
    <n v="20.734100000000002"/>
    <n v="8.8296200000000002"/>
    <n v="26137.5"/>
    <n v="2930.73"/>
    <n v="3699"/>
    <n v="206"/>
    <n v="59.857079282041667"/>
    <n v="54.131551843333334"/>
    <n v="705"/>
    <n v="2043356"/>
    <n v="367318"/>
    <n v="5722204"/>
    <n v="0"/>
    <n v="0"/>
    <s v="u=40%, k=2x10^6"/>
    <x v="20"/>
    <n v="1.3220643034166666"/>
    <n v="46.530103129229161"/>
    <n v="0.87052093133333341"/>
    <n v="5.1821789368263884"/>
    <n v="0.22668454252777778"/>
    <n v="5.7255274387083404"/>
  </r>
  <r>
    <s v="istree_exp6_rebuilding_time/step10345.txt"/>
    <s v="brown_ext_ist_lf_dis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1000351767455"/>
    <n v="1001169"/>
    <n v="1000351767455"/>
    <n v="1001169"/>
    <s v="success"/>
    <n v="6"/>
    <n v="33094"/>
    <n v="1033302"/>
    <n v="1066396"/>
    <n v="1001169"/>
    <n v="32.223199999999999"/>
    <n v="0.96890299999999996"/>
    <n v="3.0001199999999999"/>
    <n v="19180336"/>
    <s v="1337 1666001 808868 6645371"/>
    <s v="709 1655300 804366 6644438"/>
    <m/>
    <n v="10646"/>
    <n v="11380121563042"/>
    <n v="201515945627"/>
    <n v="9029738412588"/>
    <n v="119145222939"/>
    <n v="1091895690962"/>
    <n v="29559373308"/>
    <n v="531128155"/>
    <n v="0"/>
    <n v="354079872"/>
    <n v="531128155"/>
    <n v="885208027"/>
    <n v="8852135"/>
    <n v="0"/>
    <n v="5901331"/>
    <n v="8852135"/>
    <n v="14753467"/>
    <n v="20.83"/>
    <n v="9.6503099999999993"/>
    <n v="34268.5"/>
    <n v="3458.48"/>
    <n v="4054"/>
    <n v="313"/>
    <n v="59.895376647589472"/>
    <n v="55.1150244496"/>
    <n v="709"/>
    <n v="1655300"/>
    <n v="804366"/>
    <n v="6644438"/>
    <n v="0"/>
    <n v="0"/>
    <s v="u=40%, k=2x10^6"/>
    <x v="20"/>
    <n v="1.0606102401421054"/>
    <n v="47.524939013621051"/>
    <n v="0.62708012073157904"/>
    <n v="5.7468194261157892"/>
    <n v="0.15557564898947368"/>
    <n v="4.7803521979894725"/>
  </r>
  <r>
    <s v="istree_exp6_rebuilding_time/step10346.txt"/>
    <s v="brown_ext_ist_lf_dis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6877319236"/>
    <n v="10000007"/>
    <n v="99976877319236"/>
    <n v="10000007"/>
    <s v="success"/>
    <n v="7"/>
    <n v="1782466"/>
    <n v="11785286"/>
    <n v="13567752"/>
    <n v="10000007"/>
    <n v="7.6117900000000001"/>
    <n v="0.84851600000000005"/>
    <n v="4.0295199999999998"/>
    <n v="331191168"/>
    <s v="69 118749 3441437 31437160 106413"/>
    <s v="42 118517 3441265 31437019 106413"/>
    <m/>
    <n v="207300"/>
    <n v="1436562186566"/>
    <n v="54033680487"/>
    <n v="798449746697"/>
    <n v="63001642251"/>
    <n v="56938259703"/>
    <n v="20007833694"/>
    <n v="322016108"/>
    <n v="0"/>
    <n v="214681628"/>
    <n v="322016108"/>
    <n v="536697736"/>
    <n v="5366935"/>
    <n v="0"/>
    <n v="3578027"/>
    <n v="5366935"/>
    <n v="8944962"/>
    <n v="24.246400000000001"/>
    <n v="10.4855"/>
    <n v="7388.92"/>
    <n v="1937.2"/>
    <n v="3953"/>
    <n v="157"/>
    <n v="59.856757773583332"/>
    <n v="41.351298451333335"/>
    <n v="42"/>
    <n v="118517"/>
    <n v="3441265"/>
    <n v="31437019"/>
    <n v="106413"/>
    <n v="0"/>
    <s v="u=40%, k=2x10^7"/>
    <x v="21"/>
    <n v="2.2514033536249998"/>
    <n v="33.268739445708334"/>
    <n v="2.625068427125"/>
    <n v="2.372427487625"/>
    <n v="0.83365973724999998"/>
    <n v="18.505459322249997"/>
  </r>
  <r>
    <s v="istree_exp6_rebuilding_time/step10347.txt"/>
    <s v="brown_ext_ist_lf_dis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93257482503"/>
    <n v="9997812"/>
    <n v="99993257482503"/>
    <n v="9997812"/>
    <s v="success"/>
    <n v="7"/>
    <n v="1625283"/>
    <n v="11439712"/>
    <n v="13064995"/>
    <n v="9997812"/>
    <n v="8.0386000000000006"/>
    <n v="0.87395699999999998"/>
    <n v="4"/>
    <n v="313058016"/>
    <s v="96 133574 2921572 30572177 100201"/>
    <s v="43 133408 2921229 30571812 100198"/>
    <m/>
    <n v="55960"/>
    <n v="2914120836038"/>
    <n v="70834923681"/>
    <n v="2046555971993"/>
    <n v="88454912967"/>
    <n v="151625260204"/>
    <n v="27354624450"/>
    <n v="322466778"/>
    <n v="0"/>
    <n v="214975762"/>
    <n v="322466778"/>
    <n v="537442540"/>
    <n v="5374446"/>
    <n v="0"/>
    <n v="3582929"/>
    <n v="5374446"/>
    <n v="8957375"/>
    <n v="24.872199999999999"/>
    <n v="11.045400000000001"/>
    <n v="14748.4"/>
    <n v="2494.5100000000002"/>
    <n v="4357"/>
    <n v="170"/>
    <n v="60.710850750791671"/>
    <n v="49.683868610312494"/>
    <n v="43"/>
    <n v="133408"/>
    <n v="2921229"/>
    <n v="30571812"/>
    <n v="100198"/>
    <n v="0"/>
    <s v="u=40%, k=2x10^7"/>
    <x v="21"/>
    <n v="1.4757275766875002"/>
    <n v="42.636582749854163"/>
    <n v="1.8428106868125"/>
    <n v="3.1588595875833332"/>
    <n v="0.56988800937499995"/>
    <n v="11.026982140479177"/>
  </r>
  <r>
    <s v="istree_exp6_rebuilding_time/step10348.txt"/>
    <s v="brown_ext_ist_lf_dis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43308802380"/>
    <n v="9995814"/>
    <n v="99943308802380"/>
    <n v="9995814"/>
    <s v="success"/>
    <n v="7"/>
    <n v="1625298"/>
    <n v="11437733"/>
    <n v="13063031"/>
    <n v="9995814"/>
    <n v="8.0373099999999997"/>
    <n v="0.87393299999999996"/>
    <n v="4.0000099999999996"/>
    <n v="313027552"/>
    <s v="104 120156 1753665 26033045 76324"/>
    <s v="38 120138 1753419 26032587 76320"/>
    <m/>
    <n v="25824"/>
    <n v="5759021053889"/>
    <n v="63937595310"/>
    <n v="4057722286473"/>
    <n v="83777805217"/>
    <n v="1015097484331"/>
    <n v="26017410185"/>
    <n v="284988532"/>
    <n v="0"/>
    <n v="189981776"/>
    <n v="284988532"/>
    <n v="474970308"/>
    <n v="4749808"/>
    <n v="0"/>
    <n v="3166362"/>
    <n v="4749808"/>
    <n v="7916171"/>
    <n v="25.661899999999999"/>
    <n v="12.571999999999999"/>
    <n v="28490.1"/>
    <n v="2628.57"/>
    <n v="4582"/>
    <n v="237"/>
    <n v="59.989802644677077"/>
    <n v="54.651589390791663"/>
    <n v="38"/>
    <n v="120138"/>
    <n v="1753419"/>
    <n v="26032587"/>
    <n v="76320"/>
    <n v="0"/>
    <s v="u=40%, k=2x10^7"/>
    <x v="21"/>
    <n v="0.66601661781249999"/>
    <n v="42.267940484093749"/>
    <n v="0.8726854710104166"/>
    <n v="10.573932128447916"/>
    <n v="0.27101468942708334"/>
    <n v="5.3382132538854137"/>
  </r>
  <r>
    <s v="istree_exp6_rebuilding_time/step10349.txt"/>
    <s v="brown_ext_ist_lf_dis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30197533392"/>
    <n v="10003362"/>
    <n v="100030197533392"/>
    <n v="10003362"/>
    <s v="success"/>
    <n v="7"/>
    <n v="1729283"/>
    <n v="11663911"/>
    <n v="13393194"/>
    <n v="10003362"/>
    <n v="7.7449399999999997"/>
    <n v="0.85763400000000001"/>
    <n v="4.0210900000000001"/>
    <n v="324972608"/>
    <s v="91 116543 979916 24634349 62165"/>
    <s v="36 116534 979674 24633755 62161"/>
    <m/>
    <n v="16172"/>
    <n v="8622631875134"/>
    <n v="59351957453"/>
    <n v="6216475619100"/>
    <n v="79652755370"/>
    <n v="1733326936059"/>
    <n v="25574023862"/>
    <n v="275810415"/>
    <n v="0"/>
    <n v="183859721"/>
    <n v="275810415"/>
    <n v="459670136"/>
    <n v="4596840"/>
    <n v="0"/>
    <n v="3064328"/>
    <n v="4596840"/>
    <n v="7661168"/>
    <n v="25.8293"/>
    <n v="13.133599999999999"/>
    <n v="41953.2"/>
    <n v="2685.24"/>
    <n v="4709"/>
    <n v="302"/>
    <n v="59.879388021763894"/>
    <n v="56.34987008225"/>
    <n v="36"/>
    <n v="116534"/>
    <n v="979674"/>
    <n v="24633755"/>
    <n v="62161"/>
    <n v="0"/>
    <s v="u=40%, k=2x10^7"/>
    <x v="21"/>
    <n v="0.41216637120138888"/>
    <n v="43.169969577083329"/>
    <n v="0.55314413451388889"/>
    <n v="12.036992611520834"/>
    <n v="0.17759738793055557"/>
    <n v="3.5295179395139087"/>
  </r>
  <r>
    <s v="istree_exp6_rebuilding_time/step10350.txt"/>
    <s v="brown_ext_ist_lf_dis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07642832237"/>
    <n v="10001612"/>
    <n v="100007642832237"/>
    <n v="10001612"/>
    <s v="success"/>
    <n v="7"/>
    <n v="1625834"/>
    <n v="11444039"/>
    <n v="13069873"/>
    <n v="10001612"/>
    <n v="8.0388699999999993"/>
    <n v="0.87395800000000001"/>
    <n v="4.0000099999999996"/>
    <n v="313171328"/>
    <s v="75 117043 986828 24764339 62153"/>
    <s v="37 117030 986508 24763580 62151"/>
    <m/>
    <n v="11786"/>
    <n v="11390527287042"/>
    <n v="59660833724"/>
    <n v="8255957116920"/>
    <n v="83426201621"/>
    <n v="2444162525088"/>
    <n v="25739357417"/>
    <n v="277524556"/>
    <n v="0"/>
    <n v="185011457"/>
    <n v="277524556"/>
    <n v="462536013"/>
    <n v="4625409"/>
    <n v="0"/>
    <n v="3083524"/>
    <n v="4625409"/>
    <n v="7708933"/>
    <n v="26.171199999999999"/>
    <n v="13.6685"/>
    <n v="53913"/>
    <n v="2809.3"/>
    <n v="5441"/>
    <n v="442"/>
    <n v="59.950143616010521"/>
    <n v="57.204979130368422"/>
    <n v="37"/>
    <n v="117030"/>
    <n v="986508"/>
    <n v="24763580"/>
    <n v="62151"/>
    <n v="0"/>
    <s v="u=40%, k=2x10^7"/>
    <x v="21"/>
    <n v="0.31400438802105263"/>
    <n v="43.452405878526321"/>
    <n v="0.4390852716894737"/>
    <n v="12.864013289936842"/>
    <n v="0.13547030219473685"/>
    <n v="2.7451644856420927"/>
  </r>
  <r>
    <s v="istree_exp6_rebuilding_time/step10351.txt"/>
    <s v="brown_ext_ist_lf_dis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33958441650"/>
    <n v="99993636"/>
    <n v="9999533958441650"/>
    <n v="99993636"/>
    <s v="success"/>
    <n v="7"/>
    <n v="14254405"/>
    <n v="116642716"/>
    <n v="130897121"/>
    <n v="99993636"/>
    <n v="9.1829199999999993"/>
    <n v="0.85726400000000003"/>
    <n v="4.0634100000000002"/>
    <n v="3009985040"/>
    <s v="5 19182 1904777 16680944 2741584"/>
    <s v="3 19162 1904760 16680933 2741584"/>
    <m/>
    <n v="193972"/>
    <n v="1436592686141"/>
    <n v="42007613598"/>
    <n v="680622137138"/>
    <n v="53336882220"/>
    <n v="86147221253"/>
    <n v="16629198942"/>
    <n v="295703910"/>
    <n v="0"/>
    <n v="197160067"/>
    <n v="295703910"/>
    <n v="492863977"/>
    <n v="4928398"/>
    <n v="0"/>
    <n v="3286001"/>
    <n v="4928398"/>
    <n v="8214399"/>
    <n v="26.62"/>
    <n v="12.5223"/>
    <n v="7749.28"/>
    <n v="2679.92"/>
    <n v="12749"/>
    <n v="1566"/>
    <n v="59.858028589208338"/>
    <n v="36.614293881291665"/>
    <n v="3"/>
    <n v="19162"/>
    <n v="1904760"/>
    <n v="16680933"/>
    <n v="2741584"/>
    <n v="0"/>
    <s v="u=40%, k=2x10^8"/>
    <x v="22"/>
    <n v="1.7503172332499999"/>
    <n v="28.359255714083332"/>
    <n v="2.2223700924999998"/>
    <n v="3.5894675522083332"/>
    <n v="0.69288328924999998"/>
    <n v="23.243734707916673"/>
  </r>
  <r>
    <s v="istree_exp6_rebuilding_time/step10352.txt"/>
    <s v="brown_ext_ist_lf_dis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934722801280"/>
    <n v="100003700"/>
    <n v="9999934722801280"/>
    <n v="100003700"/>
    <s v="success"/>
    <n v="7"/>
    <n v="11011112"/>
    <n v="110004723"/>
    <n v="121015835"/>
    <n v="100003700"/>
    <n v="10.9903"/>
    <n v="0.90908599999999995"/>
    <n v="4"/>
    <n v="2640964512"/>
    <s v="4 34407 1879969 16641241 2741380"/>
    <s v="4 34385 1879936 16641209 2741380"/>
    <m/>
    <n v="54974"/>
    <n v="3225645742984"/>
    <n v="74751128518"/>
    <n v="1978400008420"/>
    <n v="90905274799"/>
    <n v="409842253825"/>
    <n v="27145175490"/>
    <n v="300023152"/>
    <n v="0"/>
    <n v="200017987"/>
    <n v="300023152"/>
    <n v="500041139"/>
    <n v="5000385"/>
    <n v="0"/>
    <n v="3333633"/>
    <n v="5000385"/>
    <n v="8334018"/>
    <n v="29.691199999999998"/>
    <n v="13.643000000000001"/>
    <n v="16453.2"/>
    <n v="3458.04"/>
    <n v="13299"/>
    <n v="1255"/>
    <n v="67.200952978833342"/>
    <n v="53.771746688583335"/>
    <n v="4"/>
    <n v="34385"/>
    <n v="1879936"/>
    <n v="16641209"/>
    <n v="2741380"/>
    <n v="0"/>
    <s v="u=40%, k=2x10^8"/>
    <x v="22"/>
    <n v="1.5573151774583334"/>
    <n v="41.216666842083335"/>
    <n v="1.8938598916458333"/>
    <n v="8.5383802880208339"/>
    <n v="0.56552448937499999"/>
    <n v="13.429206290250008"/>
  </r>
  <r>
    <s v="istree_exp6_rebuilding_time/step10353.txt"/>
    <s v="brown_ext_ist_lf_dis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054137309070"/>
    <n v="99999746"/>
    <n v="9999054137309070"/>
    <n v="99999746"/>
    <s v="success"/>
    <n v="7"/>
    <n v="11865668"/>
    <n v="111679552"/>
    <n v="123545220"/>
    <n v="99999746"/>
    <n v="10.412000000000001"/>
    <n v="0.89541700000000002"/>
    <n v="4.0160200000000001"/>
    <n v="2736581568"/>
    <s v="7 38658 1574908 15974517 2680982"/>
    <s v="3 38650 1574873 15974478 2680982"/>
    <m/>
    <n v="20948"/>
    <n v="5763522232502"/>
    <n v="70931241543"/>
    <n v="2789032392956"/>
    <n v="85061784062"/>
    <n v="2147290061573"/>
    <n v="23184904447"/>
    <n v="297708713"/>
    <n v="0"/>
    <n v="198474349"/>
    <n v="297708713"/>
    <n v="496183062"/>
    <n v="4961811"/>
    <n v="0"/>
    <n v="3307905"/>
    <n v="4961811"/>
    <n v="8269717"/>
    <n v="30.25"/>
    <n v="15.095000000000001"/>
    <n v="21987.8"/>
    <n v="3347.65"/>
    <n v="14435"/>
    <n v="1036"/>
    <n v="60.036689921895835"/>
    <n v="53.286462339385416"/>
    <n v="3"/>
    <n v="38650"/>
    <n v="1574873"/>
    <n v="15974478"/>
    <n v="2680982"/>
    <n v="0"/>
    <s v="u=40%, k=2x10^8"/>
    <x v="22"/>
    <n v="0.73886709940624995"/>
    <n v="29.052420759958334"/>
    <n v="0.88606025064583338"/>
    <n v="22.367604808052082"/>
    <n v="0.24150942132291667"/>
    <n v="6.7502275825104192"/>
  </r>
  <r>
    <s v="istree_exp6_rebuilding_time/step10354.txt"/>
    <s v="brown_ext_ist_lf_dis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01556772149E+16"/>
    <n v="100006753"/>
    <n v="1.00001556772149E+16"/>
    <n v="100006753"/>
    <s v="success"/>
    <n v="7"/>
    <n v="12259976"/>
    <n v="112526871"/>
    <n v="124786847"/>
    <n v="100006753"/>
    <n v="10.1784"/>
    <n v="0.888737"/>
    <n v="4.0240099999999996"/>
    <n v="2782283632"/>
    <s v="5 37169 1392871 15557056 2644153"/>
    <s v="3 37166 1392834 15557004 2644148"/>
    <m/>
    <n v="19074"/>
    <n v="8652444904789"/>
    <n v="66707533351"/>
    <n v="4174678050834"/>
    <n v="84954895292"/>
    <n v="3648915386144"/>
    <n v="22874642494"/>
    <n v="294471216"/>
    <n v="0"/>
    <n v="196329762"/>
    <n v="294471216"/>
    <n v="490800978"/>
    <n v="4907853"/>
    <n v="0"/>
    <n v="3272162"/>
    <n v="4907853"/>
    <n v="8180016"/>
    <n v="30.37"/>
    <n v="15.7966"/>
    <n v="29739"/>
    <n v="3250.66"/>
    <n v="17120"/>
    <n v="1038"/>
    <n v="60.086422949923609"/>
    <n v="55.542572973020839"/>
    <n v="3"/>
    <n v="37166"/>
    <n v="1392834"/>
    <n v="15557004"/>
    <n v="2644148"/>
    <n v="0"/>
    <s v="u=40%, k=2x10^8"/>
    <x v="22"/>
    <n v="0.46324675938194443"/>
    <n v="28.990819797458332"/>
    <n v="0.58996455063888886"/>
    <n v="25.339690181555554"/>
    <n v="0.1588516839861111"/>
    <n v="4.54384997690277"/>
  </r>
  <r>
    <s v="istree_exp6_rebuilding_time/step10355.txt"/>
    <s v="brown_ext_ist_lf_dis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15457034726E+16"/>
    <n v="100016685"/>
    <n v="1.00015457034726E+16"/>
    <n v="100016685"/>
    <s v="success"/>
    <n v="7"/>
    <n v="11084672"/>
    <n v="110084625"/>
    <n v="121169297"/>
    <n v="100016685"/>
    <n v="10.9312"/>
    <n v="0.90854400000000002"/>
    <n v="4"/>
    <n v="2648127744"/>
    <s v="11 39997 1378518 15551811 2664117"/>
    <s v="4 39995 1378459 15551747 2664105"/>
    <m/>
    <n v="12104"/>
    <n v="11395122542180"/>
    <n v="70709673247"/>
    <n v="6662539262718"/>
    <n v="109756762732"/>
    <n v="3848514867785"/>
    <n v="26289264612"/>
    <n v="299987777"/>
    <n v="0"/>
    <n v="200010068"/>
    <n v="299987777"/>
    <n v="499997845"/>
    <n v="4999796"/>
    <n v="0"/>
    <n v="3333501"/>
    <n v="4999796"/>
    <n v="8333297"/>
    <n v="30.13"/>
    <n v="15.9114"/>
    <n v="42417.599999999999"/>
    <n v="3198.4"/>
    <n v="20902"/>
    <n v="1072"/>
    <n v="59.974329169368424"/>
    <n v="56.409525426810525"/>
    <n v="4"/>
    <n v="39995"/>
    <n v="1378459"/>
    <n v="15551747"/>
    <n v="2664105"/>
    <n v="0"/>
    <s v="u=40%, k=2x10^8"/>
    <x v="22"/>
    <n v="0.3721561749842105"/>
    <n v="35.065996119568418"/>
    <n v="0.57766717227368425"/>
    <n v="20.255341409394738"/>
    <n v="0.13836455058947369"/>
    <n v="3.5648037425578991"/>
  </r>
  <r>
    <s v="istree_exp6_rebuilding_time/step10356.txt"/>
    <s v="brown_ext_ist_lf_dis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8178925544397E+17"/>
    <n v="999969512"/>
    <n v="9.9998178925544397E+17"/>
    <n v="999969512"/>
    <s v="success"/>
    <n v="7"/>
    <n v="128047957"/>
    <n v="1170604758"/>
    <n v="1298652715"/>
    <n v="999969512"/>
    <n v="10.1419"/>
    <n v="0.85423300000000002"/>
    <n v="4.0928899999999997"/>
    <n v="29038018896"/>
    <s v="0 0 99171 20651905 6880908"/>
    <s v="0 0 99171 20651902 6880908"/>
    <m/>
    <n v="333168"/>
    <n v="1436561122504"/>
    <n v="16705662327"/>
    <n v="30109"/>
    <n v="21439257413"/>
    <n v="21397542939"/>
    <n v="3612820008"/>
    <n v="532275450"/>
    <n v="0"/>
    <n v="354815485"/>
    <n v="532275450"/>
    <n v="887090935"/>
    <n v="8871257"/>
    <n v="0"/>
    <n v="5913591"/>
    <n v="8871257"/>
    <n v="14784848"/>
    <n v="26.082000000000001"/>
    <n v="15.3264"/>
    <n v="4434.03"/>
    <n v="3508.92"/>
    <n v="62781"/>
    <n v="16218"/>
    <n v="59.856713437666663"/>
    <n v="2.6314713665"/>
    <n v="0"/>
    <n v="0"/>
    <n v="99171"/>
    <n v="20651902"/>
    <n v="6880908"/>
    <n v="0"/>
    <s v="u=40%, k=2x10^9"/>
    <x v="23"/>
    <n v="0.69606926362499999"/>
    <n v="1.2545416666666666E-6"/>
    <n v="0.8933023922083333"/>
    <n v="0.89156428912500008"/>
    <n v="0.150534167"/>
    <n v="57.225242071166662"/>
  </r>
  <r>
    <s v="istree_exp6_rebuilding_time/step10358.txt"/>
    <s v="brown_ext_ist_lf_dis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4667267245094E+17"/>
    <n v="999967522"/>
    <n v="9.9994667267245094E+17"/>
    <n v="999967522"/>
    <s v="success"/>
    <n v="7"/>
    <n v="84465055"/>
    <n v="1078772079"/>
    <n v="1163237134"/>
    <n v="999967522"/>
    <n v="13.771800000000001"/>
    <n v="0.92695000000000005"/>
    <n v="4"/>
    <n v="24017557648"/>
    <s v="1 30974 2311678 33889817 9501447"/>
    <s v="1 30966 2311659 33889797 9501446"/>
    <m/>
    <n v="28250"/>
    <n v="9496160146491"/>
    <n v="171367322628"/>
    <n v="6727292803408"/>
    <n v="369715464007"/>
    <n v="135910816757"/>
    <n v="78116190991"/>
    <n v="749988737"/>
    <n v="0"/>
    <n v="500005278"/>
    <n v="749988737"/>
    <n v="1249994015"/>
    <n v="12499812"/>
    <n v="0"/>
    <n v="8333421"/>
    <n v="12499812"/>
    <n v="20833233"/>
    <n v="32.385300000000001"/>
    <n v="20.142600000000002"/>
    <n v="20738"/>
    <n v="4450.5"/>
    <n v="88717"/>
    <n v="9871"/>
    <n v="98.918334859281245"/>
    <n v="77.941693726989584"/>
    <n v="1"/>
    <n v="30966"/>
    <n v="2311659"/>
    <n v="33889797"/>
    <n v="9501446"/>
    <n v="0"/>
    <s v="u=40%, k=2x10^9"/>
    <x v="23"/>
    <n v="1.7850762773750002"/>
    <n v="70.075966702166667"/>
    <n v="3.8512027500729165"/>
    <n v="1.4157376745520833"/>
    <n v="0.81371032282291667"/>
    <n v="20.976641132291675"/>
  </r>
  <r>
    <s v="istree_exp6_rebuilding_time/step10359.txt"/>
    <s v="brown_ext_ist_lf_dis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1706476285E+18"/>
    <n v="999995159"/>
    <n v="1.00001706476285E+18"/>
    <n v="999995159"/>
    <s v="success"/>
    <n v="7"/>
    <n v="84465070"/>
    <n v="1078799743"/>
    <n v="1163264813"/>
    <n v="999995159"/>
    <n v="13.7721"/>
    <n v="0.926952"/>
    <n v="4"/>
    <n v="24018001472"/>
    <s v="1 31578 2163601 33493155 9434149"/>
    <s v="1 31575 2163579 33493138 9434147"/>
    <m/>
    <n v="12740"/>
    <n v="12703597750974"/>
    <n v="173224030980"/>
    <n v="10041739760781"/>
    <n v="218926841923"/>
    <n v="145953792247"/>
    <n v="77961242752"/>
    <n v="750046093"/>
    <n v="0"/>
    <n v="500034061"/>
    <n v="750046093"/>
    <n v="1250080154"/>
    <n v="12500768"/>
    <n v="0"/>
    <n v="8333901"/>
    <n v="12500768"/>
    <n v="20834669"/>
    <n v="32.458100000000002"/>
    <n v="20.529199999999999"/>
    <n v="28241.4"/>
    <n v="4525.7"/>
    <n v="121340"/>
    <n v="9064"/>
    <n v="88.219428826208343"/>
    <n v="74.012539365854167"/>
    <n v="1"/>
    <n v="31575"/>
    <n v="2163579"/>
    <n v="33493138"/>
    <n v="9434147"/>
    <n v="0"/>
    <s v="u=40%, k=2x10^9"/>
    <x v="23"/>
    <n v="1.2029446595833333"/>
    <n v="69.734303894312504"/>
    <n v="1.5203252911319445"/>
    <n v="1.0135680017152777"/>
    <n v="0.54139751911111111"/>
    <n v="14.206889460354176"/>
  </r>
  <r>
    <s v="istree_exp6_rebuilding_time/step10360.txt"/>
    <s v="brown_ext_ist_lf_dis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9.9999103628688205E+17"/>
    <n v="999990396"/>
    <n v="9.9999103628688205E+17"/>
    <n v="999990396"/>
    <s v="success"/>
    <n v="7"/>
    <n v="84465082"/>
    <n v="1078794998"/>
    <n v="1163260080"/>
    <n v="999990396"/>
    <n v="13.7721"/>
    <n v="0.92695099999999997"/>
    <n v="4"/>
    <n v="24017926512"/>
    <s v="1 31587 2149803 33456710 9427991"/>
    <s v="1 31584 2149781 33456696 9427989"/>
    <m/>
    <n v="7698"/>
    <n v="16075930681855"/>
    <n v="178141815564"/>
    <n v="13323275960635"/>
    <n v="233144651345"/>
    <n v="165936890098"/>
    <n v="78014021224"/>
    <n v="750021098"/>
    <n v="0"/>
    <n v="499977820"/>
    <n v="750021098"/>
    <n v="1249998918"/>
    <n v="12500351"/>
    <n v="0"/>
    <n v="8332963"/>
    <n v="12500351"/>
    <n v="20833315"/>
    <n v="32.708399999999997"/>
    <n v="20.845300000000002"/>
    <n v="35751.599999999999"/>
    <n v="4681.34"/>
    <n v="121934"/>
    <n v="9129"/>
    <n v="84.610161483447371"/>
    <n v="73.571122836136837"/>
    <n v="1"/>
    <n v="31584"/>
    <n v="2149781"/>
    <n v="33456696"/>
    <n v="9427989"/>
    <n v="0"/>
    <s v="u=40%, k=2x10^9"/>
    <x v="23"/>
    <n v="0.93758850296842111"/>
    <n v="70.122505055973676"/>
    <n v="1.2270771123421054"/>
    <n v="0.87335205314736841"/>
    <n v="0.41060011170526317"/>
    <n v="11.039038647310534"/>
  </r>
  <r>
    <s v="istree_exp6_rebuilding_time/step10001.txt"/>
    <s v="brown_ext_ist_lf_disabled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1.00002031154822E+18"/>
    <n v="1000023490"/>
    <n v="1.00002031154822E+18"/>
    <n v="1000023490"/>
    <s v="success"/>
    <n v="7"/>
    <n v="84467745"/>
    <n v="1078830578"/>
    <n v="1163298323"/>
    <n v="1000023490"/>
    <n v="13.7721"/>
    <n v="0.92695099999999997"/>
    <n v="4"/>
    <n v="24018708832"/>
    <s v="1 31585 2164039 33496864 9438146"/>
    <s v="1 31582 2164030 33496863 9438145"/>
    <m/>
    <n v="47722"/>
    <n v="17479147367219"/>
    <n v="184814651994"/>
    <n v="9612868993184"/>
    <n v="303648791645"/>
    <n v="185753602814"/>
    <n v="87280344410"/>
    <n v="4499559627"/>
    <n v="0"/>
    <n v="499948216"/>
    <n v="4499559627"/>
    <n v="4999507843"/>
    <n v="74992660"/>
    <n v="0"/>
    <n v="8332470"/>
    <n v="74992660"/>
    <n v="83325130"/>
    <n v="25.088699999999999"/>
    <n v="15.8659"/>
    <n v="9665.92"/>
    <n v="3440.71"/>
    <n v="103504"/>
    <n v="9404"/>
    <n v="121.38296782790972"/>
    <n v="72.044211000326385"/>
    <n v="1"/>
    <n v="31582"/>
    <n v="2164030"/>
    <n v="33496863"/>
    <n v="9438145"/>
    <n v="0"/>
    <s v="u=10%, k=2x10^9"/>
    <x v="19"/>
    <n v="1.2834350832916668"/>
    <n v="66.756034674888895"/>
    <n v="2.1086721642013888"/>
    <n v="1.2899555750972223"/>
    <n v="0.60611350284722221"/>
    <n v="49.338756827583325"/>
  </r>
  <r>
    <s v="istree_exp6_rebuilding_time/step10002.txt"/>
    <s v="brown_ext_ist_lf_dis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8826450122099E+17"/>
    <n v="999996024"/>
    <n v="9.9998826450122099E+17"/>
    <n v="999996024"/>
    <s v="success"/>
    <n v="7"/>
    <n v="119238791"/>
    <n v="1150279412"/>
    <n v="1269518203"/>
    <n v="999996024"/>
    <n v="10.6469"/>
    <n v="0.86935099999999998"/>
    <n v="4.0729600000000001"/>
    <n v="27982598400"/>
    <s v="0 0 0 4873051 2892761"/>
    <s v="0 0 0 4873051 2892761"/>
    <m/>
    <n v="171320"/>
    <n v="2873128226058"/>
    <n v="5098242950"/>
    <m/>
    <n v="8991407022"/>
    <n v="8809492349"/>
    <n v="1687632600"/>
    <n v="1696878117"/>
    <n v="0"/>
    <n v="188524779"/>
    <n v="1696878117"/>
    <n v="1885402896"/>
    <n v="28281301"/>
    <n v="0"/>
    <n v="3142079"/>
    <n v="28281301"/>
    <n v="31423381"/>
    <n v="23.132000000000001"/>
    <n v="13.696"/>
    <n v="4250.1899999999996"/>
    <n v="3539.56"/>
    <n v="63651"/>
    <n v="12483"/>
    <n v="59.856838042875005"/>
    <n v="0.51222447752083333"/>
    <n v="0"/>
    <n v="0"/>
    <n v="0"/>
    <n v="4873051"/>
    <n v="2892761"/>
    <n v="0"/>
    <s v="u=10%, k=2x10^9"/>
    <x v="19"/>
    <n v="0.10621339479166668"/>
    <n v="0"/>
    <n v="0.18732097962500002"/>
    <n v="0.18353109060416664"/>
    <n v="3.5159012499999996E-2"/>
    <n v="59.344613565354173"/>
  </r>
  <r>
    <s v="istree_exp6_rebuilding_time/step10003.txt"/>
    <s v="brown_ext_ist_lf_dis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9675806496499E+17"/>
    <n v="999995726"/>
    <n v="9.9999675806496499E+17"/>
    <n v="999995726"/>
    <s v="success"/>
    <n v="7"/>
    <n v="84465066"/>
    <n v="1078800309"/>
    <n v="1163265375"/>
    <n v="999995726"/>
    <n v="13.7721"/>
    <n v="0.926952"/>
    <n v="4"/>
    <n v="24018010208"/>
    <s v="6 31580 2163722 33493607 9441534"/>
    <s v="1 31579 2163701 33493577 9441532"/>
    <m/>
    <n v="12774"/>
    <n v="12778820967492"/>
    <n v="172999181986"/>
    <n v="10115151638418"/>
    <n v="219717617279"/>
    <n v="144513777135"/>
    <n v="78368836877"/>
    <n v="749900233"/>
    <n v="0"/>
    <n v="499968865"/>
    <n v="749900233"/>
    <n v="1249869098"/>
    <n v="12498337"/>
    <n v="0"/>
    <n v="8332814"/>
    <n v="12498337"/>
    <n v="20831151"/>
    <n v="32.458199999999998"/>
    <n v="20.543800000000001"/>
    <n v="28417.4"/>
    <n v="4529.22"/>
    <n v="121331"/>
    <n v="9384"/>
    <n v="88.741812274249995"/>
    <n v="74.519104525659728"/>
    <n v="1"/>
    <n v="31579"/>
    <n v="2163701"/>
    <n v="33493577"/>
    <n v="9441532"/>
    <n v="0"/>
    <s v="u=40%, k=2x10^9"/>
    <x v="23"/>
    <n v="1.2013832082361111"/>
    <n v="70.244108600125003"/>
    <n v="1.5258167866597221"/>
    <n v="1.0035678967708332"/>
    <n v="0.54422803386805563"/>
    <n v="14.222707748590281"/>
  </r>
  <r>
    <s v="istree_exp6_rebuilding_time/step10004.txt"/>
    <s v="brown_ext_ist_lf_disabled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9.9998927161171098E+17"/>
    <n v="999985963"/>
    <n v="9.9998927161171098E+17"/>
    <n v="999985963"/>
    <s v="success"/>
    <n v="7"/>
    <n v="84465043"/>
    <n v="1078790498"/>
    <n v="1163255541"/>
    <n v="999985963"/>
    <n v="13.772"/>
    <n v="0.92695099999999997"/>
    <n v="4"/>
    <n v="24017851392"/>
    <s v="1 26186 2535083 34440488 9607147"/>
    <s v="1 26175 2535075 34440478 9607146"/>
    <m/>
    <n v="114182"/>
    <n v="6683647804199"/>
    <n v="176017090987"/>
    <n v="3938164607703"/>
    <n v="222550381448"/>
    <n v="97842371524"/>
    <n v="84338221045"/>
    <n v="749971847"/>
    <n v="0"/>
    <n v="499996190"/>
    <n v="749971847"/>
    <n v="1249968037"/>
    <n v="12499530"/>
    <n v="0"/>
    <n v="8333269"/>
    <n v="12499530"/>
    <n v="20832800"/>
    <n v="31.726299999999998"/>
    <n v="19.112500000000001"/>
    <n v="14804.1"/>
    <n v="4829.0200000000004"/>
    <n v="85493"/>
    <n v="12408"/>
    <n v="139.24266258747917"/>
    <n v="94.144014014729166"/>
    <n v="1"/>
    <n v="26175"/>
    <n v="2535075"/>
    <n v="34440478"/>
    <n v="9607146"/>
    <n v="0"/>
    <s v="u=40%, k=2x10^9"/>
    <x v="23"/>
    <n v="3.6670227288958333"/>
    <n v="82.045095993812495"/>
    <n v="4.6364662801666663"/>
    <n v="2.0383827400833332"/>
    <n v="1.7570462717708333"/>
    <n v="45.098648572750008"/>
  </r>
  <r>
    <s v="istree_exp6_rebuilding_time/step10005.txt"/>
    <s v="brown_ext_ist_lf_disabled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7070215381197E+17"/>
    <n v="999990049"/>
    <n v="9.9997070215381197E+17"/>
    <n v="999990049"/>
    <s v="success"/>
    <n v="7"/>
    <n v="84465067"/>
    <n v="1078794629"/>
    <n v="1163259696"/>
    <n v="999990049"/>
    <n v="13.7721"/>
    <n v="0.92695099999999997"/>
    <n v="4"/>
    <n v="24017919408"/>
    <s v="2 31570 2163190 33492461 9434760"/>
    <s v="1 31570 2163183 33492450 9434759"/>
    <m/>
    <n v="47748"/>
    <n v="17678958782119"/>
    <n v="184882825777"/>
    <n v="9803536747830"/>
    <n v="316786391659"/>
    <n v="177130797952"/>
    <n v="87428895970"/>
    <n v="4499853575"/>
    <n v="0"/>
    <n v="500006880"/>
    <n v="4499853575"/>
    <n v="4999860455"/>
    <n v="74997559"/>
    <n v="0"/>
    <n v="8333448"/>
    <n v="74997559"/>
    <n v="83331007"/>
    <n v="25.1235"/>
    <n v="15.878299999999999"/>
    <n v="9775.92"/>
    <n v="3441.94"/>
    <n v="103763"/>
    <n v="9199"/>
    <n v="122.77054709804861"/>
    <n v="73.401150411027785"/>
    <n v="1"/>
    <n v="31570"/>
    <n v="2163183"/>
    <n v="33492450"/>
    <n v="9434759"/>
    <n v="0"/>
    <s v="u=10%, k=2x10^9"/>
    <x v="19"/>
    <n v="1.2839085123402778"/>
    <n v="68.080116304374997"/>
    <n v="2.1999054976319443"/>
    <n v="1.2300749857777777"/>
    <n v="0.60714511090277778"/>
    <n v="49.369396687020838"/>
  </r>
  <r>
    <s v="istree_exp6_rebuilding_time/step10006.txt"/>
    <s v="brown_ext_ist_lf_dis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0656541803E+18"/>
    <n v="1000001313"/>
    <n v="1.00000656541803E+18"/>
    <n v="1000001313"/>
    <s v="success"/>
    <n v="7"/>
    <n v="119305303"/>
    <n v="1150496234"/>
    <n v="1269801537"/>
    <n v="1000001313"/>
    <n v="10.6433"/>
    <n v="0.86919100000000005"/>
    <n v="4.07301"/>
    <n v="27989078192"/>
    <s v="0 0 0 4867053 2890606"/>
    <s v="0 0 0 4867053 2890606"/>
    <m/>
    <n v="171208"/>
    <n v="2873126552409"/>
    <n v="5126976823"/>
    <m/>
    <n v="9041406464"/>
    <n v="9074075704"/>
    <n v="1727480790"/>
    <n v="1695733629"/>
    <n v="0"/>
    <n v="188438044"/>
    <n v="1695733629"/>
    <n v="1884171673"/>
    <n v="28262227"/>
    <n v="0"/>
    <n v="3140634"/>
    <n v="28262227"/>
    <n v="31402861"/>
    <n v="23.093399999999999"/>
    <n v="13.6831"/>
    <n v="4253.24"/>
    <n v="3541.56"/>
    <n v="63660"/>
    <n v="11665"/>
    <n v="59.856803175187501"/>
    <n v="0.52020707877083339"/>
    <n v="0"/>
    <n v="0"/>
    <n v="0"/>
    <n v="4867053"/>
    <n v="2890606"/>
    <n v="0"/>
    <s v="u=10%, k=2x10^9"/>
    <x v="19"/>
    <n v="0.10681201714583333"/>
    <n v="0"/>
    <n v="0.18836263466666667"/>
    <n v="0.18904324383333335"/>
    <n v="3.5989183124999997E-2"/>
    <n v="59.33659609641667"/>
  </r>
  <r>
    <s v="istree_exp6_rebuilding_time/step10007.txt"/>
    <s v="brown_ext_ist_lf_dis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1577806106E+18"/>
    <n v="1000013448"/>
    <n v="1.00001577806106E+18"/>
    <n v="1000013448"/>
    <s v="success"/>
    <n v="7"/>
    <n v="84465072"/>
    <n v="1078818038"/>
    <n v="1163283110"/>
    <n v="1000013448"/>
    <n v="13.772399999999999"/>
    <n v="0.92695300000000003"/>
    <n v="4"/>
    <n v="24018294352"/>
    <s v="5 31579 2165216 33494665 9439224"/>
    <s v="1 31579 2165191 33494654 9439223"/>
    <m/>
    <n v="12760"/>
    <n v="12711607630155"/>
    <n v="173522758539"/>
    <n v="10050308204532"/>
    <n v="220350214950"/>
    <n v="141290368245"/>
    <n v="78741284038"/>
    <n v="749952266"/>
    <n v="0"/>
    <n v="499986135"/>
    <n v="749952266"/>
    <n v="1249938401"/>
    <n v="12499204"/>
    <n v="0"/>
    <n v="8333102"/>
    <n v="12499204"/>
    <n v="20832306"/>
    <n v="32.4876"/>
    <n v="20.5336"/>
    <n v="28259.3"/>
    <n v="4526.45"/>
    <n v="121330"/>
    <n v="9087"/>
    <n v="88.275052987187507"/>
    <n v="74.057033543777777"/>
    <n v="1"/>
    <n v="31579"/>
    <n v="2165191"/>
    <n v="33494654"/>
    <n v="9439223"/>
    <n v="0"/>
    <s v="u=40%, k=2x10^9"/>
    <x v="23"/>
    <n v="1.2050191565208332"/>
    <n v="69.793806975916667"/>
    <n v="1.5302098260416668"/>
    <n v="0.98118311281249992"/>
    <n v="0.54681447248611115"/>
    <n v="14.21801944340973"/>
  </r>
  <r>
    <s v="istree_exp6_rebuilding_time/step10008.txt"/>
    <s v="brown_ext_ist_lf_disabled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9.9997674250702298E+17"/>
    <n v="999987858"/>
    <n v="9.9997674250702298E+17"/>
    <n v="999987858"/>
    <s v="success"/>
    <n v="7"/>
    <n v="84465044"/>
    <n v="1078792395"/>
    <n v="1163257439"/>
    <n v="999987858"/>
    <n v="13.7721"/>
    <n v="0.92695099999999997"/>
    <n v="4"/>
    <n v="24017881824"/>
    <s v="1 26328 2535267 34443072 9601071"/>
    <s v="1 26317 2535260 34443058 9601071"/>
    <m/>
    <n v="114234"/>
    <n v="6680153868646"/>
    <n v="175678975983"/>
    <n v="3924525965819"/>
    <n v="229912459827"/>
    <n v="97831583630"/>
    <n v="83580206998"/>
    <n v="750040201"/>
    <n v="0"/>
    <n v="500006592"/>
    <n v="750040201"/>
    <n v="1250046793"/>
    <n v="12500670"/>
    <n v="0"/>
    <n v="8333443"/>
    <n v="12500670"/>
    <n v="20834113"/>
    <n v="31.721"/>
    <n v="19.098800000000001"/>
    <n v="14775.2"/>
    <n v="4825.93"/>
    <n v="85587"/>
    <n v="12675"/>
    <n v="139.16987226345833"/>
    <n v="93.990191505354176"/>
    <n v="1"/>
    <n v="26317"/>
    <n v="2535260"/>
    <n v="34443058"/>
    <n v="9601071"/>
    <n v="0"/>
    <s v="u=40%, k=2x10^9"/>
    <x v="23"/>
    <n v="3.6599786663124996"/>
    <n v="81.760957621229167"/>
    <n v="4.7898429130624995"/>
    <n v="2.0381579922916666"/>
    <n v="1.7412543124583333"/>
    <n v="45.179680758104155"/>
  </r>
  <r>
    <s v="istree_exp6_rebuilding_time/step10009.txt"/>
    <s v="brown_ext_ist_lf_disabled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8217108251802E+17"/>
    <n v="999976464"/>
    <n v="9.9998217108251802E+17"/>
    <n v="999976464"/>
    <s v="success"/>
    <n v="7"/>
    <n v="84465076"/>
    <n v="1078781059"/>
    <n v="1163246135"/>
    <n v="999976464"/>
    <n v="13.7719"/>
    <n v="0.92695000000000005"/>
    <n v="4"/>
    <n v="24017703008"/>
    <s v="1 31574 2162921 33497914 9435946"/>
    <s v="1 31571 2162912 33497910 9435946"/>
    <m/>
    <n v="47708"/>
    <n v="17758806676521"/>
    <n v="185020597308"/>
    <n v="9870585301352"/>
    <n v="334096955844"/>
    <n v="184295662851"/>
    <n v="87565433468"/>
    <n v="4500179176"/>
    <n v="0"/>
    <n v="500005772"/>
    <n v="4500179176"/>
    <n v="5000184948"/>
    <n v="75002986"/>
    <n v="0"/>
    <n v="8333429"/>
    <n v="75002986"/>
    <n v="83336415"/>
    <n v="25.066500000000001"/>
    <n v="15.845499999999999"/>
    <n v="9803.9500000000007"/>
    <n v="3448.82"/>
    <n v="102002"/>
    <n v="9367"/>
    <n v="123.32504636472916"/>
    <n v="74.038638547381936"/>
    <n v="1"/>
    <n v="31571"/>
    <n v="2162912"/>
    <n v="33497910"/>
    <n v="9435946"/>
    <n v="0"/>
    <s v="u=10%, k=2x10^9"/>
    <x v="19"/>
    <n v="1.2848652590833334"/>
    <n v="68.545731259388901"/>
    <n v="2.3201177489166667"/>
    <n v="1.2798309920208333"/>
    <n v="0.60809328797222217"/>
    <n v="49.286407817347197"/>
  </r>
  <r>
    <s v="istree_exp6_rebuilding_time/step10010.txt"/>
    <s v="brown_ext_ist_lf_dis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975236722E+18"/>
    <n v="1000004234"/>
    <n v="1.00001975236722E+18"/>
    <n v="1000004234"/>
    <s v="success"/>
    <n v="7"/>
    <n v="119344537"/>
    <n v="1150582007"/>
    <n v="1269926544"/>
    <n v="1000004234"/>
    <n v="10.6408"/>
    <n v="0.86912900000000004"/>
    <n v="4.0730899999999997"/>
    <n v="27993493440"/>
    <s v="0 0 0 4887609 2896598"/>
    <s v="0 0 0 4887609 2896598"/>
    <m/>
    <n v="171546"/>
    <n v="2873125869662"/>
    <n v="5136753599"/>
    <n v="1572"/>
    <n v="9134420625"/>
    <n v="9177637881"/>
    <n v="1727884447"/>
    <n v="1698433480"/>
    <n v="0"/>
    <n v="188725262"/>
    <n v="1698433480"/>
    <n v="1887158742"/>
    <n v="28307224"/>
    <n v="0"/>
    <n v="3145421"/>
    <n v="28307224"/>
    <n v="31452645"/>
    <n v="23.135100000000001"/>
    <n v="13.6944"/>
    <n v="4246.3900000000003"/>
    <n v="3533.38"/>
    <n v="63666"/>
    <n v="11591"/>
    <n v="59.856788951291662"/>
    <n v="0.52451454424999999"/>
    <n v="0"/>
    <n v="0"/>
    <n v="0"/>
    <n v="4887609"/>
    <n v="2896598"/>
    <n v="0"/>
    <s v="u=10%, k=2x10^9"/>
    <x v="19"/>
    <n v="0.10701569997916667"/>
    <n v="3.2749999999999999E-8"/>
    <n v="0.19030042968750002"/>
    <n v="0.19120078918750003"/>
    <n v="3.5997592645833333E-2"/>
    <n v="59.332274407041659"/>
  </r>
  <r>
    <s v="istree_exp6_rebuilding_time/step10011.txt"/>
    <s v="brown_ext_ist_lf_dis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1209605134E+18"/>
    <n v="1000016381"/>
    <n v="1.00001209605134E+18"/>
    <n v="1000016381"/>
    <s v="success"/>
    <n v="7"/>
    <n v="84467745"/>
    <n v="1078823464"/>
    <n v="1163291209"/>
    <n v="1000016381"/>
    <n v="13.772"/>
    <n v="0.92695099999999997"/>
    <n v="4"/>
    <n v="24018595008"/>
    <s v="2 31575 2162718 33494018 9435301"/>
    <s v="1 31571 2162699 33493998 9435301"/>
    <m/>
    <n v="12752"/>
    <n v="12728118988168"/>
    <n v="172938780304"/>
    <n v="10068293681472"/>
    <n v="219378888016"/>
    <n v="142456545464"/>
    <n v="78235536080"/>
    <n v="750029827"/>
    <n v="0"/>
    <n v="499998718"/>
    <n v="750029827"/>
    <n v="1250028545"/>
    <n v="12500497"/>
    <n v="0"/>
    <n v="8333311"/>
    <n v="12500497"/>
    <n v="20833809"/>
    <n v="32.510199999999998"/>
    <n v="20.534400000000002"/>
    <n v="28296.1"/>
    <n v="4526.41"/>
    <n v="121337"/>
    <n v="9305"/>
    <n v="88.389715195611117"/>
    <n v="74.175718273166666"/>
    <n v="1"/>
    <n v="31571"/>
    <n v="2162699"/>
    <n v="33493998"/>
    <n v="9435301"/>
    <n v="0"/>
    <s v="u=40%, k=2x10^9"/>
    <x v="23"/>
    <n v="1.2009637521111112"/>
    <n v="69.918706121333329"/>
    <n v="1.5234645001111111"/>
    <n v="0.98928156572222214"/>
    <n v="0.54330233388888893"/>
    <n v="14.213996922444451"/>
  </r>
  <r>
    <s v="istree_exp6_rebuilding_time/step10012.txt"/>
    <s v="brown_ext_ist_lf_disabled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017870041E+18"/>
    <n v="999997521"/>
    <n v="1.0000017870041E+18"/>
    <n v="999997521"/>
    <s v="success"/>
    <n v="7"/>
    <n v="84465045"/>
    <n v="1078802055"/>
    <n v="1163267100"/>
    <n v="999997521"/>
    <n v="13.7722"/>
    <n v="0.926952"/>
    <n v="4"/>
    <n v="24018036464"/>
    <s v="1 26243 2534845 34444125 9600935"/>
    <s v="1 26228 2534835 34444119 9600935"/>
    <m/>
    <n v="114212"/>
    <n v="6625723229742"/>
    <n v="175552472664"/>
    <n v="3881955512130"/>
    <n v="224777546943"/>
    <n v="97589799424"/>
    <n v="83530607240"/>
    <n v="749965325"/>
    <n v="0"/>
    <n v="500030520"/>
    <n v="749965325"/>
    <n v="1249995845"/>
    <n v="12499422"/>
    <n v="0"/>
    <n v="8333842"/>
    <n v="12499422"/>
    <n v="20833264"/>
    <n v="31.746500000000001"/>
    <n v="19.105"/>
    <n v="14664.5"/>
    <n v="4815.1099999999997"/>
    <n v="85531"/>
    <n v="12156"/>
    <n v="138.03590061962498"/>
    <n v="92.987623716687494"/>
    <n v="1"/>
    <n v="26228"/>
    <n v="2534835"/>
    <n v="34444119"/>
    <n v="9600935"/>
    <n v="0"/>
    <s v="u=40%, k=2x10^9"/>
    <x v="23"/>
    <n v="3.6573431804999998"/>
    <n v="80.874073169374995"/>
    <n v="4.6828655613125001"/>
    <n v="2.0331208213333336"/>
    <n v="1.7402209841666665"/>
    <n v="45.048276902937488"/>
  </r>
  <r>
    <m/>
    <m/>
    <m/>
    <m/>
    <m/>
    <m/>
    <m/>
    <m/>
    <m/>
    <m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4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6">
  <r>
    <s v="istree_exp6_rebuilding_time/step10001.txt"/>
    <x v="0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9767737871"/>
    <n v="999624"/>
    <n v="999767737871"/>
    <n v="999624"/>
    <s v="success"/>
    <n v="6"/>
    <n v="57844"/>
    <n v="1081915"/>
    <n v="1139759"/>
    <n v="999624"/>
    <n v="19.704000000000001"/>
    <n v="0.92393899999999995"/>
    <n v="3.0516700000000001"/>
    <n v="21959296"/>
    <s v="100 85433 1227517 1375527"/>
    <s v="95 85414 1227490 1375522"/>
    <n v="7872"/>
    <n v="1760552"/>
    <n v="1436561384021"/>
    <n v="4215594753"/>
    <n v="37460766"/>
    <n v="5653240648"/>
    <n v="6577784428"/>
    <n v="2129274238"/>
    <n v="4713448116"/>
    <n v="0"/>
    <n v="47610297"/>
    <n v="4713448116"/>
    <n v="4761058413"/>
    <n v="78557468"/>
    <n v="0"/>
    <n v="793504"/>
    <n v="78557468"/>
    <n v="79350973"/>
    <n v="8.5209399999999995"/>
    <n v="0.100567"/>
    <n v="843.07"/>
    <n v="283.58800000000002"/>
    <n v="1187"/>
    <n v="27"/>
    <n v="59.856724334208337"/>
    <n v="0.77555645137499996"/>
    <n v="95"/>
    <n v="85414"/>
    <n v="1227490"/>
    <n v="1375522"/>
    <n v="0"/>
    <n v="0"/>
    <x v="0"/>
    <x v="0"/>
  </r>
  <r>
    <s v="istree_exp6_rebuilding_time/step10002.txt"/>
    <x v="0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256813393"/>
    <n v="999772"/>
    <n v="999256813393"/>
    <n v="999772"/>
    <s v="success"/>
    <n v="7"/>
    <n v="73033"/>
    <n v="1113782"/>
    <n v="1186815"/>
    <n v="999772"/>
    <n v="16.250399999999999"/>
    <n v="0.89763700000000002"/>
    <n v="3.0852300000000001"/>
    <n v="23718592"/>
    <s v="155 144063 1367086 1988696"/>
    <s v="146 144035 1367016 1988691"/>
    <n v="33752"/>
    <n v="665160"/>
    <n v="2873122778953"/>
    <n v="10478631602"/>
    <n v="204893411"/>
    <n v="13816507606"/>
    <n v="12242345569"/>
    <n v="5234273636"/>
    <n v="7242997461"/>
    <n v="0"/>
    <n v="73161353"/>
    <n v="7242997461"/>
    <n v="7316158814"/>
    <n v="120716624"/>
    <n v="0"/>
    <n v="1219355"/>
    <n v="120716624"/>
    <n v="121935980"/>
    <n v="8.4561399999999995"/>
    <n v="0.10902199999999999"/>
    <n v="1089.44"/>
    <n v="396.50299999999999"/>
    <n v="1216"/>
    <n v="91"/>
    <n v="59.856724561520828"/>
    <n v="0.87451357966666665"/>
    <n v="146"/>
    <n v="144035"/>
    <n v="1367016"/>
    <n v="1988691"/>
    <n v="0"/>
    <n v="0"/>
    <x v="0"/>
    <x v="0"/>
  </r>
  <r>
    <s v="istree_exp6_rebuilding_time/step10003.txt"/>
    <x v="0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9476269541"/>
    <n v="999596"/>
    <n v="999476269541"/>
    <n v="999596"/>
    <s v="success"/>
    <n v="6"/>
    <n v="54161"/>
    <n v="1074797"/>
    <n v="1128958"/>
    <n v="999596"/>
    <n v="20.8445"/>
    <n v="0.93003199999999997"/>
    <n v="3.04419"/>
    <n v="21550272"/>
    <s v="296 425678 736456 3137880"/>
    <s v="271 425331 736273 3137853"/>
    <n v="176153"/>
    <n v="309440"/>
    <n v="5746245809049"/>
    <n v="35631688590"/>
    <n v="1221274124"/>
    <n v="46761434919"/>
    <n v="31250984284"/>
    <n v="41344728522"/>
    <n v="13437192118"/>
    <n v="0"/>
    <n v="135757064"/>
    <n v="13437192118"/>
    <n v="13572949182"/>
    <n v="223953201"/>
    <n v="0"/>
    <n v="2262617"/>
    <n v="223953201"/>
    <n v="226215819"/>
    <n v="8.5057200000000002"/>
    <n v="0.24852099999999999"/>
    <n v="1175.9000000000001"/>
    <n v="447.72399999999999"/>
    <n v="1281"/>
    <n v="246"/>
    <n v="59.856727177593747"/>
    <n v="1.62718865040625"/>
    <n v="271"/>
    <n v="425331"/>
    <n v="736273"/>
    <n v="3137853"/>
    <n v="0"/>
    <n v="0"/>
    <x v="0"/>
    <x v="0"/>
  </r>
  <r>
    <s v="istree_exp6_rebuilding_time/step10004.txt"/>
    <x v="0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1000435640267"/>
    <n v="999750"/>
    <n v="1000435640267"/>
    <n v="999750"/>
    <s v="success"/>
    <n v="6"/>
    <n v="51274"/>
    <n v="1068583"/>
    <n v="1119857"/>
    <n v="999750"/>
    <n v="21.840599999999998"/>
    <n v="0.935585"/>
    <n v="3.0380199999999999"/>
    <n v="21215376"/>
    <s v="417 1112739 199793 3100065"/>
    <s v="381 1111890 199674 3100025"/>
    <n v="418060"/>
    <n v="195386"/>
    <n v="8619369258598"/>
    <n v="68299718458"/>
    <n v="3338597458"/>
    <n v="100701505348"/>
    <n v="32082094676"/>
    <n v="119594275724"/>
    <n v="18890933241"/>
    <n v="0"/>
    <n v="190826462"/>
    <n v="18890933241"/>
    <n v="19081759703"/>
    <n v="314848887"/>
    <n v="0"/>
    <n v="3180441"/>
    <n v="314848887"/>
    <n v="318029328"/>
    <n v="8.6600699999999993"/>
    <n v="0.36076399999999997"/>
    <n v="1239.3599999999999"/>
    <n v="500.18900000000002"/>
    <n v="1370"/>
    <n v="158"/>
    <n v="59.856730962486118"/>
    <n v="2.2501124421111114"/>
    <n v="381"/>
    <n v="1111890"/>
    <n v="199674"/>
    <n v="3100025"/>
    <n v="0"/>
    <n v="0"/>
    <x v="0"/>
    <x v="0"/>
  </r>
  <r>
    <s v="istree_exp6_rebuilding_time/step10005.txt"/>
    <x v="0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9467661381"/>
    <n v="1000596"/>
    <n v="999467661381"/>
    <n v="1000596"/>
    <s v="success"/>
    <n v="6"/>
    <n v="44024"/>
    <n v="1054794"/>
    <n v="1098818"/>
    <n v="1000596"/>
    <n v="24.959499999999998"/>
    <n v="0.94861700000000004"/>
    <n v="3.0223300000000002"/>
    <n v="20402800"/>
    <s v="557 1154202 560416 4614639"/>
    <s v="492 1153037 560071 4614565"/>
    <n v="633836"/>
    <n v="167596"/>
    <n v="11372779184810"/>
    <n v="85724972854"/>
    <n v="6466460347"/>
    <n v="150360167991"/>
    <n v="43220324130"/>
    <n v="239021864307"/>
    <n v="24328694057"/>
    <n v="0"/>
    <n v="245737905"/>
    <n v="24328694057"/>
    <n v="24574431962"/>
    <n v="405478234"/>
    <n v="0"/>
    <n v="4095631"/>
    <n v="405478234"/>
    <n v="409573866"/>
    <n v="8.7025699999999997"/>
    <n v="0.41638199999999997"/>
    <n v="1271.8499999999999"/>
    <n v="530.52300000000002"/>
    <n v="1436"/>
    <n v="311"/>
    <n v="59.85673255163158"/>
    <n v="2.7620725769947367"/>
    <n v="492"/>
    <n v="1153037"/>
    <n v="560071"/>
    <n v="4614565"/>
    <n v="0"/>
    <n v="0"/>
    <x v="0"/>
    <x v="0"/>
  </r>
  <r>
    <s v="istree_exp6_rebuilding_time/step10006.txt"/>
    <x v="0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21442892853"/>
    <n v="10001585"/>
    <n v="100021442892853"/>
    <n v="10001585"/>
    <s v="success"/>
    <n v="7"/>
    <n v="1801662"/>
    <n v="11803924"/>
    <n v="13605586"/>
    <n v="10001585"/>
    <n v="7.5516899999999998"/>
    <n v="0.84731000000000001"/>
    <n v="4.0351900000000001"/>
    <n v="332998336"/>
    <s v="4 11181 320249 3001337 9840"/>
    <s v="4 11179 320249 3001337 9840"/>
    <n v="809"/>
    <n v="757214"/>
    <n v="1436561508352"/>
    <n v="5920880642"/>
    <n v="11710647"/>
    <n v="8335600525"/>
    <n v="6410744937"/>
    <n v="2649947472"/>
    <n v="2081538712"/>
    <n v="0"/>
    <n v="21022408"/>
    <n v="2081538712"/>
    <n v="2102561120"/>
    <n v="34692311"/>
    <n v="0"/>
    <n v="350373"/>
    <n v="34692311"/>
    <n v="35042685"/>
    <n v="16.129000000000001"/>
    <n v="5.9057000000000004"/>
    <n v="1906.58"/>
    <n v="1234.1099999999999"/>
    <n v="2434"/>
    <n v="155"/>
    <n v="59.856729514666661"/>
    <n v="0.97203684262500001"/>
    <n v="4"/>
    <n v="11179"/>
    <n v="320249"/>
    <n v="3001337"/>
    <n v="9840"/>
    <n v="0"/>
    <x v="1"/>
    <x v="1"/>
  </r>
  <r>
    <s v="istree_exp6_rebuilding_time/step10007.txt"/>
    <x v="0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5493803132"/>
    <n v="9999649"/>
    <n v="100005493803132"/>
    <n v="9999649"/>
    <s v="success"/>
    <n v="7"/>
    <n v="1833431"/>
    <n v="11868980"/>
    <n v="13702411"/>
    <n v="9999649"/>
    <n v="7.4736399999999996"/>
    <n v="0.842503"/>
    <n v="4.0415700000000001"/>
    <n v="336583840"/>
    <s v="8 21742 474767 5095083 15926"/>
    <s v="7 21740 474765 5095079 15926"/>
    <n v="3987"/>
    <n v="313832"/>
    <n v="2873122967727"/>
    <n v="13472478769"/>
    <n v="127693182"/>
    <n v="20946289590"/>
    <n v="16164862383"/>
    <n v="6414056433"/>
    <n v="3595995643"/>
    <n v="0"/>
    <n v="36325169"/>
    <n v="3595995643"/>
    <n v="3632320812"/>
    <n v="59933260"/>
    <n v="0"/>
    <n v="605419"/>
    <n v="59933260"/>
    <n v="60538680"/>
    <n v="16.1633"/>
    <n v="6.0043699999999998"/>
    <n v="2200.3000000000002"/>
    <n v="1510.52"/>
    <n v="2476"/>
    <n v="162"/>
    <n v="59.856728494312499"/>
    <n v="1.1901120907708334"/>
    <n v="7"/>
    <n v="21740"/>
    <n v="474765"/>
    <n v="5095079"/>
    <n v="15926"/>
    <n v="0"/>
    <x v="1"/>
    <x v="1"/>
  </r>
  <r>
    <s v="istree_exp6_rebuilding_time/step10008.txt"/>
    <x v="0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1376028109"/>
    <n v="9998832"/>
    <n v="99991376028109"/>
    <n v="9998832"/>
    <s v="success"/>
    <n v="7"/>
    <n v="1902738"/>
    <n v="12022979"/>
    <n v="13925717"/>
    <n v="9998832"/>
    <n v="7.3187800000000003"/>
    <n v="0.83164300000000002"/>
    <n v="4.0554399999999999"/>
    <n v="344616784"/>
    <s v="15 47423 695363 10622477 30717"/>
    <s v="15 47423 695334 10622457 30717"/>
    <n v="16703"/>
    <n v="165406"/>
    <n v="5746246132990"/>
    <n v="29612077925"/>
    <n v="1172863197"/>
    <n v="55131530675"/>
    <n v="54527328529"/>
    <n v="14344378704"/>
    <n v="7680200862"/>
    <n v="0"/>
    <n v="77576672"/>
    <n v="7680200862"/>
    <n v="7757777534"/>
    <n v="128003347"/>
    <n v="0"/>
    <n v="1292944"/>
    <n v="128003347"/>
    <n v="129296292"/>
    <n v="16.2807"/>
    <n v="6.4349400000000001"/>
    <n v="2041.98"/>
    <n v="1289.56"/>
    <n v="2548"/>
    <n v="338"/>
    <n v="59.856730551979162"/>
    <n v="1.6123768648958334"/>
    <n v="15"/>
    <n v="47423"/>
    <n v="695334"/>
    <n v="10622457"/>
    <n v="30717"/>
    <n v="0"/>
    <x v="1"/>
    <x v="1"/>
  </r>
  <r>
    <s v="istree_exp6_rebuilding_time/step10009.txt"/>
    <x v="0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83193821221"/>
    <n v="9998573"/>
    <n v="99983193821221"/>
    <n v="9998573"/>
    <s v="success"/>
    <n v="7"/>
    <n v="1736877"/>
    <n v="11672527"/>
    <n v="13409404"/>
    <n v="9998573"/>
    <n v="7.7204100000000002"/>
    <n v="0.85658999999999996"/>
    <n v="4.0230300000000003"/>
    <n v="325712528"/>
    <s v="23 72669 608400 15284327 38649"/>
    <s v="22 72668 608382 15284288 38649"/>
    <n v="40609"/>
    <n v="111296"/>
    <n v="8619370072929"/>
    <n v="44448230316"/>
    <n v="2662059463"/>
    <n v="80431967312"/>
    <n v="91081717939"/>
    <n v="21991218423"/>
    <n v="11300317172"/>
    <n v="0"/>
    <n v="114148936"/>
    <n v="11300317172"/>
    <n v="11414466108"/>
    <n v="188338619"/>
    <n v="0"/>
    <n v="1902482"/>
    <n v="188338619"/>
    <n v="190241101"/>
    <n v="16.3673"/>
    <n v="6.5792599999999997"/>
    <n v="2082.59"/>
    <n v="1315.38"/>
    <n v="2637"/>
    <n v="378"/>
    <n v="59.856736617562497"/>
    <n v="1.670938843423611"/>
    <n v="22"/>
    <n v="72668"/>
    <n v="608382"/>
    <n v="15284288"/>
    <n v="38649"/>
    <n v="0"/>
    <x v="1"/>
    <x v="1"/>
  </r>
  <r>
    <s v="istree_exp6_rebuilding_time/step10010.txt"/>
    <x v="0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2760551202"/>
    <n v="9997981"/>
    <n v="100002760551202"/>
    <n v="9997981"/>
    <s v="success"/>
    <n v="7"/>
    <n v="1735233"/>
    <n v="11669066"/>
    <n v="13404299"/>
    <n v="9997981"/>
    <n v="7.72478"/>
    <n v="0.85679400000000006"/>
    <n v="4.0225400000000002"/>
    <n v="325528096"/>
    <s v="31 94669 798965 19965257 50387"/>
    <s v="29 94667 798900 19965202 50387"/>
    <n v="74640"/>
    <n v="92606"/>
    <n v="11372839538790"/>
    <n v="60857651627"/>
    <n v="6918805327"/>
    <n v="118435097021"/>
    <n v="133665503740"/>
    <n v="47450443557"/>
    <n v="14756164719"/>
    <n v="0"/>
    <n v="149064214"/>
    <n v="14756164719"/>
    <n v="14905228933"/>
    <n v="245936078"/>
    <n v="0"/>
    <n v="2484403"/>
    <n v="245936078"/>
    <n v="248420482"/>
    <n v="16.366599999999998"/>
    <n v="6.6679300000000001"/>
    <n v="2100.83"/>
    <n v="1320.5"/>
    <n v="2732"/>
    <n v="402"/>
    <n v="59.857050204157893"/>
    <n v="1.9333026382736842"/>
    <n v="29"/>
    <n v="94667"/>
    <n v="798900"/>
    <n v="19965202"/>
    <n v="50387"/>
    <n v="0"/>
    <x v="1"/>
    <x v="1"/>
  </r>
  <r>
    <s v="istree_exp6_rebuilding_time/step10011.txt"/>
    <x v="0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9999586644699750"/>
    <n v="100002043"/>
    <n v="9999586644699750"/>
    <n v="100002043"/>
    <s v="success"/>
    <n v="7"/>
    <n v="14104014"/>
    <n v="116365131"/>
    <n v="130469145"/>
    <n v="100002043"/>
    <n v="9.2505000000000006"/>
    <n v="0.85938199999999998"/>
    <n v="4.0640599999999996"/>
    <n v="2992625344"/>
    <s v="0 0 7 590822 198305"/>
    <s v="0 0 7 590822 198305"/>
    <m/>
    <n v="626440"/>
    <n v="1436567642968"/>
    <n v="284882148"/>
    <m/>
    <n v="808842708"/>
    <n v="1521103785"/>
    <n v="113987808"/>
    <n v="1684747517"/>
    <n v="0"/>
    <n v="17011669"/>
    <n v="1684747517"/>
    <n v="1701759186"/>
    <n v="28079125"/>
    <n v="0"/>
    <n v="283527"/>
    <n v="28079125"/>
    <n v="28362653"/>
    <n v="18.9222"/>
    <n v="8.2740799999999997"/>
    <n v="2359.4299999999998"/>
    <n v="1762.48"/>
    <n v="7480"/>
    <n v="1553"/>
    <n v="59.856985123666668"/>
    <n v="0.113700685375"/>
    <n v="0"/>
    <n v="0"/>
    <n v="7"/>
    <n v="590822"/>
    <n v="198305"/>
    <n v="0"/>
    <x v="2"/>
    <x v="2"/>
  </r>
  <r>
    <s v="istree_exp6_rebuilding_time/step10012.txt"/>
    <x v="0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9999962050205940"/>
    <n v="100000357"/>
    <n v="9999962050205940"/>
    <n v="100000357"/>
    <s v="success"/>
    <n v="7"/>
    <n v="14924290"/>
    <n v="118205262"/>
    <n v="133129552"/>
    <n v="100000357"/>
    <n v="8.9203299999999999"/>
    <n v="0.84598899999999999"/>
    <n v="4.0817399999999999"/>
    <n v="3089408240"/>
    <s v="0 0 14590 2021013 419589"/>
    <s v="0 0 14590 2021013 419589"/>
    <m/>
    <n v="271384"/>
    <n v="2873134058240"/>
    <n v="1470633287"/>
    <m/>
    <n v="3563563483"/>
    <n v="5359262783"/>
    <n v="604367983"/>
    <n v="2976250853"/>
    <n v="0"/>
    <n v="30071327"/>
    <n v="2976250853"/>
    <n v="3006322180"/>
    <n v="49604180"/>
    <n v="0"/>
    <n v="501188"/>
    <n v="49604180"/>
    <n v="50105369"/>
    <n v="19.059000000000001"/>
    <n v="8.3845200000000002"/>
    <n v="2669.22"/>
    <n v="1988.85"/>
    <n v="7812"/>
    <n v="1283"/>
    <n v="59.856959546666666"/>
    <n v="0.22912140700000003"/>
    <n v="0"/>
    <n v="0"/>
    <n v="14590"/>
    <n v="2021013"/>
    <n v="419589"/>
    <n v="0"/>
    <x v="2"/>
    <x v="2"/>
  </r>
  <r>
    <s v="istree_exp6_rebuilding_time/step10013.txt"/>
    <x v="0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1.00006031922503E+16"/>
    <n v="100005387"/>
    <n v="1.00006031922503E+16"/>
    <n v="100005387"/>
    <s v="success"/>
    <n v="7"/>
    <n v="12961328"/>
    <n v="113961548"/>
    <n v="126922876"/>
    <n v="100005387"/>
    <n v="9.7924299999999995"/>
    <n v="0.87753599999999998"/>
    <n v="4.0399099999999999"/>
    <n v="2861286592"/>
    <s v="1 9911 394438 4116833 741999"/>
    <s v="1 9911 394437 4116833 741999"/>
    <n v="2583"/>
    <n v="121750"/>
    <n v="5746266247902"/>
    <n v="19369975016"/>
    <n v="61641844"/>
    <n v="52554410537"/>
    <n v="42358275418"/>
    <n v="8746736776"/>
    <n v="5831841247"/>
    <n v="0"/>
    <n v="58915551"/>
    <n v="5831841247"/>
    <n v="5890756798"/>
    <n v="97197354"/>
    <n v="0"/>
    <n v="981925"/>
    <n v="97197354"/>
    <n v="98179279"/>
    <n v="19.367699999999999"/>
    <n v="9.2972599999999996"/>
    <n v="2694.79"/>
    <n v="1952.91"/>
    <n v="11314"/>
    <n v="1088"/>
    <n v="59.856940082312498"/>
    <n v="1.2821983290729166"/>
    <n v="1"/>
    <n v="9911"/>
    <n v="394437"/>
    <n v="4116833"/>
    <n v="741999"/>
    <n v="0"/>
    <x v="2"/>
    <x v="2"/>
  </r>
  <r>
    <s v="istree_exp6_rebuilding_time/step10014.txt"/>
    <x v="0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8790244754940"/>
    <n v="99986814"/>
    <n v="9998790244754940"/>
    <n v="99986814"/>
    <s v="success"/>
    <n v="7"/>
    <n v="14855440"/>
    <n v="118073987"/>
    <n v="132929427"/>
    <n v="99986814"/>
    <n v="8.9481999999999999"/>
    <n v="0.84681499999999998"/>
    <n v="4.0795500000000002"/>
    <n v="3081980464"/>
    <s v="1 9996 450551 6857630 1197114"/>
    <s v="1 9996 450548 6857628 1197114"/>
    <n v="3845"/>
    <n v="81192"/>
    <n v="8619396723020"/>
    <n v="22620468273"/>
    <n v="225846275"/>
    <n v="79940161979"/>
    <n v="52642008162"/>
    <n v="11769195038"/>
    <n v="8639846139"/>
    <n v="0"/>
    <n v="87268346"/>
    <n v="8639846139"/>
    <n v="8727114485"/>
    <n v="143997435"/>
    <n v="0"/>
    <n v="1454472"/>
    <n v="143997435"/>
    <n v="145451908"/>
    <n v="19.343499999999999"/>
    <n v="9.5078899999999997"/>
    <n v="2724.35"/>
    <n v="1972.74"/>
    <n v="13342"/>
    <n v="1077"/>
    <n v="59.856921687638888"/>
    <n v="1.1610949981041667"/>
    <n v="1"/>
    <n v="9996"/>
    <n v="450548"/>
    <n v="6857628"/>
    <n v="1197114"/>
    <n v="0"/>
    <x v="2"/>
    <x v="2"/>
  </r>
  <r>
    <s v="istree_exp6_rebuilding_time/step10015.txt"/>
    <x v="0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9999782074954550"/>
    <n v="99984925"/>
    <n v="9999782074954550"/>
    <n v="99984925"/>
    <s v="success"/>
    <n v="7"/>
    <n v="13665135"/>
    <n v="115416642"/>
    <n v="129081777"/>
    <n v="99984925"/>
    <n v="9.4460700000000006"/>
    <n v="0.86629599999999995"/>
    <n v="4.0547500000000003"/>
    <n v="2941692464"/>
    <s v="2 19996 688670 8106154 1468089"/>
    <s v="2 19996 688664 8106150 1468089"/>
    <n v="9991"/>
    <n v="58490"/>
    <n v="11372891519757"/>
    <n v="41776089824"/>
    <n v="762286794"/>
    <n v="175434069956"/>
    <n v="86166833568"/>
    <n v="23718415509"/>
    <n v="11228086529"/>
    <n v="0"/>
    <n v="113400555"/>
    <n v="11228086529"/>
    <n v="11341487084"/>
    <n v="187134775"/>
    <n v="0"/>
    <n v="1890009"/>
    <n v="187134775"/>
    <n v="189024784"/>
    <n v="19.435099999999998"/>
    <n v="9.6237399999999997"/>
    <n v="2744.27"/>
    <n v="1994.65"/>
    <n v="13862"/>
    <n v="1092"/>
    <n v="59.857323788194741"/>
    <n v="1.7255668192157894"/>
    <n v="2"/>
    <n v="19996"/>
    <n v="688664"/>
    <n v="8106150"/>
    <n v="1468089"/>
    <n v="0"/>
    <x v="2"/>
    <x v="2"/>
  </r>
  <r>
    <s v="istree_exp6_rebuilding_time/step10016.txt"/>
    <x v="0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229425278E+18"/>
    <n v="999999989"/>
    <n v="1.00000229425278E+18"/>
    <n v="999999989"/>
    <s v="success"/>
    <n v="7"/>
    <n v="87193049"/>
    <n v="1084268213"/>
    <n v="1171461262"/>
    <n v="999999989"/>
    <n v="13.4353"/>
    <n v="0.92228100000000002"/>
    <n v="4.0054800000000004"/>
    <n v="24323971136"/>
    <s v="0 0 0 1355 14975"/>
    <s v="0 0 0 1355 14975"/>
    <m/>
    <n v="404582"/>
    <n v="1436565125197"/>
    <n v="5868727"/>
    <m/>
    <n v="27348453"/>
    <n v="650386322"/>
    <n v="1974670"/>
    <n v="1090723115"/>
    <n v="0"/>
    <n v="11013633"/>
    <n v="1090723115"/>
    <n v="1101736748"/>
    <n v="18178718"/>
    <n v="0"/>
    <n v="183560"/>
    <n v="18178718"/>
    <n v="18362279"/>
    <n v="22.0246"/>
    <n v="12.9031"/>
    <n v="3643.93"/>
    <n v="2908.96"/>
    <n v="59443"/>
    <n v="16313"/>
    <n v="59.856880216541668"/>
    <n v="2.8565757166666667E-2"/>
    <n v="0"/>
    <n v="0"/>
    <n v="0"/>
    <n v="1355"/>
    <n v="14975"/>
    <n v="0"/>
    <x v="3"/>
    <x v="3"/>
  </r>
  <r>
    <s v="istree_exp6_rebuilding_time/step10017.txt"/>
    <x v="0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1.00000817261609E+18"/>
    <n v="1000003122"/>
    <n v="1.00000817261609E+18"/>
    <n v="1000003122"/>
    <s v="success"/>
    <n v="7"/>
    <n v="89423917"/>
    <n v="1088748268"/>
    <n v="1178172185"/>
    <n v="1000003122"/>
    <n v="13.1751"/>
    <n v="0.918489"/>
    <n v="4.0099900000000002"/>
    <n v="24574661504"/>
    <s v="0 0 0 8114 49091"/>
    <s v="0 0 0 8114 49091"/>
    <m/>
    <n v="181308"/>
    <n v="2873129538432"/>
    <n v="28393349"/>
    <m/>
    <n v="115282802"/>
    <n v="3073306287"/>
    <n v="11328451"/>
    <n v="1997696160"/>
    <n v="0"/>
    <n v="20177127"/>
    <n v="1997696160"/>
    <n v="2017873287"/>
    <n v="33294936"/>
    <n v="0"/>
    <n v="336285"/>
    <n v="33294936"/>
    <n v="33631221"/>
    <n v="21.997399999999999"/>
    <n v="12.9316"/>
    <n v="3977.75"/>
    <n v="3324.77"/>
    <n v="59816"/>
    <n v="12544"/>
    <n v="59.856865384000002"/>
    <n v="6.7256476854166664E-2"/>
    <n v="0"/>
    <n v="0"/>
    <n v="0"/>
    <n v="8114"/>
    <n v="49091"/>
    <n v="0"/>
    <x v="3"/>
    <x v="3"/>
  </r>
  <r>
    <s v="istree_exp6_rebuilding_time/step10018.txt"/>
    <x v="0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9814681927104E+17"/>
    <n v="999993492"/>
    <n v="9.9999814681927104E+17"/>
    <n v="999993492"/>
    <s v="success"/>
    <n v="7"/>
    <n v="95119487"/>
    <n v="1100240354"/>
    <n v="1195359841"/>
    <n v="999993492"/>
    <n v="12.5669"/>
    <n v="0.90888599999999997"/>
    <n v="4.0216399999999997"/>
    <n v="25216925200"/>
    <s v="0 0 0 85092 227572"/>
    <s v="0 0 0 85092 227572"/>
    <m/>
    <n v="98810"/>
    <n v="5746257943684"/>
    <n v="185398963"/>
    <m/>
    <n v="642239209"/>
    <n v="9925000599"/>
    <n v="103632795"/>
    <n v="4408401305"/>
    <n v="0"/>
    <n v="44534045"/>
    <n v="4408401305"/>
    <n v="4452935350"/>
    <n v="73473355"/>
    <n v="0"/>
    <n v="742234"/>
    <n v="73473355"/>
    <n v="74215589"/>
    <n v="22.058499999999999"/>
    <n v="13.772500000000001"/>
    <n v="3601.64"/>
    <n v="2880.32"/>
    <n v="60705"/>
    <n v="9964"/>
    <n v="59.856853580041665"/>
    <n v="0.11308616214583334"/>
    <n v="0"/>
    <n v="0"/>
    <n v="0"/>
    <n v="85092"/>
    <n v="227572"/>
    <n v="0"/>
    <x v="3"/>
    <x v="3"/>
  </r>
  <r>
    <s v="istree_exp6_rebuilding_time/step10019.txt"/>
    <x v="0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725720081E+18"/>
    <n v="1000001230"/>
    <n v="1.00000725720081E+18"/>
    <n v="1000001230"/>
    <s v="success"/>
    <n v="7"/>
    <n v="99977636"/>
    <n v="1110116360"/>
    <n v="1210093996"/>
    <n v="1000001230"/>
    <n v="12.1036"/>
    <n v="0.90080800000000005"/>
    <n v="4.0316999999999998"/>
    <n v="25767370208"/>
    <s v="0 0 0 279877 487003"/>
    <s v="0 0 0 279877 487003"/>
    <m/>
    <n v="65506"/>
    <n v="8619385469982"/>
    <n v="501411549"/>
    <m/>
    <n v="1668827166"/>
    <n v="12477799067"/>
    <n v="302894226"/>
    <n v="6606156403"/>
    <n v="0"/>
    <n v="66726322"/>
    <n v="6606156403"/>
    <n v="6672882725"/>
    <n v="110102606"/>
    <n v="0"/>
    <n v="1112105"/>
    <n v="110102606"/>
    <n v="111214712"/>
    <n v="22.099699999999999"/>
    <n v="14.0045"/>
    <n v="3604.38"/>
    <n v="2871.05"/>
    <n v="61554"/>
    <n v="9285"/>
    <n v="59.856843541541672"/>
    <n v="0.10382591672222223"/>
    <n v="0"/>
    <n v="0"/>
    <n v="0"/>
    <n v="279877"/>
    <n v="487003"/>
    <n v="0"/>
    <x v="3"/>
    <x v="3"/>
  </r>
  <r>
    <s v="istree_exp6_rebuilding_time/step10020.txt"/>
    <x v="0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1183264744E+18"/>
    <n v="1000010816"/>
    <n v="1.00001183264744E+18"/>
    <n v="1000010816"/>
    <s v="success"/>
    <n v="7"/>
    <n v="104054421"/>
    <n v="1118468702"/>
    <n v="1222523123"/>
    <n v="1000010816"/>
    <n v="11.748900000000001"/>
    <n v="0.89408900000000002"/>
    <n v="4.0402500000000003"/>
    <n v="26231402944"/>
    <s v="0 0 0 596369 787903"/>
    <s v="0 0 0 596369 787903"/>
    <m/>
    <n v="51038"/>
    <n v="11372798203740"/>
    <n v="973714200"/>
    <m/>
    <n v="3060296549"/>
    <n v="14820154110"/>
    <n v="588728707"/>
    <n v="8599094151"/>
    <n v="0"/>
    <n v="86868166"/>
    <n v="8599094151"/>
    <n v="8685962317"/>
    <n v="143318235"/>
    <n v="0"/>
    <n v="1447802"/>
    <n v="143318235"/>
    <n v="144766038"/>
    <n v="22.183900000000001"/>
    <n v="14.129799999999999"/>
    <n v="3652.43"/>
    <n v="2909.46"/>
    <n v="62224"/>
    <n v="9059"/>
    <n v="59.856832651263154"/>
    <n v="0.10233101876842104"/>
    <n v="0"/>
    <n v="0"/>
    <n v="0"/>
    <n v="596369"/>
    <n v="787903"/>
    <n v="0"/>
    <x v="3"/>
    <x v="3"/>
  </r>
  <r>
    <s v="istree_exp6_rebuilding_time/step10021.txt"/>
    <x v="0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939634502"/>
    <n v="998991"/>
    <n v="998939634502"/>
    <n v="998991"/>
    <s v="success"/>
    <n v="6"/>
    <n v="83245"/>
    <n v="1135285"/>
    <n v="1218530"/>
    <n v="998991"/>
    <n v="14.6379"/>
    <n v="0.87994700000000003"/>
    <n v="3.10968"/>
    <n v="24927584"/>
    <s v="1021 691839 9953033 11114411"/>
    <s v="770 690777 9951977 11114324"/>
    <n v="178017"/>
    <n v="1464898"/>
    <n v="1436563743951"/>
    <n v="34861974932"/>
    <n v="317253932"/>
    <n v="41054143376"/>
    <n v="32642456170"/>
    <n v="16582470619"/>
    <n v="3467354405"/>
    <n v="0"/>
    <n v="385247497"/>
    <n v="3467354405"/>
    <n v="3852601902"/>
    <n v="57789240"/>
    <n v="0"/>
    <n v="6420791"/>
    <n v="57789240"/>
    <n v="64210031"/>
    <n v="10.234"/>
    <n v="0.36396699999999998"/>
    <n v="1041.43"/>
    <n v="375.48700000000002"/>
    <n v="1206"/>
    <n v="28"/>
    <n v="59.856822664625007"/>
    <n v="5.2274291262083334"/>
    <n v="770"/>
    <n v="690777"/>
    <n v="9951977"/>
    <n v="11114324"/>
    <n v="0"/>
    <n v="0"/>
    <x v="4"/>
    <x v="4"/>
  </r>
  <r>
    <s v="istree_exp6_rebuilding_time/step10022.txt"/>
    <x v="0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102750410"/>
    <n v="1000652"/>
    <n v="1000102750410"/>
    <n v="1000652"/>
    <s v="success"/>
    <n v="6"/>
    <n v="61568"/>
    <n v="1090389"/>
    <n v="1151957"/>
    <n v="1000652"/>
    <n v="18.7103"/>
    <n v="0.91770200000000002"/>
    <n v="3.0597699999999999"/>
    <n v="22401456"/>
    <s v="1750 1130426 10728619 15570000"/>
    <s v="1145 1129376 10724883 15569739"/>
    <n v="748112"/>
    <n v="541962"/>
    <n v="2873127090926"/>
    <n v="87538425200"/>
    <n v="1553081838"/>
    <n v="104268608207"/>
    <n v="56850310038"/>
    <n v="40409830758"/>
    <n v="5153188403"/>
    <n v="0"/>
    <n v="572511015"/>
    <n v="5153188403"/>
    <n v="5725699418"/>
    <n v="85886473"/>
    <n v="0"/>
    <n v="9541850"/>
    <n v="85886473"/>
    <n v="95428323"/>
    <n v="10.3573"/>
    <n v="0.47197"/>
    <n v="1390.73"/>
    <n v="596.64700000000005"/>
    <n v="1251"/>
    <n v="32"/>
    <n v="59.856814394291668"/>
    <n v="6.0545886675208331"/>
    <n v="1145"/>
    <n v="1129376"/>
    <n v="10724883"/>
    <n v="15569739"/>
    <n v="0"/>
    <n v="0"/>
    <x v="4"/>
    <x v="4"/>
  </r>
  <r>
    <s v="istree_exp6_rebuilding_time/step10023.txt"/>
    <x v="0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008598282"/>
    <n v="999319"/>
    <n v="999008598282"/>
    <n v="999319"/>
    <s v="success"/>
    <n v="6"/>
    <n v="63460"/>
    <n v="1093735"/>
    <n v="1157195"/>
    <n v="999319"/>
    <n v="18.234999999999999"/>
    <n v="0.91367600000000004"/>
    <n v="3.0644999999999998"/>
    <n v="22615264"/>
    <s v="2981 2821439 4888723 20761882"/>
    <s v="1797 2806914 4880901 20760937"/>
    <n v="3840059"/>
    <n v="222878"/>
    <n v="5746253928010"/>
    <n v="275649778292"/>
    <n v="9206961904"/>
    <n v="339844126078"/>
    <n v="150881553686"/>
    <n v="265638289542"/>
    <n v="8085701923"/>
    <n v="0"/>
    <n v="898455266"/>
    <n v="8085701923"/>
    <n v="8984157189"/>
    <n v="134761698"/>
    <n v="0"/>
    <n v="14974254"/>
    <n v="134761698"/>
    <n v="149735953"/>
    <n v="11.113"/>
    <n v="1.6114299999999999"/>
    <n v="1784.5"/>
    <n v="972.34100000000001"/>
    <n v="1364"/>
    <n v="165"/>
    <n v="59.856811750104164"/>
    <n v="10.8460490573125"/>
    <n v="1797"/>
    <n v="2806914"/>
    <n v="4880901"/>
    <n v="20760937"/>
    <n v="0"/>
    <n v="0"/>
    <x v="4"/>
    <x v="4"/>
  </r>
  <r>
    <s v="istree_exp6_rebuilding_time/step10024.txt"/>
    <x v="0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1127618429"/>
    <n v="1000690"/>
    <n v="1001127618429"/>
    <n v="1000690"/>
    <s v="success"/>
    <n v="6"/>
    <n v="52656"/>
    <n v="1072109"/>
    <n v="1124765"/>
    <n v="1000690"/>
    <n v="21.360600000000002"/>
    <n v="0.93338500000000002"/>
    <n v="3.0405500000000001"/>
    <n v="21380928"/>
    <s v="3761 6321013 1137516 17597424"/>
    <s v="2168 6291312 1133190 17596193"/>
    <n v="10083350"/>
    <n v="124332"/>
    <n v="8619381392491"/>
    <n v="530851100155"/>
    <n v="23965110542"/>
    <n v="703405809542"/>
    <n v="180713763622"/>
    <n v="641158224207"/>
    <n v="9748407285"/>
    <n v="0"/>
    <n v="1083158744"/>
    <n v="9748407285"/>
    <n v="10831566029"/>
    <n v="162473454"/>
    <n v="0"/>
    <n v="18052645"/>
    <n v="162473454"/>
    <n v="180526100"/>
    <n v="12.323700000000001"/>
    <n v="2.7082299999999999"/>
    <n v="2217.56"/>
    <n v="1351.21"/>
    <n v="1518"/>
    <n v="281"/>
    <n v="59.856815225631941"/>
    <n v="14.445097278250001"/>
    <n v="2168"/>
    <n v="6291312"/>
    <n v="1133190"/>
    <n v="17596193"/>
    <n v="0"/>
    <n v="0"/>
    <x v="4"/>
    <x v="4"/>
  </r>
  <r>
    <s v="istree_exp6_rebuilding_time/step10025.txt"/>
    <x v="0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496387764"/>
    <n v="999145"/>
    <n v="999496387764"/>
    <n v="999145"/>
    <s v="success"/>
    <n v="6"/>
    <n v="33049"/>
    <n v="1031245"/>
    <n v="1064294"/>
    <n v="999145"/>
    <n v="32.203499999999998"/>
    <n v="0.96887299999999998"/>
    <n v="3.0000900000000001"/>
    <n v="19143824"/>
    <s v="4568 5982652 2907575 23891273"/>
    <s v="2548 5947743 2896682 23889382"/>
    <n v="13272124"/>
    <n v="85304"/>
    <n v="11373337283844"/>
    <n v="652879471673"/>
    <n v="38469600347"/>
    <n v="962140833561"/>
    <n v="238362581659"/>
    <n v="1138903911582"/>
    <n v="11451879992"/>
    <n v="0"/>
    <n v="1272467404"/>
    <n v="11451879992"/>
    <n v="12724347396"/>
    <n v="190864666"/>
    <n v="0"/>
    <n v="21207790"/>
    <n v="190864666"/>
    <n v="212072456"/>
    <n v="12.635400000000001"/>
    <n v="3.1222300000000001"/>
    <n v="2492.2600000000002"/>
    <n v="1625.07"/>
    <n v="1649"/>
    <n v="247"/>
    <n v="59.859669914968414"/>
    <n v="15.95134946748421"/>
    <n v="2548"/>
    <n v="5947743"/>
    <n v="2896682"/>
    <n v="23889382"/>
    <n v="0"/>
    <n v="0"/>
    <x v="4"/>
    <x v="4"/>
  </r>
  <r>
    <s v="istree_exp6_rebuilding_time/step10026.txt"/>
    <x v="0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04274610576"/>
    <n v="9999706"/>
    <n v="100004274610576"/>
    <n v="9999706"/>
    <s v="success"/>
    <n v="7"/>
    <n v="1907743"/>
    <n v="12036494"/>
    <n v="13944237"/>
    <n v="9999706"/>
    <n v="7.3092800000000002"/>
    <n v="0.83078200000000002"/>
    <n v="4.05633"/>
    <n v="345240192"/>
    <s v="43 95152 2733610 25286976 84782"/>
    <s v="34 95064 2733560 25286914 84782"/>
    <n v="25745"/>
    <n v="615148"/>
    <n v="1436563140448"/>
    <n v="50984918760"/>
    <n v="209879917"/>
    <n v="59031331121"/>
    <n v="38846140663"/>
    <n v="23090000858"/>
    <n v="1556561241"/>
    <n v="0"/>
    <n v="172950014"/>
    <n v="1556561241"/>
    <n v="1729511255"/>
    <n v="25942687"/>
    <n v="0"/>
    <n v="2882500"/>
    <n v="25942687"/>
    <n v="28825187"/>
    <n v="18.492699999999999"/>
    <n v="7.3153800000000002"/>
    <n v="2298.8200000000002"/>
    <n v="1490.3"/>
    <n v="2438"/>
    <n v="154"/>
    <n v="59.856797518666667"/>
    <n v="7.1734279716250002"/>
    <n v="34"/>
    <n v="95064"/>
    <n v="2733560"/>
    <n v="25286914"/>
    <n v="84782"/>
    <n v="0"/>
    <x v="5"/>
    <x v="5"/>
  </r>
  <r>
    <s v="istree_exp6_rebuilding_time/step10027.txt"/>
    <x v="0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85108387951"/>
    <n v="10000470"/>
    <n v="99985108387951"/>
    <n v="10000470"/>
    <s v="success"/>
    <n v="7"/>
    <n v="1848368"/>
    <n v="11926487"/>
    <n v="13774855"/>
    <n v="10000470"/>
    <n v="7.4524400000000002"/>
    <n v="0.83850899999999995"/>
    <n v="4.0424800000000003"/>
    <n v="338738048"/>
    <s v="79 180609 3993543 41879076 136746"/>
    <s v="58 180518 3993328 41878872 136746"/>
    <n v="114669"/>
    <n v="257304"/>
    <n v="2873129998467"/>
    <n v="111689862241"/>
    <n v="1040406584"/>
    <n v="144634078448"/>
    <n v="86479382815"/>
    <n v="52744800405"/>
    <n v="2648300402"/>
    <n v="0"/>
    <n v="294259313"/>
    <n v="2648300402"/>
    <n v="2942559715"/>
    <n v="44138340"/>
    <n v="0"/>
    <n v="4904321"/>
    <n v="44138340"/>
    <n v="49042661"/>
    <n v="18.760200000000001"/>
    <n v="7.5037399999999996"/>
    <n v="2698.02"/>
    <n v="1850.33"/>
    <n v="2488"/>
    <n v="183"/>
    <n v="59.856874968062499"/>
    <n v="8.2622610519375002"/>
    <n v="58"/>
    <n v="180518"/>
    <n v="3993328"/>
    <n v="41878872"/>
    <n v="136746"/>
    <n v="0"/>
    <x v="5"/>
    <x v="5"/>
  </r>
  <r>
    <s v="istree_exp6_rebuilding_time/step10028.txt"/>
    <x v="0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99985000188821"/>
    <n v="9998011"/>
    <n v="99985000188821"/>
    <n v="9998011"/>
    <s v="success"/>
    <n v="7"/>
    <n v="1870195"/>
    <n v="11963909"/>
    <n v="13834104"/>
    <n v="9998011"/>
    <n v="7.3971499999999999"/>
    <n v="0.83568100000000001"/>
    <n v="4.0480499999999999"/>
    <n v="341079072"/>
    <s v="171 367094 5375495 80033338 235313"/>
    <s v="116 367045 5374576 80032632 235313"/>
    <n v="469835"/>
    <n v="133126"/>
    <n v="5746272578834"/>
    <n v="221658470654"/>
    <n v="4878321331"/>
    <n v="325875781887"/>
    <n v="278986172485"/>
    <n v="110147970643"/>
    <n v="5253291590"/>
    <n v="0"/>
    <n v="583655048"/>
    <n v="5253291590"/>
    <n v="5836946638"/>
    <n v="87554859"/>
    <n v="0"/>
    <n v="9727584"/>
    <n v="87554859"/>
    <n v="97282443"/>
    <n v="18.988"/>
    <n v="7.95052"/>
    <n v="2713.63"/>
    <n v="1823.06"/>
    <n v="2611"/>
    <n v="260"/>
    <n v="59.857006029520839"/>
    <n v="9.8077783020833333"/>
    <n v="116"/>
    <n v="367045"/>
    <n v="5374576"/>
    <n v="80032632"/>
    <n v="235313"/>
    <n v="0"/>
    <x v="5"/>
    <x v="5"/>
  </r>
  <r>
    <s v="istree_exp6_rebuilding_time/step10029.txt"/>
    <x v="0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08055042154"/>
    <n v="10001527"/>
    <n v="100008055042154"/>
    <n v="10001527"/>
    <s v="success"/>
    <n v="7"/>
    <n v="1902178"/>
    <n v="12023851"/>
    <n v="13926029"/>
    <n v="10001527"/>
    <n v="7.3211000000000004"/>
    <n v="0.83180699999999996"/>
    <n v="4.05532"/>
    <n v="344585056"/>
    <s v="263 531426 4451752 112721025 282828"/>
    <s v="168 531346 4450296 112719511 282828"/>
    <n v="1000119"/>
    <n v="88626"/>
    <n v="8619378033001"/>
    <n v="321502533393"/>
    <n v="8898035569"/>
    <n v="485454060031"/>
    <n v="520141322000"/>
    <n v="170049091824"/>
    <n v="7583000776"/>
    <n v="0"/>
    <n v="842534952"/>
    <n v="7583000776"/>
    <n v="8425535728"/>
    <n v="126383346"/>
    <n v="0"/>
    <n v="14042249"/>
    <n v="126383346"/>
    <n v="140425595"/>
    <n v="19.101099999999999"/>
    <n v="8.2666799999999991"/>
    <n v="2812.49"/>
    <n v="1896.24"/>
    <n v="2774"/>
    <n v="281"/>
    <n v="59.856791895840274"/>
    <n v="10.45864613067361"/>
    <n v="168"/>
    <n v="531346"/>
    <n v="4450296"/>
    <n v="112719511"/>
    <n v="282828"/>
    <n v="0"/>
    <x v="5"/>
    <x v="5"/>
  </r>
  <r>
    <s v="istree_exp6_rebuilding_time/step10030.txt"/>
    <x v="0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100013799170242"/>
    <n v="10000330"/>
    <n v="100013799170242"/>
    <n v="10000330"/>
    <s v="success"/>
    <n v="7"/>
    <n v="1744353"/>
    <n v="11692864"/>
    <n v="13437217"/>
    <n v="10000330"/>
    <n v="7.7032699999999998"/>
    <n v="0.85525099999999998"/>
    <n v="4.0240400000000003"/>
    <n v="326645216"/>
    <s v="353 669910 5651052 141733561 356338"/>
    <s v="211 669806 5648591 141731044 356334"/>
    <n v="1677279"/>
    <n v="69310"/>
    <n v="11372812727871"/>
    <n v="428203783888"/>
    <n v="15851172460"/>
    <n v="684542397973"/>
    <n v="799595792546"/>
    <n v="240608764989"/>
    <n v="9527512374"/>
    <n v="0"/>
    <n v="1058699263"/>
    <n v="9527512374"/>
    <n v="10586211637"/>
    <n v="158791872"/>
    <n v="0"/>
    <n v="17644987"/>
    <n v="158791872"/>
    <n v="176436860"/>
    <n v="19.277100000000001"/>
    <n v="8.5356400000000008"/>
    <n v="2939.66"/>
    <n v="1995.23"/>
    <n v="2877"/>
    <n v="407"/>
    <n v="59.856909094057897"/>
    <n v="11.414746904505263"/>
    <n v="211"/>
    <n v="669806"/>
    <n v="5648591"/>
    <n v="141731044"/>
    <n v="356334"/>
    <n v="0"/>
    <x v="5"/>
    <x v="5"/>
  </r>
  <r>
    <s v="istree_exp6_rebuilding_time/step10031.txt"/>
    <x v="0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8472086957380"/>
    <n v="99989059"/>
    <n v="9998472086957380"/>
    <n v="99989059"/>
    <s v="success"/>
    <n v="7"/>
    <n v="14396332"/>
    <n v="116986469"/>
    <n v="131382801"/>
    <n v="99989059"/>
    <n v="9.1261299999999999"/>
    <n v="0.85470599999999997"/>
    <n v="4.0671999999999997"/>
    <n v="3027172144"/>
    <s v="3 12741 1336137 12288120 2023810"/>
    <s v="2 12734 1336134 12288118 2023810"/>
    <n v="2361"/>
    <n v="529166"/>
    <n v="1436562705229"/>
    <n v="28857464685"/>
    <n v="30418724"/>
    <n v="38021299974"/>
    <n v="28902377267"/>
    <n v="12049458631"/>
    <n v="1307191988"/>
    <n v="0"/>
    <n v="145237381"/>
    <n v="1307191988"/>
    <n v="1452429369"/>
    <n v="21786533"/>
    <n v="0"/>
    <n v="2420623"/>
    <n v="21786533"/>
    <n v="24207156"/>
    <n v="20.878799999999998"/>
    <n v="9.4419299999999993"/>
    <n v="2739.78"/>
    <n v="2018.76"/>
    <n v="10167"/>
    <n v="1534"/>
    <n v="59.85677938454166"/>
    <n v="4.4942091367083332"/>
    <n v="2"/>
    <n v="12734"/>
    <n v="1336134"/>
    <n v="12288118"/>
    <n v="2023810"/>
    <n v="0"/>
    <x v="6"/>
    <x v="6"/>
  </r>
  <r>
    <s v="istree_exp6_rebuilding_time/step10032.txt"/>
    <x v="0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1.000022647809E+16"/>
    <n v="99997404"/>
    <n v="1.000022647809E+16"/>
    <n v="99997404"/>
    <s v="success"/>
    <n v="7"/>
    <n v="14560523"/>
    <n v="117394819"/>
    <n v="131955342"/>
    <n v="99997404"/>
    <n v="9.0625400000000003"/>
    <n v="0.85180400000000001"/>
    <n v="4.07165"/>
    <n v="3047088416"/>
    <s v="4 34331 2133615 20238743 3349939"/>
    <s v="4 34299 2133594 20238733 3349938"/>
    <n v="13818"/>
    <n v="211726"/>
    <n v="2873125337878"/>
    <n v="82506823492"/>
    <n v="206233138"/>
    <n v="110084801098"/>
    <n v="77050423362"/>
    <n v="35061437470"/>
    <n v="2184604197"/>
    <n v="0"/>
    <n v="242729725"/>
    <n v="2184604197"/>
    <n v="2427333922"/>
    <n v="36410069"/>
    <n v="0"/>
    <n v="4045495"/>
    <n v="36410069"/>
    <n v="40455565"/>
    <n v="21.513500000000001"/>
    <n v="9.8220899999999993"/>
    <n v="3243.66"/>
    <n v="2423.59"/>
    <n v="13577"/>
    <n v="1261"/>
    <n v="59.856777872458338"/>
    <n v="6.3522858033333334"/>
    <n v="4"/>
    <n v="34299"/>
    <n v="2133594"/>
    <n v="20238733"/>
    <n v="3349938"/>
    <n v="0"/>
    <x v="6"/>
    <x v="6"/>
  </r>
  <r>
    <s v="istree_exp6_rebuilding_time/step10033.txt"/>
    <x v="0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550660464430"/>
    <n v="100000327"/>
    <n v="9999550660464430"/>
    <n v="100000327"/>
    <s v="success"/>
    <n v="7"/>
    <n v="12026378"/>
    <n v="112044191"/>
    <n v="124070569"/>
    <n v="100000327"/>
    <n v="10.3165"/>
    <n v="0.89250799999999997"/>
    <n v="4.0205700000000002"/>
    <n v="2755104736"/>
    <s v="15 89218 3550648 35992451 6070778"/>
    <s v="9 89195 3550568 35992412 6070777"/>
    <n v="83322"/>
    <n v="82726"/>
    <n v="5746398327047"/>
    <n v="183173351192"/>
    <n v="1599511172"/>
    <n v="327960088250"/>
    <n v="254782574954"/>
    <n v="85248509283"/>
    <n v="4088267795"/>
    <n v="0"/>
    <n v="454263252"/>
    <n v="4088267795"/>
    <n v="4542531047"/>
    <n v="68137796"/>
    <n v="0"/>
    <n v="7571054"/>
    <n v="68137796"/>
    <n v="75708850"/>
    <n v="22.123799999999999"/>
    <n v="10.849600000000001"/>
    <n v="3352.82"/>
    <n v="2477.9"/>
    <n v="13169"/>
    <n v="1074"/>
    <n v="59.858315906739584"/>
    <n v="8.8829586963645841"/>
    <n v="9"/>
    <n v="89195"/>
    <n v="3550568"/>
    <n v="35992412"/>
    <n v="6070777"/>
    <n v="0"/>
    <x v="6"/>
    <x v="6"/>
  </r>
  <r>
    <s v="istree_exp6_rebuilding_time/step10034.txt"/>
    <x v="0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9640943029210"/>
    <n v="100002965"/>
    <n v="9999640943029210"/>
    <n v="100002965"/>
    <s v="success"/>
    <n v="7"/>
    <n v="11299613"/>
    <n v="110581723"/>
    <n v="121881336"/>
    <n v="100002965"/>
    <n v="10.786300000000001"/>
    <n v="0.904335"/>
    <n v="4.0057999999999998"/>
    <n v="2673303600"/>
    <s v="23 129963 4548554 50686264 8668910"/>
    <s v="13 129955 4548385 50686176 8668903"/>
    <n v="173434"/>
    <n v="48388"/>
    <n v="8619727087689"/>
    <n v="266254071063"/>
    <n v="5423165896"/>
    <n v="577553797660"/>
    <n v="486277299034"/>
    <n v="135372283676"/>
    <n v="5860123145"/>
    <n v="0"/>
    <n v="651124672"/>
    <n v="5860123145"/>
    <n v="6511247817"/>
    <n v="97668719"/>
    <n v="0"/>
    <n v="10852077"/>
    <n v="97668719"/>
    <n v="108520796"/>
    <n v="22.266999999999999"/>
    <n v="11.1889"/>
    <n v="3438.84"/>
    <n v="2547.42"/>
    <n v="14039"/>
    <n v="1026"/>
    <n v="59.859215886729167"/>
    <n v="10.214448731451389"/>
    <n v="13"/>
    <n v="129955"/>
    <n v="4548385"/>
    <n v="50686176"/>
    <n v="8668903"/>
    <n v="0"/>
    <x v="6"/>
    <x v="6"/>
  </r>
  <r>
    <s v="istree_exp6_rebuilding_time/step10035.txt"/>
    <x v="0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845435199330"/>
    <n v="99993940"/>
    <n v="9999845435199330"/>
    <n v="99993940"/>
    <s v="success"/>
    <n v="7"/>
    <n v="14951033"/>
    <n v="118276591"/>
    <n v="133227624"/>
    <n v="99993940"/>
    <n v="8.9109300000000005"/>
    <n v="0.84542499999999998"/>
    <n v="4.0822000000000003"/>
    <n v="3092804176"/>
    <s v="29 159959 5541261 64554992 11119635"/>
    <s v="16 159948 5541019 64554848 11119619"/>
    <n v="276254"/>
    <n v="34276"/>
    <n v="11373127264784"/>
    <n v="338409999331"/>
    <n v="11141629054"/>
    <n v="819369213865"/>
    <n v="716993088208"/>
    <n v="183610289006"/>
    <n v="7494001179"/>
    <n v="0"/>
    <n v="832650608"/>
    <n v="7494001179"/>
    <n v="8326651787"/>
    <n v="124900019"/>
    <n v="0"/>
    <n v="13877510"/>
    <n v="124900019"/>
    <n v="138777529"/>
    <n v="22.279499999999999"/>
    <n v="11.346299999999999"/>
    <n v="3501.81"/>
    <n v="2612.04"/>
    <n v="14278"/>
    <n v="1088"/>
    <n v="59.858564551494737"/>
    <n v="10.892232734021052"/>
    <n v="16"/>
    <n v="159948"/>
    <n v="5541019"/>
    <n v="64554848"/>
    <n v="11119619"/>
    <n v="0"/>
    <x v="6"/>
    <x v="6"/>
  </r>
  <r>
    <s v="istree_exp6_rebuilding_time/step10036.txt"/>
    <x v="0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8976660014502E+17"/>
    <n v="999997935"/>
    <n v="9.9998976660014502E+17"/>
    <n v="999997935"/>
    <s v="success"/>
    <n v="7"/>
    <n v="107434921"/>
    <n v="1125441934"/>
    <n v="1232876855"/>
    <n v="999997935"/>
    <n v="11.4756"/>
    <n v="0.88853800000000005"/>
    <n v="4.04739"/>
    <n v="26617618016"/>
    <s v="0 0 0 1021297 1101795"/>
    <s v="0 0 0 1021297 1101795"/>
    <m/>
    <n v="388274"/>
    <n v="1436562529968"/>
    <n v="868820150"/>
    <m/>
    <n v="1734373923"/>
    <n v="2103726568"/>
    <n v="253757365"/>
    <n v="945228193"/>
    <n v="0"/>
    <n v="105032831"/>
    <n v="945228193"/>
    <n v="1050261024"/>
    <n v="15753803"/>
    <n v="0"/>
    <n v="1750547"/>
    <n v="15753803"/>
    <n v="17504350"/>
    <n v="22.9391"/>
    <n v="13.5069"/>
    <n v="3815.29"/>
    <n v="3043.29"/>
    <n v="61804"/>
    <n v="16250"/>
    <n v="59.856772081999999"/>
    <n v="0.20669491691666667"/>
    <n v="0"/>
    <n v="0"/>
    <n v="0"/>
    <n v="1021297"/>
    <n v="1101795"/>
    <n v="0"/>
    <x v="7"/>
    <x v="7"/>
  </r>
  <r>
    <s v="istree_exp6_rebuilding_time/step10037.txt"/>
    <x v="0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7816395205798E+17"/>
    <n v="1000002380"/>
    <n v="9.9997816395205798E+17"/>
    <n v="1000002380"/>
    <s v="success"/>
    <n v="7"/>
    <n v="119340466"/>
    <n v="1150578024"/>
    <n v="1269918490"/>
    <n v="1000002380"/>
    <n v="10.6411"/>
    <n v="0.86912999999999996"/>
    <n v="4.07308"/>
    <n v="27993030016"/>
    <s v="0 0 0 4883923 2898576"/>
    <s v="0 0 0 4883923 2898576"/>
    <m/>
    <n v="171134"/>
    <n v="2873124933373"/>
    <n v="5126808459"/>
    <m/>
    <n v="9115979812"/>
    <n v="9039135102"/>
    <n v="1729531034"/>
    <n v="1697824030"/>
    <n v="0"/>
    <n v="188654943"/>
    <n v="1697824030"/>
    <n v="1886478973"/>
    <n v="28297067"/>
    <n v="0"/>
    <n v="3144249"/>
    <n v="28297067"/>
    <n v="31441316"/>
    <n v="23.187999999999999"/>
    <n v="13.7056"/>
    <n v="4247.99"/>
    <n v="3541.81"/>
    <n v="63665"/>
    <n v="11694"/>
    <n v="59.856769445270835"/>
    <n v="0.52107196681250001"/>
    <n v="0"/>
    <n v="0"/>
    <n v="0"/>
    <n v="4883923"/>
    <n v="2898576"/>
    <n v="0"/>
    <x v="7"/>
    <x v="7"/>
  </r>
  <r>
    <s v="istree_exp6_rebuilding_time/step10038.txt"/>
    <x v="0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1.00002102840946E+18"/>
    <n v="999987967"/>
    <n v="1.00002102840946E+18"/>
    <n v="999987967"/>
    <s v="success"/>
    <n v="7"/>
    <n v="126481313"/>
    <n v="1167750143"/>
    <n v="1294231456"/>
    <n v="999987967"/>
    <n v="10.2326"/>
    <n v="0.85633700000000001"/>
    <n v="4.0897800000000002"/>
    <n v="28867337088"/>
    <s v="0 0 415910 25481674 7826456"/>
    <s v="0 0 415910 25481670 7826456"/>
    <n v="13"/>
    <n v="89464"/>
    <n v="5746250300384"/>
    <n v="31216474066"/>
    <n v="15294"/>
    <n v="45291661462"/>
    <n v="40566453596"/>
    <n v="10727326446"/>
    <n v="3574112377"/>
    <n v="0"/>
    <n v="397119471"/>
    <n v="3574112377"/>
    <n v="3971231848"/>
    <n v="59568539"/>
    <n v="0"/>
    <n v="6618657"/>
    <n v="59568539"/>
    <n v="66187197"/>
    <n v="23.626799999999999"/>
    <n v="14.7088"/>
    <n v="4031.79"/>
    <n v="3263.6"/>
    <n v="66634"/>
    <n v="9927"/>
    <n v="59.856773962333335"/>
    <n v="1.3312701131666667"/>
    <n v="0"/>
    <n v="0"/>
    <n v="415910"/>
    <n v="25481670"/>
    <n v="7826456"/>
    <n v="0"/>
    <x v="7"/>
    <x v="7"/>
  </r>
  <r>
    <s v="istree_exp6_rebuilding_time/step10039.txt"/>
    <x v="0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8939656231104E+17"/>
    <n v="1000007126"/>
    <n v="9.9998939656231104E+17"/>
    <n v="1000007126"/>
    <s v="success"/>
    <n v="7"/>
    <n v="88490873"/>
    <n v="1086884901"/>
    <n v="1175375774"/>
    <n v="1000007126"/>
    <n v="13.282500000000001"/>
    <n v="0.92006699999999997"/>
    <n v="4.0080999999999998"/>
    <n v="24469946080"/>
    <s v="1 31588 2161475 33496201 9467441"/>
    <s v="1 31587 2161468 33496193 9467441"/>
    <n v="25819"/>
    <n v="48316"/>
    <n v="8619552697598"/>
    <n v="187175426322"/>
    <n v="1856763142"/>
    <n v="629521012751"/>
    <n v="195308182342"/>
    <n v="106578246491"/>
    <n v="4646771685"/>
    <n v="0"/>
    <n v="516306276"/>
    <n v="4646771685"/>
    <n v="5163077961"/>
    <n v="77446194"/>
    <n v="0"/>
    <n v="8605104"/>
    <n v="77446194"/>
    <n v="86051299"/>
    <n v="25.222000000000001"/>
    <n v="15.911099999999999"/>
    <n v="4391.33"/>
    <n v="3549.12"/>
    <n v="103677"/>
    <n v="9328"/>
    <n v="59.858004844430553"/>
    <n v="7.7808307711666664"/>
    <n v="1"/>
    <n v="31587"/>
    <n v="2161468"/>
    <n v="33496193"/>
    <n v="9467441"/>
    <n v="0"/>
    <x v="7"/>
    <x v="7"/>
  </r>
  <r>
    <s v="istree_exp6_rebuilding_time/step10040.txt"/>
    <x v="0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7997547376499E+17"/>
    <n v="999997546"/>
    <n v="9.9997997547376499E+17"/>
    <n v="999997546"/>
    <s v="success"/>
    <n v="7"/>
    <n v="116872041"/>
    <n v="1145260651"/>
    <n v="1262132692"/>
    <n v="999997546"/>
    <n v="10.799300000000001"/>
    <n v="0.87316199999999999"/>
    <n v="4.0676899999999998"/>
    <n v="27705364272"/>
    <s v="1 31579 2150372 37054963 11831797"/>
    <s v="1 31577 2150362 37054955 11831797"/>
    <n v="34037"/>
    <n v="34538"/>
    <n v="11372786984515"/>
    <n v="234262771089"/>
    <n v="4034898701"/>
    <n v="734285936267"/>
    <n v="228106008413"/>
    <n v="326284031186"/>
    <n v="6006404923"/>
    <n v="0"/>
    <n v="667377449"/>
    <n v="6006404923"/>
    <n v="6673782372"/>
    <n v="100106748"/>
    <n v="0"/>
    <n v="11122957"/>
    <n v="100106748"/>
    <n v="111229706"/>
    <n v="24.844200000000001"/>
    <n v="15.7326"/>
    <n v="4492.42"/>
    <n v="3642.12"/>
    <n v="120152"/>
    <n v="9550"/>
    <n v="59.856773602710525"/>
    <n v="8.0367033981894735"/>
    <n v="1"/>
    <n v="31577"/>
    <n v="2150362"/>
    <n v="37054955"/>
    <n v="11831797"/>
    <n v="0"/>
    <x v="7"/>
    <x v="7"/>
  </r>
  <r>
    <s v="istree_exp6_rebuilding_time/step10041.txt"/>
    <x v="0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0646285503"/>
    <n v="1000737"/>
    <n v="1000646285503"/>
    <n v="1000737"/>
    <s v="success"/>
    <n v="6"/>
    <n v="44171"/>
    <n v="1055209"/>
    <n v="1099380"/>
    <n v="1000737"/>
    <n v="24.889199999999999"/>
    <n v="0.94837800000000005"/>
    <n v="3.0226600000000001"/>
    <n v="20421200"/>
    <s v="4014 1826095 26241153 29397772"/>
    <s v="2031 1818766 26233911 29397131"/>
    <n v="916480"/>
    <n v="1035708"/>
    <n v="1436555174291"/>
    <n v="93819779402"/>
    <n v="1091560964"/>
    <n v="109325344354"/>
    <n v="78709219494"/>
    <n v="44109493483"/>
    <n v="1523269666"/>
    <n v="0"/>
    <n v="1015446923"/>
    <n v="1523269666"/>
    <n v="2538716589"/>
    <n v="25387827"/>
    <n v="0"/>
    <n v="16924115"/>
    <n v="25387827"/>
    <n v="42311943"/>
    <n v="15.728"/>
    <n v="1.05752"/>
    <n v="1580.09"/>
    <n v="619.154"/>
    <n v="1238"/>
    <n v="27"/>
    <n v="59.856465595458332"/>
    <n v="13.627308237374999"/>
    <n v="2031"/>
    <n v="1818766"/>
    <n v="26233911"/>
    <n v="29397131"/>
    <n v="0"/>
    <n v="0"/>
    <x v="8"/>
    <x v="8"/>
  </r>
  <r>
    <s v="istree_exp6_rebuilding_time/step10042.txt"/>
    <x v="0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1162100999"/>
    <n v="1000620"/>
    <n v="1001162100999"/>
    <n v="1000620"/>
    <s v="success"/>
    <n v="6"/>
    <n v="67130"/>
    <n v="1102179"/>
    <n v="1169309"/>
    <n v="1000620"/>
    <n v="17.418600000000001"/>
    <n v="0.907856"/>
    <n v="3.0718399999999999"/>
    <n v="23045504"/>
    <s v="7698 2855209 27093535 39321245"/>
    <s v="2891 2848731 27071535 39319431"/>
    <n v="3710147"/>
    <n v="376236"/>
    <n v="2873108681947"/>
    <n v="244183016581"/>
    <n v="4942467013"/>
    <n v="270769624005"/>
    <n v="151725621741"/>
    <n v="102621849616"/>
    <n v="2167969464"/>
    <n v="0"/>
    <n v="1445296874"/>
    <n v="2167969464"/>
    <n v="3613266338"/>
    <n v="36132824"/>
    <n v="0"/>
    <n v="24088281"/>
    <n v="36132824"/>
    <n v="60221105"/>
    <n v="16.230899999999998"/>
    <n v="1.52861"/>
    <n v="2174.46"/>
    <n v="1033.96"/>
    <n v="1318"/>
    <n v="34"/>
    <n v="59.856430873895839"/>
    <n v="16.130053728250001"/>
    <n v="2891"/>
    <n v="2848731"/>
    <n v="27071535"/>
    <n v="39319431"/>
    <n v="0"/>
    <n v="0"/>
    <x v="8"/>
    <x v="8"/>
  </r>
  <r>
    <s v="istree_exp6_rebuilding_time/step10043.txt"/>
    <x v="0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83684784"/>
    <n v="1000403"/>
    <n v="999683684784"/>
    <n v="1000403"/>
    <s v="success"/>
    <n v="6"/>
    <n v="33067"/>
    <n v="1032484"/>
    <n v="1065551"/>
    <n v="1000403"/>
    <n v="32.223999999999997"/>
    <n v="0.96892800000000001"/>
    <n v="3.0000599999999999"/>
    <n v="19165088"/>
    <s v="9413 5528149 9578365 40632723"/>
    <s v="3519 5472915 9547908 40628834"/>
    <n v="14827291"/>
    <n v="124968"/>
    <n v="5746228714214"/>
    <n v="690468331176"/>
    <n v="27060774851"/>
    <n v="745870082231"/>
    <n v="309298205952"/>
    <n v="498040019930"/>
    <n v="2638092950"/>
    <n v="0"/>
    <n v="1758741222"/>
    <n v="2638092950"/>
    <n v="4396834172"/>
    <n v="43968215"/>
    <n v="0"/>
    <n v="29312353"/>
    <n v="43968215"/>
    <n v="73280569"/>
    <n v="19.433499999999999"/>
    <n v="6.0539100000000001"/>
    <n v="3645.6"/>
    <n v="2396"/>
    <n v="1444"/>
    <n v="163"/>
    <n v="59.856549106395839"/>
    <n v="23.653514730625002"/>
    <n v="3519"/>
    <n v="5472915"/>
    <n v="9547908"/>
    <n v="40628834"/>
    <n v="0"/>
    <n v="0"/>
    <x v="8"/>
    <x v="8"/>
  </r>
  <r>
    <s v="istree_exp6_rebuilding_time/step10044.txt"/>
    <x v="0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258707096"/>
    <n v="999038"/>
    <n v="999258707096"/>
    <n v="999038"/>
    <s v="success"/>
    <n v="6"/>
    <n v="50589"/>
    <n v="1066799"/>
    <n v="1117388"/>
    <n v="999038"/>
    <n v="22.087599999999998"/>
    <n v="0.93648200000000004"/>
    <n v="3.0365700000000002"/>
    <n v="21130816"/>
    <s v="10326 11173110 2012033 31056803"/>
    <s v="3827 11075935 1997784 31052394"/>
    <n v="36330334"/>
    <n v="61834"/>
    <n v="8619337769532"/>
    <n v="1350186850289"/>
    <n v="67979082214"/>
    <n v="1498517883038"/>
    <n v="406666901766"/>
    <n v="1070185930148"/>
    <n v="2868575013"/>
    <n v="0"/>
    <n v="1912395622"/>
    <n v="2868575013"/>
    <n v="4780970635"/>
    <n v="47809583"/>
    <n v="0"/>
    <n v="31873260"/>
    <n v="47809583"/>
    <n v="79682843"/>
    <n v="24.2849"/>
    <n v="10.4369"/>
    <n v="5029.29"/>
    <n v="3548.23"/>
    <n v="1663"/>
    <n v="288"/>
    <n v="59.856512288416667"/>
    <n v="30.510671162881945"/>
    <n v="3827"/>
    <n v="11075935"/>
    <n v="1997784"/>
    <n v="31052394"/>
    <n v="0"/>
    <n v="0"/>
    <x v="8"/>
    <x v="8"/>
  </r>
  <r>
    <s v="istree_exp6_rebuilding_time/step10045.txt"/>
    <x v="0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479794904"/>
    <n v="999022"/>
    <n v="999479794904"/>
    <n v="999022"/>
    <s v="success"/>
    <n v="6"/>
    <n v="52577"/>
    <n v="1070802"/>
    <n v="1123379"/>
    <n v="999022"/>
    <n v="21.366399999999999"/>
    <n v="0.93296599999999996"/>
    <n v="3.0409199999999998"/>
    <n v="21358256"/>
    <s v="12934 10354888 5038575 41306678"/>
    <s v="4405 10238782 5002540 41299604"/>
    <n v="49176957"/>
    <n v="40434"/>
    <n v="11372812918856"/>
    <n v="1750971861486"/>
    <n v="105658584361"/>
    <n v="2017463698113"/>
    <n v="535991590920"/>
    <n v="1885639425771"/>
    <n v="3300647638"/>
    <n v="0"/>
    <n v="2200467659"/>
    <n v="3300647638"/>
    <n v="5501115297"/>
    <n v="55010793"/>
    <n v="0"/>
    <n v="36674460"/>
    <n v="55010793"/>
    <n v="91685254"/>
    <n v="24.8355"/>
    <n v="11.6873"/>
    <n v="5766"/>
    <n v="4270.2299999999996"/>
    <n v="1853"/>
    <n v="307"/>
    <n v="59.856910099242107"/>
    <n v="33.135395582373683"/>
    <n v="4405"/>
    <n v="10238782"/>
    <n v="5002540"/>
    <n v="41299604"/>
    <n v="0"/>
    <n v="0"/>
    <x v="8"/>
    <x v="8"/>
  </r>
  <r>
    <s v="istree_exp6_rebuilding_time/step10046.txt"/>
    <x v="0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95138328265"/>
    <n v="10000678"/>
    <n v="99995138328265"/>
    <n v="10000678"/>
    <s v="success"/>
    <n v="7"/>
    <n v="1895349"/>
    <n v="12006010"/>
    <n v="13901359"/>
    <n v="10000678"/>
    <n v="7.33446"/>
    <n v="0.83297299999999996"/>
    <n v="4.0540000000000003"/>
    <n v="343746784"/>
    <s v="179 262946 7538940 69062693 232440"/>
    <s v="94 262361 7538573 69062355 232440"/>
    <n v="128134"/>
    <n v="448422"/>
    <n v="1436557026429"/>
    <n v="137472504390"/>
    <n v="604791442"/>
    <n v="155601024706"/>
    <n v="91411394190"/>
    <n v="64728312884"/>
    <n v="708541045"/>
    <n v="0"/>
    <n v="472274790"/>
    <n v="708541045"/>
    <n v="1180815835"/>
    <n v="11809017"/>
    <n v="0"/>
    <n v="7871246"/>
    <n v="11809017"/>
    <n v="19680263"/>
    <n v="25.9297"/>
    <n v="11.063599999999999"/>
    <n v="3371.89"/>
    <n v="2128.35"/>
    <n v="2452"/>
    <n v="155"/>
    <n v="59.856542767874998"/>
    <n v="18.742417817166665"/>
    <n v="94"/>
    <n v="262361"/>
    <n v="7538573"/>
    <n v="69062355"/>
    <n v="232440"/>
    <n v="0"/>
    <x v="9"/>
    <x v="9"/>
  </r>
  <r>
    <s v="istree_exp6_rebuilding_time/step10047.txt"/>
    <x v="0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86932539421"/>
    <n v="9998462"/>
    <n v="99986932539421"/>
    <n v="9998462"/>
    <s v="success"/>
    <n v="7"/>
    <n v="1625791"/>
    <n v="11440810"/>
    <n v="13066601"/>
    <n v="9998462"/>
    <n v="8.0370699999999999"/>
    <n v="0.87392999999999998"/>
    <n v="4"/>
    <n v="313116224"/>
    <s v="332 475264 10396670 108791442 353745"/>
    <s v="153 474679 10395145 108790111 353744"/>
    <n v="522465"/>
    <n v="187776"/>
    <n v="2873812001292"/>
    <n v="282581780923"/>
    <n v="2764866830"/>
    <n v="362734499898"/>
    <n v="202212877810"/>
    <n v="137971798471"/>
    <n v="1147440756"/>
    <n v="0"/>
    <n v="764969287"/>
    <n v="1147440756"/>
    <n v="1912410043"/>
    <n v="19124012"/>
    <n v="0"/>
    <n v="12749488"/>
    <n v="19124012"/>
    <n v="31873500"/>
    <n v="26.697600000000001"/>
    <n v="11.686500000000001"/>
    <n v="4159.7700000000004"/>
    <n v="2780.17"/>
    <n v="2509"/>
    <n v="181"/>
    <n v="59.871083360249997"/>
    <n v="20.588871331916668"/>
    <n v="153"/>
    <n v="474679"/>
    <n v="10395145"/>
    <n v="108790111"/>
    <n v="353744"/>
    <n v="0"/>
    <x v="9"/>
    <x v="9"/>
  </r>
  <r>
    <s v="istree_exp6_rebuilding_time/step10048.txt"/>
    <x v="0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0226301193"/>
    <n v="10000824"/>
    <n v="99990226301193"/>
    <n v="10000824"/>
    <s v="success"/>
    <n v="7"/>
    <n v="1625806"/>
    <n v="11443202"/>
    <n v="13069008"/>
    <n v="10000824"/>
    <n v="8.0384799999999998"/>
    <n v="0.87395299999999998"/>
    <n v="4"/>
    <n v="313155696"/>
    <s v="781 853887 12460891 185015334 538816"/>
    <s v="270 853655 12456386 185010830 538812"/>
    <n v="1900517"/>
    <n v="90076"/>
    <n v="5747657802489"/>
    <n v="505692865441"/>
    <n v="11772425924"/>
    <n v="749442453841"/>
    <n v="680908939784"/>
    <n v="257738370363"/>
    <n v="2024948288"/>
    <n v="0"/>
    <n v="1349972342"/>
    <n v="2024948288"/>
    <n v="3374920630"/>
    <n v="33749138"/>
    <n v="0"/>
    <n v="22499539"/>
    <n v="33749138"/>
    <n v="56248677"/>
    <n v="27.568999999999999"/>
    <n v="13.5426"/>
    <n v="4675.17"/>
    <n v="3209.93"/>
    <n v="2652"/>
    <n v="255"/>
    <n v="59.871435442593743"/>
    <n v="22.974531826593751"/>
    <n v="270"/>
    <n v="853655"/>
    <n v="12456386"/>
    <n v="185010830"/>
    <n v="538812"/>
    <n v="0"/>
    <x v="9"/>
    <x v="9"/>
  </r>
  <r>
    <s v="istree_exp6_rebuilding_time/step10049.txt"/>
    <x v="0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99969526134611"/>
    <n v="9998307"/>
    <n v="99969526134611"/>
    <n v="9998307"/>
    <s v="success"/>
    <n v="7"/>
    <n v="1828982"/>
    <n v="11863280"/>
    <n v="13692262"/>
    <n v="9998307"/>
    <n v="7.4862700000000002"/>
    <n v="0.84279400000000004"/>
    <n v="4.0414099999999999"/>
    <n v="336138096"/>
    <s v="1292 1202224 10069058 254215569 636940"/>
    <s v="379 1201877 10062272 254206312 636931"/>
    <n v="3891810"/>
    <n v="58638"/>
    <n v="8619350401626"/>
    <n v="716079562264"/>
    <n v="24401904597"/>
    <n v="1093832502537"/>
    <n v="1284359647758"/>
    <n v="386519889720"/>
    <n v="2849706424"/>
    <n v="0"/>
    <n v="1899866930"/>
    <n v="2849706424"/>
    <n v="4749573354"/>
    <n v="47495107"/>
    <n v="0"/>
    <n v="31664448"/>
    <n v="47495107"/>
    <n v="79159555"/>
    <n v="27.8962"/>
    <n v="14.381"/>
    <n v="4941.9399999999996"/>
    <n v="3404.32"/>
    <n v="2831"/>
    <n v="325"/>
    <n v="59.856600011291661"/>
    <n v="24.341621575527778"/>
    <n v="379"/>
    <n v="1201877"/>
    <n v="10062272"/>
    <n v="254206312"/>
    <n v="636931"/>
    <n v="0"/>
    <x v="9"/>
    <x v="9"/>
  </r>
  <r>
    <s v="istree_exp6_rebuilding_time/step10050.txt"/>
    <x v="0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30207905223"/>
    <n v="10003806"/>
    <n v="100030207905223"/>
    <n v="10003806"/>
    <s v="success"/>
    <n v="7"/>
    <n v="1762073"/>
    <n v="11723332"/>
    <n v="13485405"/>
    <n v="10003806"/>
    <n v="7.6531500000000001"/>
    <n v="0.85332399999999997"/>
    <n v="4.0272500000000004"/>
    <n v="328540128"/>
    <s v="1602 1452236 12247652 307205667 768889"/>
    <s v="459 1451734 12236968 307191214 768867"/>
    <n v="6106642"/>
    <n v="43954"/>
    <n v="11372756722354"/>
    <n v="918754831348"/>
    <n v="40634276127"/>
    <n v="1491171697891"/>
    <n v="2072046464616"/>
    <n v="508201046830"/>
    <n v="3443339990"/>
    <n v="0"/>
    <n v="2295515673"/>
    <n v="3443339990"/>
    <n v="5738855663"/>
    <n v="57388999"/>
    <n v="0"/>
    <n v="38258594"/>
    <n v="57388999"/>
    <n v="95647594"/>
    <n v="28.525200000000002"/>
    <n v="15.158300000000001"/>
    <n v="5362.9"/>
    <n v="3655.08"/>
    <n v="2959"/>
    <n v="373"/>
    <n v="59.856614328178949"/>
    <n v="26.477938509536845"/>
    <n v="459"/>
    <n v="1451734"/>
    <n v="12236968"/>
    <n v="307191214"/>
    <n v="768867"/>
    <n v="0"/>
    <x v="9"/>
    <x v="9"/>
  </r>
  <r>
    <s v="istree_exp6_rebuilding_time/step10051.txt"/>
    <x v="0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826246735300"/>
    <n v="99996614"/>
    <n v="9999826246735300"/>
    <n v="99996614"/>
    <s v="success"/>
    <n v="7"/>
    <n v="14632028"/>
    <n v="117563601"/>
    <n v="132195629"/>
    <n v="99996614"/>
    <n v="9.0346799999999998"/>
    <n v="0.85057499999999997"/>
    <n v="4.0735799999999998"/>
    <n v="3055616816"/>
    <s v="10 44392 3695541 32983918 5439432"/>
    <s v="7 44323 3695513 32983898 5439430"/>
    <n v="13934"/>
    <n v="354568"/>
    <n v="1436558946135"/>
    <n v="94047497564"/>
    <n v="169612926"/>
    <n v="123693153348"/>
    <n v="89577265488"/>
    <n v="43263617374"/>
    <n v="587316487"/>
    <n v="0"/>
    <n v="391546962"/>
    <n v="587316487"/>
    <n v="978863449"/>
    <n v="9788608"/>
    <n v="0"/>
    <n v="6525782"/>
    <n v="9788608"/>
    <n v="16314390"/>
    <n v="27.5519"/>
    <n v="13.317600000000001"/>
    <n v="3943.19"/>
    <n v="2843.36"/>
    <n v="12585"/>
    <n v="1567"/>
    <n v="59.856622755625004"/>
    <n v="14.6146311125"/>
    <n v="7"/>
    <n v="44323"/>
    <n v="3695513"/>
    <n v="32983898"/>
    <n v="5439430"/>
    <n v="0"/>
    <x v="10"/>
    <x v="10"/>
  </r>
  <r>
    <s v="istree_exp6_rebuilding_time/step10052.txt"/>
    <x v="0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128387637390"/>
    <n v="100002198"/>
    <n v="9999128387637390"/>
    <n v="100002198"/>
    <s v="success"/>
    <n v="7"/>
    <n v="14148105"/>
    <n v="116463238"/>
    <n v="130611343"/>
    <n v="100002198"/>
    <n v="9.2317199999999993"/>
    <n v="0.85865899999999995"/>
    <n v="4.0649800000000003"/>
    <n v="2997745472"/>
    <s v="23 103179 5640549 50540952 8431783"/>
    <s v="12 103009 5640451 50540867 8431778"/>
    <n v="68142"/>
    <n v="129122"/>
    <n v="2873126358557"/>
    <n v="234922050061"/>
    <n v="1179988197"/>
    <n v="309703091798"/>
    <n v="216404518213"/>
    <n v="104871390514"/>
    <n v="926093710"/>
    <n v="0"/>
    <n v="617373837"/>
    <n v="926093710"/>
    <n v="1543467547"/>
    <n v="15434895"/>
    <n v="0"/>
    <n v="10289563"/>
    <n v="15434895"/>
    <n v="25724459"/>
    <n v="29.635200000000001"/>
    <n v="14.3248"/>
    <n v="4941.07"/>
    <n v="3640.21"/>
    <n v="13172"/>
    <n v="1308"/>
    <n v="59.856799136604167"/>
    <n v="18.064188307979169"/>
    <n v="12"/>
    <n v="103009"/>
    <n v="5640451"/>
    <n v="50540867"/>
    <n v="8431778"/>
    <n v="0"/>
    <x v="10"/>
    <x v="10"/>
  </r>
  <r>
    <s v="istree_exp6_rebuilding_time/step10053.txt"/>
    <x v="0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736498514120"/>
    <n v="99999083"/>
    <n v="9999736498514120"/>
    <n v="99999083"/>
    <s v="success"/>
    <n v="7"/>
    <n v="14937821"/>
    <n v="118264254"/>
    <n v="133202075"/>
    <n v="99999083"/>
    <n v="8.9170999999999996"/>
    <n v="0.84555599999999997"/>
    <n v="4.0817800000000002"/>
    <n v="3091619360"/>
    <s v="50 218040 8722779 90517614 15274390"/>
    <s v="22 217925 8722357 90517289 15274372"/>
    <n v="328221"/>
    <n v="56266"/>
    <n v="5746337514048"/>
    <n v="437370792607"/>
    <n v="8288414706"/>
    <n v="695847578750"/>
    <n v="679973583928"/>
    <n v="210535995071"/>
    <n v="1701064859"/>
    <n v="0"/>
    <n v="1134057733"/>
    <n v="1701064859"/>
    <n v="2835122592"/>
    <n v="28351080"/>
    <n v="0"/>
    <n v="18900962"/>
    <n v="28351080"/>
    <n v="47252043"/>
    <n v="30.6432"/>
    <n v="16.035"/>
    <n v="5259.89"/>
    <n v="3841.8"/>
    <n v="13765"/>
    <n v="1048"/>
    <n v="59.857682438000005"/>
    <n v="21.166837136062501"/>
    <n v="22"/>
    <n v="217925"/>
    <n v="8722357"/>
    <n v="90517289"/>
    <n v="15274372"/>
    <n v="0"/>
    <x v="10"/>
    <x v="10"/>
  </r>
  <r>
    <s v="istree_exp6_rebuilding_time/step10054.txt"/>
    <x v="0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583130358900"/>
    <n v="99985322"/>
    <n v="9998583130358900"/>
    <n v="99985322"/>
    <s v="success"/>
    <n v="7"/>
    <n v="14572481"/>
    <n v="117421145"/>
    <n v="131993626"/>
    <n v="99985322"/>
    <n v="9.0577299999999994"/>
    <n v="0.85150999999999999"/>
    <n v="4.0721699999999998"/>
    <n v="3048483824"/>
    <s v="106 310013 11083399 124423231 21259589"/>
    <s v="31 309976 11082598 124422596 21259548"/>
    <n v="658813"/>
    <n v="34088"/>
    <n v="8619426549830"/>
    <n v="620375812451"/>
    <n v="25430502613"/>
    <n v="1107373849196"/>
    <n v="1233824376714"/>
    <n v="322002882334"/>
    <n v="2388071471"/>
    <n v="0"/>
    <n v="1592063008"/>
    <n v="2388071471"/>
    <n v="3980134479"/>
    <n v="39801191"/>
    <n v="0"/>
    <n v="26534383"/>
    <n v="39801191"/>
    <n v="66335574"/>
    <n v="30.9346"/>
    <n v="16.886399999999998"/>
    <n v="5489.46"/>
    <n v="4036.12"/>
    <n v="14183"/>
    <n v="1075"/>
    <n v="59.857128818263881"/>
    <n v="22.979218217416665"/>
    <n v="31"/>
    <n v="309976"/>
    <n v="11082598"/>
    <n v="124422596"/>
    <n v="21259548"/>
    <n v="0"/>
    <x v="10"/>
    <x v="10"/>
  </r>
  <r>
    <s v="istree_exp6_rebuilding_time/step10055.txt"/>
    <x v="0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4827215368E+16"/>
    <n v="100002322"/>
    <n v="1.00004827215368E+16"/>
    <n v="100002322"/>
    <s v="success"/>
    <n v="7"/>
    <n v="14438910"/>
    <n v="117101684"/>
    <n v="131540594"/>
    <n v="100002322"/>
    <n v="9.1101500000000009"/>
    <n v="0.85397900000000004"/>
    <n v="4.0712400000000004"/>
    <n v="3031740784"/>
    <s v="137 389932 13426914 152484778 26233797"/>
    <s v="39 389893 13425572 152483847 26233722"/>
    <n v="1046017"/>
    <n v="24184"/>
    <n v="11372766743909"/>
    <n v="798971723426"/>
    <n v="43186124213"/>
    <n v="1537930859853"/>
    <n v="1847793487918"/>
    <n v="439402745258"/>
    <n v="2955942171"/>
    <n v="0"/>
    <n v="1970616349"/>
    <n v="2955942171"/>
    <n v="4926558520"/>
    <n v="49265702"/>
    <n v="0"/>
    <n v="32843605"/>
    <n v="49265702"/>
    <n v="82109308"/>
    <n v="31.3096"/>
    <n v="17.483000000000001"/>
    <n v="5767.76"/>
    <n v="4256.7"/>
    <n v="14493"/>
    <n v="1091"/>
    <n v="59.856667073205266"/>
    <n v="24.564657582463155"/>
    <n v="39"/>
    <n v="389893"/>
    <n v="13425572"/>
    <n v="152483847"/>
    <n v="26233722"/>
    <n v="0"/>
    <x v="10"/>
    <x v="10"/>
  </r>
  <r>
    <s v="istree_exp6_rebuilding_time/step10056.txt"/>
    <x v="0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1.00000843312494E+18"/>
    <n v="999995438"/>
    <n v="1.00000843312494E+18"/>
    <n v="999995438"/>
    <s v="success"/>
    <n v="7"/>
    <n v="127976186"/>
    <n v="1170526712"/>
    <n v="1298502898"/>
    <n v="999995438"/>
    <n v="10.1464"/>
    <n v="0.85431199999999996"/>
    <n v="4.0927800000000003"/>
    <n v="29031572768"/>
    <s v="0 0 126551 21375050 7027293"/>
    <s v="0 0 126550 21375050 7027293"/>
    <n v="1"/>
    <n v="339524"/>
    <n v="1436560083646"/>
    <n v="17643108977"/>
    <n v="1580"/>
    <n v="19525081397"/>
    <n v="22057420798"/>
    <n v="3859959136"/>
    <n v="541636061"/>
    <n v="0"/>
    <n v="361080992"/>
    <n v="541636061"/>
    <n v="902717053"/>
    <n v="9027267"/>
    <n v="0"/>
    <n v="6018016"/>
    <n v="9027267"/>
    <n v="15045284"/>
    <n v="26.0731"/>
    <n v="15.3691"/>
    <n v="4422.22"/>
    <n v="3503.25"/>
    <n v="62831"/>
    <n v="16525"/>
    <n v="59.856670151916667"/>
    <n v="2.6285654953333331"/>
    <n v="0"/>
    <n v="0"/>
    <n v="126550"/>
    <n v="21375050"/>
    <n v="7027293"/>
    <n v="0"/>
    <x v="11"/>
    <x v="11"/>
  </r>
  <r>
    <s v="istree_exp6_rebuilding_time/step10057.txt"/>
    <x v="0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9.9999004234170598E+17"/>
    <n v="1000000999"/>
    <n v="9.9999004234170598E+17"/>
    <n v="1000000999"/>
    <s v="success"/>
    <n v="7"/>
    <n v="88117180"/>
    <n v="1086126003"/>
    <n v="1174243183"/>
    <n v="1000000999"/>
    <n v="13.325900000000001"/>
    <n v="0.92070399999999997"/>
    <n v="4.0073400000000001"/>
    <n v="24427810352"/>
    <s v="1 26316 2535328 34444477 9631204"/>
    <s v="1 26301 2535319 34444469 9631204"/>
    <n v="10620"/>
    <n v="115984"/>
    <n v="2873126877145"/>
    <n v="176642468256"/>
    <n v="307095434"/>
    <n v="257464130311"/>
    <n v="123738190085"/>
    <n v="89260497763"/>
    <n v="772247802"/>
    <n v="0"/>
    <n v="514804576"/>
    <n v="772247802"/>
    <n v="1287052378"/>
    <n v="12870796"/>
    <n v="0"/>
    <n v="8580076"/>
    <n v="12870796"/>
    <n v="21450872"/>
    <n v="31.869"/>
    <n v="19.148900000000001"/>
    <n v="6044.88"/>
    <n v="4885.2299999999996"/>
    <n v="85063"/>
    <n v="12146"/>
    <n v="59.856809940520833"/>
    <n v="13.487757955187499"/>
    <n v="1"/>
    <n v="26301"/>
    <n v="2535319"/>
    <n v="34444469"/>
    <n v="9631204"/>
    <n v="0"/>
    <x v="11"/>
    <x v="11"/>
  </r>
  <r>
    <s v="istree_exp6_rebuilding_time/step10058.txt"/>
    <x v="0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9149501882202E+17"/>
    <n v="999997641"/>
    <n v="9.9999149501882202E+17"/>
    <n v="999997641"/>
    <s v="success"/>
    <n v="7"/>
    <n v="84465057"/>
    <n v="1078802204"/>
    <n v="1163267261"/>
    <n v="999997641"/>
    <n v="13.7722"/>
    <n v="0.926952"/>
    <n v="4"/>
    <n v="24018039808"/>
    <s v="4 61894 4627679 67770108 19005785"/>
    <s v="2 61871 4627646 67770084 19005782"/>
    <n v="55026"/>
    <n v="53826"/>
    <n v="5965343426414"/>
    <n v="375426517532"/>
    <n v="5634570024"/>
    <n v="919120240988"/>
    <n v="392500802821"/>
    <n v="201204150753"/>
    <n v="1500110167"/>
    <n v="0"/>
    <n v="1000055300"/>
    <n v="1500110167"/>
    <n v="2500165467"/>
    <n v="25001836"/>
    <n v="0"/>
    <n v="16667588"/>
    <n v="25001836"/>
    <n v="41669424"/>
    <n v="33.179400000000001"/>
    <n v="20.958100000000002"/>
    <n v="5933.93"/>
    <n v="4690.79"/>
    <n v="87571"/>
    <n v="9968"/>
    <n v="62.138994025145827"/>
    <n v="19.727982105395835"/>
    <n v="2"/>
    <n v="61871"/>
    <n v="4627646"/>
    <n v="67770084"/>
    <n v="19005782"/>
    <n v="0"/>
    <x v="11"/>
    <x v="11"/>
  </r>
  <r>
    <s v="istree_exp6_rebuilding_time/step10059.txt"/>
    <x v="0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7162614418803E+17"/>
    <n v="999968680"/>
    <n v="9.9997162614418803E+17"/>
    <n v="999968680"/>
    <s v="success"/>
    <n v="7"/>
    <n v="106401328"/>
    <n v="1125426266"/>
    <n v="1231827594"/>
    <n v="999968680"/>
    <n v="11.577199999999999"/>
    <n v="0.88852399999999998"/>
    <n v="4.0468299999999999"/>
    <n v="26551398256"/>
    <s v="4 74046 6372681 100154083 28188919"/>
    <s v="2 74037 6372615 100154029 28188918"/>
    <n v="95186"/>
    <n v="34212"/>
    <n v="8619624886212"/>
    <n v="471647170011"/>
    <n v="4456325190"/>
    <n v="1179146365295"/>
    <n v="557579448866"/>
    <n v="249460457250"/>
    <n v="2216427844"/>
    <n v="0"/>
    <n v="1477626082"/>
    <n v="2216427844"/>
    <n v="3694053926"/>
    <n v="36940464"/>
    <n v="0"/>
    <n v="24627101"/>
    <n v="36940464"/>
    <n v="61567565"/>
    <n v="32.019500000000001"/>
    <n v="20.553899999999999"/>
    <n v="5901.25"/>
    <n v="4676.95"/>
    <n v="120337"/>
    <n v="9444"/>
    <n v="59.858506154249994"/>
    <n v="17.099234490361113"/>
    <n v="2"/>
    <n v="74037"/>
    <n v="6372615"/>
    <n v="100154029"/>
    <n v="28188918"/>
    <n v="0"/>
    <x v="11"/>
    <x v="11"/>
  </r>
  <r>
    <s v="istree_exp6_rebuilding_time/step10060.txt"/>
    <x v="0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1163437461E+18"/>
    <n v="1000003276"/>
    <n v="1.00001163437461E+18"/>
    <n v="1000003276"/>
    <s v="success"/>
    <n v="7"/>
    <n v="123048085"/>
    <n v="1158700272"/>
    <n v="1281748357"/>
    <n v="1000003276"/>
    <n v="10.416600000000001"/>
    <n v="0.863039"/>
    <n v="4.0812999999999997"/>
    <n v="28428687088"/>
    <s v="5 94771 6447673 108228461 32164593"/>
    <s v="3 94766 6447586 108228378 32164588"/>
    <n v="158470"/>
    <n v="22922"/>
    <n v="11373481066223"/>
    <n v="609185917141"/>
    <n v="9633171203"/>
    <n v="1997870139154"/>
    <n v="863742196278"/>
    <n v="478088611136"/>
    <n v="2593072773"/>
    <n v="0"/>
    <n v="1728719217"/>
    <n v="2593072773"/>
    <n v="4321791990"/>
    <n v="43217879"/>
    <n v="0"/>
    <n v="28811986"/>
    <n v="43217879"/>
    <n v="72029866"/>
    <n v="32.994199999999999"/>
    <n v="21.416"/>
    <n v="6282.65"/>
    <n v="4994.79"/>
    <n v="120726"/>
    <n v="9293"/>
    <n v="59.860426664331577"/>
    <n v="20.834315973221052"/>
    <n v="3"/>
    <n v="94766"/>
    <n v="6447586"/>
    <n v="108228378"/>
    <n v="32164588"/>
    <n v="0"/>
    <x v="11"/>
    <x v="11"/>
  </r>
  <r>
    <s v="istree_exp6_rebuilding_time/step10061.txt"/>
    <x v="1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0085670527"/>
    <n v="999849"/>
    <n v="1000085670527"/>
    <n v="999849"/>
    <s v="success"/>
    <n v="6"/>
    <n v="33009"/>
    <n v="1031859"/>
    <n v="1064868"/>
    <n v="999849"/>
    <n v="32.259900000000002"/>
    <n v="0.96897800000000001"/>
    <n v="3.0000100000000001"/>
    <n v="19150448"/>
    <s v="97 81734 1176123 1314653"/>
    <s v="91 81717 1176101 1314651"/>
    <m/>
    <n v="1683424"/>
    <n v="1437334148499"/>
    <n v="3992853848"/>
    <n v="81812251017"/>
    <n v="5872304048"/>
    <n v="5111907911"/>
    <n v="2185766611"/>
    <n v="4503466086"/>
    <n v="0"/>
    <n v="45492679"/>
    <n v="4503466086"/>
    <n v="4548958765"/>
    <n v="75057768"/>
    <n v="0"/>
    <n v="758211"/>
    <n v="75057768"/>
    <n v="75815979"/>
    <n v="8.3741900000000005"/>
    <n v="9.9822800000000003E-2"/>
    <n v="882.27599999999995"/>
    <n v="262.76400000000001"/>
    <n v="1398"/>
    <n v="29"/>
    <n v="59.888922854125006"/>
    <n v="4.123961809791667"/>
    <n v="91"/>
    <n v="81717"/>
    <n v="1176101"/>
    <n v="1314651"/>
    <n v="0"/>
    <n v="0"/>
    <x v="0"/>
    <x v="12"/>
  </r>
  <r>
    <s v="istree_exp6_rebuilding_time/step10062.txt"/>
    <x v="1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769701778"/>
    <n v="1000890"/>
    <n v="1000769701778"/>
    <n v="1000890"/>
    <s v="success"/>
    <n v="7"/>
    <n v="83149"/>
    <n v="1137119"/>
    <n v="1220268"/>
    <n v="1000890"/>
    <n v="14.675700000000001"/>
    <n v="0.88019800000000004"/>
    <n v="3.1092"/>
    <n v="24945568"/>
    <s v="139 129416 1231105 1791069"/>
    <s v="131 129403 1231047 1791060"/>
    <m/>
    <n v="596168"/>
    <n v="2873121528784"/>
    <n v="9451970717"/>
    <n v="347541659169"/>
    <n v="12632557770"/>
    <n v="10459991920"/>
    <n v="4839830719"/>
    <n v="6513574209"/>
    <n v="0"/>
    <n v="65785981"/>
    <n v="6513574209"/>
    <n v="6579360190"/>
    <n v="108559570"/>
    <n v="0"/>
    <n v="1096433"/>
    <n v="108559570"/>
    <n v="109656003"/>
    <n v="8.2389799999999997"/>
    <n v="0.104073"/>
    <n v="1212.24"/>
    <n v="362.89800000000002"/>
    <n v="1577"/>
    <n v="33"/>
    <n v="59.856698516333331"/>
    <n v="8.0192918811458345"/>
    <n v="131"/>
    <n v="129403"/>
    <n v="1231047"/>
    <n v="1791060"/>
    <n v="0"/>
    <n v="0"/>
    <x v="0"/>
    <x v="12"/>
  </r>
  <r>
    <s v="istree_exp6_rebuilding_time/step10063.txt"/>
    <x v="1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118517312"/>
    <n v="1000528"/>
    <n v="1000118517312"/>
    <n v="1000528"/>
    <s v="success"/>
    <n v="6"/>
    <n v="33060"/>
    <n v="1032612"/>
    <n v="1065672"/>
    <n v="1000528"/>
    <n v="32.234499999999997"/>
    <n v="0.96892900000000004"/>
    <n v="3.0000499999999999"/>
    <n v="19166576"/>
    <s v="250 349953 605647 2576051"/>
    <s v="223 349653 605491 2576030"/>
    <m/>
    <n v="254344"/>
    <n v="5751310691220"/>
    <n v="29403380691"/>
    <n v="1282416639861"/>
    <n v="28057220916"/>
    <n v="16925153397"/>
    <n v="8581668510"/>
    <n v="11033461871"/>
    <n v="0"/>
    <n v="111447483"/>
    <n v="11033461871"/>
    <n v="11144909354"/>
    <n v="183891031"/>
    <n v="0"/>
    <n v="1857458"/>
    <n v="183891031"/>
    <n v="185748489"/>
    <n v="8.2376799999999992"/>
    <n v="0.233931"/>
    <n v="1432.12"/>
    <n v="382.60899999999998"/>
    <n v="2124"/>
    <n v="151"/>
    <n v="59.909486366875001"/>
    <n v="14.222750660156251"/>
    <n v="223"/>
    <n v="349653"/>
    <n v="605491"/>
    <n v="2576030"/>
    <n v="0"/>
    <n v="0"/>
    <x v="0"/>
    <x v="12"/>
  </r>
  <r>
    <s v="istree_exp6_rebuilding_time/step10064.txt"/>
    <x v="1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940540337"/>
    <n v="1000778"/>
    <n v="999940540337"/>
    <n v="1000778"/>
    <s v="success"/>
    <n v="6"/>
    <n v="51076"/>
    <n v="1069430"/>
    <n v="1120506"/>
    <n v="1000778"/>
    <n v="21.937999999999999"/>
    <n v="0.935805"/>
    <n v="3.0376799999999999"/>
    <n v="21214560"/>
    <s v="335 837260 150046 2331076"/>
    <s v="287 836607 149954 2331042"/>
    <m/>
    <n v="146734"/>
    <n v="8619366375495"/>
    <n v="51970604018"/>
    <n v="2659418347039"/>
    <n v="50792004834"/>
    <n v="22353174801"/>
    <n v="14376501302"/>
    <n v="14209883025"/>
    <n v="0"/>
    <n v="143536605"/>
    <n v="14209883025"/>
    <n v="14353419630"/>
    <n v="236831383"/>
    <n v="0"/>
    <n v="2392276"/>
    <n v="236831383"/>
    <n v="239223660"/>
    <n v="8.5047300000000003"/>
    <n v="0.33583400000000002"/>
    <n v="1644.59"/>
    <n v="400.74299999999999"/>
    <n v="2831"/>
    <n v="250"/>
    <n v="59.856710940937496"/>
    <n v="19.436879388847224"/>
    <n v="287"/>
    <n v="836607"/>
    <n v="149954"/>
    <n v="2331042"/>
    <n v="0"/>
    <n v="0"/>
    <x v="0"/>
    <x v="12"/>
  </r>
  <r>
    <s v="istree_exp6_rebuilding_time/step10065.txt"/>
    <x v="1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1000940993959"/>
    <n v="1000394"/>
    <n v="1000940993959"/>
    <n v="1000394"/>
    <s v="success"/>
    <n v="6"/>
    <n v="54677"/>
    <n v="1076541"/>
    <n v="1131218"/>
    <n v="1000394"/>
    <n v="20.6891"/>
    <n v="0.92926699999999995"/>
    <n v="3.04542"/>
    <n v="21621584"/>
    <s v="399 834399 405874 3338176"/>
    <s v="355 833520 405569 3338111"/>
    <m/>
    <n v="120698"/>
    <n v="11372789358217"/>
    <n v="63033762140"/>
    <n v="3913529403314"/>
    <n v="55232928256"/>
    <n v="28873313413"/>
    <n v="15537305669"/>
    <n v="17591448571"/>
    <n v="0"/>
    <n v="177693255"/>
    <n v="17591448571"/>
    <n v="17769141826"/>
    <n v="293190809"/>
    <n v="0"/>
    <n v="2961554"/>
    <n v="293190809"/>
    <n v="296152363"/>
    <n v="8.5404900000000001"/>
    <n v="0.39095299999999999"/>
    <n v="1757.99"/>
    <n v="411.048"/>
    <n v="2745"/>
    <n v="332"/>
    <n v="59.856786095878945"/>
    <n v="21.453719541010525"/>
    <n v="355"/>
    <n v="833520"/>
    <n v="405569"/>
    <n v="3338111"/>
    <n v="0"/>
    <n v="0"/>
    <x v="0"/>
    <x v="12"/>
  </r>
  <r>
    <s v="istree_exp6_rebuilding_time/step10066.txt"/>
    <x v="1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99984156365097"/>
    <n v="9996873"/>
    <n v="99984156365097"/>
    <n v="9996873"/>
    <s v="success"/>
    <n v="7"/>
    <n v="1703625"/>
    <n v="11607873"/>
    <n v="13311498"/>
    <n v="9996873"/>
    <n v="7.8136299999999999"/>
    <n v="0.86121499999999995"/>
    <n v="4.0158899999999997"/>
    <n v="322022960"/>
    <s v="3 11085 320852 2923323 9834"/>
    <s v="3 11085 320851 2923321 9834"/>
    <m/>
    <n v="716836"/>
    <n v="1436561030889"/>
    <n v="5082620150"/>
    <n v="62471427012"/>
    <n v="7159089437"/>
    <n v="5025667056"/>
    <n v="1770840850"/>
    <n v="1975970546"/>
    <n v="0"/>
    <n v="19966015"/>
    <n v="1975970546"/>
    <n v="1995936561"/>
    <n v="32932842"/>
    <n v="0"/>
    <n v="332766"/>
    <n v="32932842"/>
    <n v="33265609"/>
    <n v="16.114799999999999"/>
    <n v="5.88443"/>
    <n v="2010.05"/>
    <n v="1236.2"/>
    <n v="2662"/>
    <n v="177"/>
    <n v="59.856709620375"/>
    <n v="3.3962351877083332"/>
    <n v="3"/>
    <n v="11085"/>
    <n v="320851"/>
    <n v="2923321"/>
    <n v="9834"/>
    <n v="0"/>
    <x v="1"/>
    <x v="13"/>
  </r>
  <r>
    <s v="istree_exp6_rebuilding_time/step10067.txt"/>
    <x v="1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13366553398"/>
    <n v="10001206"/>
    <n v="100013366553398"/>
    <n v="10001206"/>
    <s v="success"/>
    <n v="7"/>
    <n v="1907456"/>
    <n v="12037904"/>
    <n v="13945360"/>
    <n v="10001206"/>
    <n v="7.3109700000000002"/>
    <n v="0.83081000000000005"/>
    <n v="4.0562100000000001"/>
    <n v="345238480"/>
    <s v="6 18676 416739 4684917 14822"/>
    <s v="6 18673 416735 4684917 14822"/>
    <m/>
    <n v="284434"/>
    <n v="2873122086599"/>
    <n v="10952003195"/>
    <n v="293761101538"/>
    <n v="16574352223"/>
    <n v="11487522620"/>
    <n v="4606506079"/>
    <n v="3263314818"/>
    <n v="0"/>
    <n v="32963671"/>
    <n v="3263314818"/>
    <n v="3296278489"/>
    <n v="54388580"/>
    <n v="0"/>
    <n v="549394"/>
    <n v="54388580"/>
    <n v="54937974"/>
    <n v="16.0273"/>
    <n v="5.9777899999999997"/>
    <n v="2431.3000000000002"/>
    <n v="1492.23"/>
    <n v="2789"/>
    <n v="183"/>
    <n v="59.856710137479162"/>
    <n v="7.0287809511458335"/>
    <n v="6"/>
    <n v="18673"/>
    <n v="416735"/>
    <n v="4684917"/>
    <n v="14822"/>
    <n v="0"/>
    <x v="1"/>
    <x v="13"/>
  </r>
  <r>
    <s v="istree_exp6_rebuilding_time/step10068.txt"/>
    <x v="1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17942623099"/>
    <n v="10000874"/>
    <n v="100017942623099"/>
    <n v="10000874"/>
    <s v="success"/>
    <n v="7"/>
    <n v="1904757"/>
    <n v="12035454"/>
    <n v="13940211"/>
    <n v="10000874"/>
    <n v="7.3186299999999997"/>
    <n v="0.830951"/>
    <n v="4.05558"/>
    <n v="344990400"/>
    <s v="12 37957 567407 8694224 25127"/>
    <s v="12 37953 567393 8694214 25127"/>
    <m/>
    <n v="135068"/>
    <n v="5746244409577"/>
    <n v="22713891300"/>
    <n v="1195501802313"/>
    <n v="32586297427"/>
    <n v="35924137028"/>
    <n v="9535475696"/>
    <n v="6260115693"/>
    <n v="0"/>
    <n v="63247013"/>
    <n v="6260115693"/>
    <n v="6323362706"/>
    <n v="104335261"/>
    <n v="0"/>
    <n v="1054116"/>
    <n v="104335261"/>
    <n v="105389378"/>
    <n v="15.985200000000001"/>
    <n v="6.3826700000000001"/>
    <n v="2521.67"/>
    <n v="1243.69"/>
    <n v="3298"/>
    <n v="239"/>
    <n v="59.856712599760414"/>
    <n v="13.502725039208334"/>
    <n v="12"/>
    <n v="37953"/>
    <n v="567393"/>
    <n v="8694214"/>
    <n v="25127"/>
    <n v="0"/>
    <x v="1"/>
    <x v="13"/>
  </r>
  <r>
    <s v="istree_exp6_rebuilding_time/step10069.txt"/>
    <x v="1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27627517754"/>
    <n v="9992151"/>
    <n v="99927627517754"/>
    <n v="9992151"/>
    <s v="success"/>
    <n v="7"/>
    <n v="1898113"/>
    <n v="12004834"/>
    <n v="13902947"/>
    <n v="9992151"/>
    <n v="7.3246200000000004"/>
    <n v="0.83234399999999997"/>
    <n v="4.0547199999999997"/>
    <n v="343952064"/>
    <s v="16 50609 424573 11020032 27259"/>
    <s v="16 50607 424551 11020000 27259"/>
    <m/>
    <n v="80264"/>
    <n v="8619658283280"/>
    <n v="30440256076"/>
    <n v="2559726281817"/>
    <n v="41439312584"/>
    <n v="76692718236"/>
    <n v="12858943359"/>
    <n v="8158795421"/>
    <n v="0"/>
    <n v="82427824"/>
    <n v="8158795421"/>
    <n v="8241223245"/>
    <n v="135979923"/>
    <n v="0"/>
    <n v="1373797"/>
    <n v="135979923"/>
    <n v="137353720"/>
    <n v="16.0304"/>
    <n v="6.5119800000000003"/>
    <n v="2886.25"/>
    <n v="1250.71"/>
    <n v="3556"/>
    <n v="324"/>
    <n v="59.858738078333332"/>
    <n v="18.896927167166666"/>
    <n v="16"/>
    <n v="50607"/>
    <n v="424551"/>
    <n v="11020000"/>
    <n v="27259"/>
    <n v="0"/>
    <x v="1"/>
    <x v="13"/>
  </r>
  <r>
    <s v="istree_exp6_rebuilding_time/step10070.txt"/>
    <x v="1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5829864427"/>
    <n v="10000513"/>
    <n v="100005829864427"/>
    <n v="10000513"/>
    <s v="success"/>
    <n v="7"/>
    <n v="1774116"/>
    <n v="11744745"/>
    <n v="13518861"/>
    <n v="10000513"/>
    <n v="7.62005"/>
    <n v="0.85148800000000002"/>
    <n v="4.0296799999999999"/>
    <n v="329846704"/>
    <s v="21 63257 533047 13432192 33595"/>
    <s v="20 63257 533017 13432159 33595"/>
    <m/>
    <n v="60914"/>
    <n v="11373080244637"/>
    <n v="39595689360"/>
    <n v="3905000094869"/>
    <n v="50487942237"/>
    <n v="131610427157"/>
    <n v="15854543849"/>
    <n v="9976978274"/>
    <n v="0"/>
    <n v="100789054"/>
    <n v="9976978274"/>
    <n v="10077767328"/>
    <n v="166282971"/>
    <n v="0"/>
    <n v="1679817"/>
    <n v="166282971"/>
    <n v="167962788"/>
    <n v="16.086099999999998"/>
    <n v="6.6003499999999997"/>
    <n v="3107.82"/>
    <n v="1246.3900000000001"/>
    <n v="4044"/>
    <n v="412"/>
    <n v="59.858317077036844"/>
    <n v="21.802887881431577"/>
    <n v="20"/>
    <n v="63257"/>
    <n v="533017"/>
    <n v="13432159"/>
    <n v="33595"/>
    <n v="0"/>
    <x v="1"/>
    <x v="13"/>
  </r>
  <r>
    <s v="istree_exp6_rebuilding_time/step10071.txt"/>
    <x v="1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7864416918E+16"/>
    <n v="100001462"/>
    <n v="1.00007864416918E+16"/>
    <n v="100001462"/>
    <s v="success"/>
    <n v="7"/>
    <n v="14109528"/>
    <n v="116376318"/>
    <n v="130485846"/>
    <n v="100001462"/>
    <n v="9.2480700000000002"/>
    <n v="0.859294"/>
    <n v="4.0641600000000002"/>
    <n v="2993211152"/>
    <s v="0 0 5 593841 197841"/>
    <s v="0 0 5 593841 197841"/>
    <m/>
    <n v="627772"/>
    <n v="1436561104118"/>
    <n v="287298186"/>
    <m/>
    <n v="804304661"/>
    <n v="1700788488"/>
    <n v="109870119"/>
    <n v="1687603966"/>
    <n v="0"/>
    <n v="17049755"/>
    <n v="1687603966"/>
    <n v="1704653721"/>
    <n v="28126732"/>
    <n v="0"/>
    <n v="284162"/>
    <n v="28126732"/>
    <n v="28410895"/>
    <n v="18.945599999999999"/>
    <n v="8.2702100000000005"/>
    <n v="2355.42"/>
    <n v="1758.3"/>
    <n v="7481"/>
    <n v="1560"/>
    <n v="59.856712671583331"/>
    <n v="0.12092756058333333"/>
    <n v="0"/>
    <n v="0"/>
    <n v="5"/>
    <n v="593841"/>
    <n v="197841"/>
    <n v="0"/>
    <x v="2"/>
    <x v="14"/>
  </r>
  <r>
    <s v="istree_exp6_rebuilding_time/step10072.txt"/>
    <x v="1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9602802052E+16"/>
    <n v="100004271"/>
    <n v="1.00009602802052E+16"/>
    <n v="100004271"/>
    <s v="success"/>
    <n v="7"/>
    <n v="14924937"/>
    <n v="118210463"/>
    <n v="133135400"/>
    <n v="100004271"/>
    <n v="8.9203299999999999"/>
    <n v="0.84598499999999999"/>
    <n v="4.0817300000000003"/>
    <n v="3089475360"/>
    <s v="0 0 14167 2018021 418674"/>
    <s v="0 0 14167 2018021 418674"/>
    <m/>
    <n v="271016"/>
    <n v="2873122610948"/>
    <n v="1436279402"/>
    <m/>
    <n v="3451734586"/>
    <n v="5517656523"/>
    <n v="595698095"/>
    <n v="2973254393"/>
    <n v="0"/>
    <n v="30023298"/>
    <n v="2973254393"/>
    <n v="3003277691"/>
    <n v="49554239"/>
    <n v="0"/>
    <n v="500388"/>
    <n v="49554239"/>
    <n v="50054628"/>
    <n v="19.057700000000001"/>
    <n v="8.3723100000000006"/>
    <n v="2672.02"/>
    <n v="1987.52"/>
    <n v="7813"/>
    <n v="1267"/>
    <n v="59.856721061416664"/>
    <n v="0.22919517929166666"/>
    <n v="0"/>
    <n v="0"/>
    <n v="14167"/>
    <n v="2018021"/>
    <n v="418674"/>
    <n v="0"/>
    <x v="2"/>
    <x v="14"/>
  </r>
  <r>
    <s v="istree_exp6_rebuilding_time/step10073.txt"/>
    <x v="1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880119606320"/>
    <n v="99997037"/>
    <n v="9999880119606320"/>
    <n v="99997037"/>
    <s v="success"/>
    <n v="7"/>
    <n v="11213383"/>
    <n v="110405234"/>
    <n v="121618617"/>
    <n v="99997037"/>
    <n v="10.845800000000001"/>
    <n v="0.90572699999999995"/>
    <n v="4.0040800000000001"/>
    <n v="2663567568"/>
    <s v="1 9909 394078 3999086 672897"/>
    <s v="1 9908 394077 3999086 672897"/>
    <m/>
    <n v="106506"/>
    <n v="5770847361750"/>
    <n v="19178773352"/>
    <n v="791139479060"/>
    <n v="27634537496"/>
    <n v="59845443299"/>
    <n v="7862051820"/>
    <n v="5031606795"/>
    <n v="0"/>
    <n v="50824403"/>
    <n v="5031606795"/>
    <n v="5082431198"/>
    <n v="83860113"/>
    <n v="0"/>
    <n v="847073"/>
    <n v="83860113"/>
    <n v="84707186"/>
    <n v="19.439599999999999"/>
    <n v="9.34511"/>
    <n v="3142.41"/>
    <n v="1958.08"/>
    <n v="13116"/>
    <n v="1092"/>
    <n v="60.112993351562501"/>
    <n v="9.4339613023645832"/>
    <n v="1"/>
    <n v="9908"/>
    <n v="394077"/>
    <n v="3999086"/>
    <n v="672897"/>
    <n v="0"/>
    <x v="2"/>
    <x v="14"/>
  </r>
  <r>
    <s v="istree_exp6_rebuilding_time/step10074.txt"/>
    <x v="1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9438249558420"/>
    <n v="100003206"/>
    <n v="9999438249558420"/>
    <n v="100003206"/>
    <s v="success"/>
    <n v="7"/>
    <n v="14757272"/>
    <n v="117818337"/>
    <n v="132575609"/>
    <n v="100003206"/>
    <n v="8.9837500000000006"/>
    <n v="0.84879199999999999"/>
    <n v="4.0781400000000003"/>
    <n v="3069328240"/>
    <s v="1 9998 351564 5343767 1010038"/>
    <s v="1 9998 351562 5343767 1010038"/>
    <m/>
    <n v="73260"/>
    <n v="8638139129781"/>
    <n v="20699128953"/>
    <n v="1233334304294"/>
    <n v="31101067837"/>
    <n v="79521188758"/>
    <n v="8906343098"/>
    <n v="7468145565"/>
    <n v="0"/>
    <n v="75432986"/>
    <n v="7468145565"/>
    <n v="7543578551"/>
    <n v="124469092"/>
    <n v="0"/>
    <n v="1257216"/>
    <n v="124469092"/>
    <n v="125726309"/>
    <n v="19.259699999999999"/>
    <n v="9.4517000000000007"/>
    <n v="3151.34"/>
    <n v="1944.45"/>
    <n v="13512"/>
    <n v="1100"/>
    <n v="59.987077290145834"/>
    <n v="9.53862522875"/>
    <n v="1"/>
    <n v="9998"/>
    <n v="351562"/>
    <n v="5343767"/>
    <n v="1010038"/>
    <n v="0"/>
    <x v="2"/>
    <x v="14"/>
  </r>
  <r>
    <s v="istree_exp6_rebuilding_time/step10075.txt"/>
    <x v="1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9999347632320250"/>
    <n v="99993732"/>
    <n v="9999347632320250"/>
    <n v="99993732"/>
    <s v="success"/>
    <n v="7"/>
    <n v="12539839"/>
    <n v="113106941"/>
    <n v="125646780"/>
    <n v="99993732"/>
    <n v="10.0198"/>
    <n v="0.88406399999999996"/>
    <n v="4.0297299999999998"/>
    <n v="2814320144"/>
    <s v="1 16181 676307 7718972 1305517"/>
    <s v="1 16181 676305 7718969 1305517"/>
    <m/>
    <n v="56466"/>
    <n v="11410174154160"/>
    <n v="31313596709"/>
    <n v="1653200287601"/>
    <n v="45577729767"/>
    <n v="306935608988"/>
    <n v="12624139006"/>
    <n v="9484597892"/>
    <n v="0"/>
    <n v="95804252"/>
    <n v="9484597892"/>
    <n v="9580402144"/>
    <n v="158076631"/>
    <n v="0"/>
    <n v="1596737"/>
    <n v="158076631"/>
    <n v="159673369"/>
    <n v="19.416"/>
    <n v="9.6370100000000001"/>
    <n v="3229.5"/>
    <n v="1968.81"/>
    <n v="13550"/>
    <n v="1099"/>
    <n v="60.053548179789473"/>
    <n v="10.787638747742106"/>
    <n v="1"/>
    <n v="16181"/>
    <n v="676305"/>
    <n v="7718969"/>
    <n v="1305517"/>
    <n v="0"/>
    <x v="2"/>
    <x v="14"/>
  </r>
  <r>
    <s v="istree_exp6_rebuilding_time/step10076.txt"/>
    <x v="1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378040401E+18"/>
    <n v="1000003708"/>
    <n v="1.00000378040401E+18"/>
    <n v="1000003708"/>
    <s v="success"/>
    <n v="7"/>
    <n v="87194667"/>
    <n v="1084271474"/>
    <n v="1171466141"/>
    <n v="1000003708"/>
    <n v="13.4351"/>
    <n v="0.92228200000000005"/>
    <n v="4.0054800000000004"/>
    <n v="24324153040"/>
    <s v="0 0 0 1333 15068"/>
    <s v="0 0 0 1333 15068"/>
    <m/>
    <n v="404110"/>
    <n v="1436564848815"/>
    <n v="5249542"/>
    <m/>
    <n v="24978333"/>
    <n v="837267724"/>
    <n v="1694532"/>
    <n v="1089467410"/>
    <n v="0"/>
    <n v="11003449"/>
    <n v="1089467410"/>
    <n v="1100470859"/>
    <n v="18157790"/>
    <n v="0"/>
    <n v="183390"/>
    <n v="18157790"/>
    <n v="18341180"/>
    <n v="22.076000000000001"/>
    <n v="12.883900000000001"/>
    <n v="3647.81"/>
    <n v="2918.63"/>
    <n v="59443"/>
    <n v="16128"/>
    <n v="59.856868700625"/>
    <n v="3.6216255458333332E-2"/>
    <n v="0"/>
    <n v="0"/>
    <n v="0"/>
    <n v="1333"/>
    <n v="15068"/>
    <n v="0"/>
    <x v="3"/>
    <x v="15"/>
  </r>
  <r>
    <s v="istree_exp6_rebuilding_time/step10077.txt"/>
    <x v="1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699707353997E+17"/>
    <n v="999995418"/>
    <n v="9.9999699707353997E+17"/>
    <n v="999995418"/>
    <s v="success"/>
    <n v="7"/>
    <n v="89412299"/>
    <n v="1088724703"/>
    <n v="1178137002"/>
    <n v="999995418"/>
    <n v="13.176500000000001"/>
    <n v="0.91850200000000004"/>
    <n v="4.00997"/>
    <n v="24573364512"/>
    <s v="0 0 0 8199 49145"/>
    <s v="0 0 0 8199 49145"/>
    <m/>
    <n v="181120"/>
    <n v="2873128975617"/>
    <n v="30146302"/>
    <m/>
    <n v="105445160"/>
    <n v="3090654608"/>
    <n v="11575965"/>
    <n v="1993832899"/>
    <n v="0"/>
    <n v="20144225"/>
    <n v="1993832899"/>
    <n v="2013977124"/>
    <n v="33230548"/>
    <n v="0"/>
    <n v="335737"/>
    <n v="33230548"/>
    <n v="33566285"/>
    <n v="22.011700000000001"/>
    <n v="12.932700000000001"/>
    <n v="3986.39"/>
    <n v="3323.04"/>
    <n v="59814"/>
    <n v="12951"/>
    <n v="59.856853658687498"/>
    <n v="6.7454625729166676E-2"/>
    <n v="0"/>
    <n v="0"/>
    <n v="0"/>
    <n v="8199"/>
    <n v="49145"/>
    <n v="0"/>
    <x v="3"/>
    <x v="15"/>
  </r>
  <r>
    <s v="istree_exp6_rebuilding_time/step10078.txt"/>
    <x v="1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1.00000616263882E+18"/>
    <n v="1000003371"/>
    <n v="1.00000616263882E+18"/>
    <n v="1000003371"/>
    <s v="success"/>
    <n v="7"/>
    <n v="95147090"/>
    <n v="1100295551"/>
    <n v="1195442641"/>
    <n v="1000003371"/>
    <n v="12.5642"/>
    <n v="0.90885000000000005"/>
    <n v="4.0216900000000004"/>
    <n v="25220058736"/>
    <s v="0 0 0 86440 229019"/>
    <s v="0 0 0 86440 229019"/>
    <m/>
    <n v="99140"/>
    <n v="5746256862808"/>
    <n v="195044873"/>
    <m/>
    <n v="619896909"/>
    <n v="10144440321"/>
    <n v="106387621"/>
    <n v="4419865668"/>
    <n v="0"/>
    <n v="44638679"/>
    <n v="4419865668"/>
    <n v="4464504347"/>
    <n v="73664427"/>
    <n v="0"/>
    <n v="743977"/>
    <n v="73664427"/>
    <n v="74408405"/>
    <n v="22.0518"/>
    <n v="13.763299999999999"/>
    <n v="3592.56"/>
    <n v="2874.93"/>
    <n v="60708"/>
    <n v="9931"/>
    <n v="59.856842320916662"/>
    <n v="0.11526843462500001"/>
    <n v="0"/>
    <n v="0"/>
    <n v="0"/>
    <n v="86440"/>
    <n v="229019"/>
    <n v="0"/>
    <x v="3"/>
    <x v="15"/>
  </r>
  <r>
    <s v="istree_exp6_rebuilding_time/step10079.txt"/>
    <x v="1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1458622353E+18"/>
    <n v="1000001719"/>
    <n v="1.00001458622353E+18"/>
    <n v="1000001719"/>
    <s v="success"/>
    <n v="7"/>
    <n v="100005645"/>
    <n v="1110171918"/>
    <n v="1210177563"/>
    <n v="1000001719"/>
    <n v="12.101100000000001"/>
    <n v="0.90076299999999998"/>
    <n v="4.0317600000000002"/>
    <n v="25770526272"/>
    <s v="0 0 0 281274 487598"/>
    <s v="0 0 0 281274 487598"/>
    <m/>
    <n v="65728"/>
    <n v="8619384319149"/>
    <n v="521980594"/>
    <m/>
    <n v="1566331348"/>
    <n v="13183351492"/>
    <n v="313642781"/>
    <n v="6617489716"/>
    <n v="0"/>
    <n v="66859509"/>
    <n v="6617489716"/>
    <n v="6684349225"/>
    <n v="110291495"/>
    <n v="0"/>
    <n v="1114325"/>
    <n v="110291495"/>
    <n v="111405820"/>
    <n v="22.065000000000001"/>
    <n v="13.985799999999999"/>
    <n v="3598.48"/>
    <n v="2865.97"/>
    <n v="61558"/>
    <n v="9481"/>
    <n v="59.85683554964583"/>
    <n v="0.10823129315972221"/>
    <n v="0"/>
    <n v="0"/>
    <n v="0"/>
    <n v="281274"/>
    <n v="487598"/>
    <n v="0"/>
    <x v="3"/>
    <x v="15"/>
  </r>
  <r>
    <s v="istree_exp6_rebuilding_time/step10080.txt"/>
    <x v="1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9613497836902E+17"/>
    <n v="1000001517"/>
    <n v="9.9999613497836902E+17"/>
    <n v="1000001517"/>
    <s v="success"/>
    <n v="7"/>
    <n v="104154432"/>
    <n v="1118670239"/>
    <n v="1222824671"/>
    <n v="1000001517"/>
    <n v="11.740500000000001"/>
    <n v="0.89392000000000005"/>
    <n v="4.0404600000000004"/>
    <n v="26242715744"/>
    <s v="0 0 0 605872 794673"/>
    <s v="0 0 0 605872 794673"/>
    <m/>
    <n v="51160"/>
    <n v="11372797185806"/>
    <n v="1020440408"/>
    <m/>
    <n v="2908688177"/>
    <n v="14707702552"/>
    <n v="598867589"/>
    <n v="8651354318"/>
    <n v="0"/>
    <n v="87392537"/>
    <n v="8651354318"/>
    <n v="8738746855"/>
    <n v="144189238"/>
    <n v="0"/>
    <n v="1456542"/>
    <n v="144189238"/>
    <n v="145645780"/>
    <n v="22.1953"/>
    <n v="14.136900000000001"/>
    <n v="3631"/>
    <n v="2892.03"/>
    <n v="62234"/>
    <n v="9041"/>
    <n v="59.856827293715781"/>
    <n v="0.10124051961052631"/>
    <n v="0"/>
    <n v="0"/>
    <n v="0"/>
    <n v="605872"/>
    <n v="794673"/>
    <n v="0"/>
    <x v="3"/>
    <x v="15"/>
  </r>
  <r>
    <s v="istree_exp6_rebuilding_time/step10081.txt"/>
    <x v="1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452414171"/>
    <n v="1000754"/>
    <n v="1000452414171"/>
    <n v="1000754"/>
    <s v="success"/>
    <n v="6"/>
    <n v="83930"/>
    <n v="1138938"/>
    <n v="1222868"/>
    <n v="1000754"/>
    <n v="14.5701"/>
    <n v="0.87867300000000004"/>
    <n v="3.11158"/>
    <n v="25049232"/>
    <s v="767 498063 7166600 8016559"/>
    <s v="554 497246 7165781 8016475"/>
    <m/>
    <n v="1050518"/>
    <n v="1436563527675"/>
    <n v="24764323416"/>
    <n v="430603094582"/>
    <n v="29846166428"/>
    <n v="11929017469"/>
    <n v="12520933755"/>
    <n v="2496907682"/>
    <n v="0"/>
    <n v="277434927"/>
    <n v="2496907682"/>
    <n v="2774342609"/>
    <n v="41615128"/>
    <n v="0"/>
    <n v="4623915"/>
    <n v="41615128"/>
    <n v="46239043"/>
    <n v="9.8332200000000007"/>
    <n v="0.38775500000000002"/>
    <n v="1441.99"/>
    <n v="344.678"/>
    <n v="1682"/>
    <n v="30"/>
    <n v="59.856813653124995"/>
    <n v="21.235980652083331"/>
    <n v="554"/>
    <n v="497246"/>
    <n v="7165781"/>
    <n v="8016475"/>
    <n v="0"/>
    <n v="0"/>
    <x v="4"/>
    <x v="16"/>
  </r>
  <r>
    <s v="istree_exp6_rebuilding_time/step10082.txt"/>
    <x v="1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1038448851"/>
    <n v="1000680"/>
    <n v="1001038448851"/>
    <n v="1000680"/>
    <s v="success"/>
    <n v="6"/>
    <n v="33047"/>
    <n v="1032739"/>
    <n v="1065786"/>
    <n v="1000680"/>
    <n v="32.250599999999999"/>
    <n v="0.96895699999999996"/>
    <n v="3.0000200000000001"/>
    <n v="19167568"/>
    <s v="905 609130 5782629 8393447"/>
    <s v="617 608541 5780708 8393301"/>
    <m/>
    <n v="291910"/>
    <n v="2873232618201"/>
    <n v="44236112326"/>
    <n v="1448776454934"/>
    <n v="50086558255"/>
    <n v="21639148415"/>
    <n v="21516230807"/>
    <n v="2776191916"/>
    <n v="0"/>
    <n v="308438875"/>
    <n v="2776191916"/>
    <n v="3084630791"/>
    <n v="46269865"/>
    <n v="0"/>
    <n v="5140647"/>
    <n v="46269865"/>
    <n v="51410513"/>
    <n v="9.8468300000000006"/>
    <n v="0.47510400000000003"/>
    <n v="2586.37"/>
    <n v="501.40899999999999"/>
    <n v="2064"/>
    <n v="30"/>
    <n v="59.859012879187503"/>
    <n v="33.046968848687499"/>
    <n v="617"/>
    <n v="608541"/>
    <n v="5780708"/>
    <n v="8393301"/>
    <n v="0"/>
    <n v="0"/>
    <x v="4"/>
    <x v="16"/>
  </r>
  <r>
    <s v="istree_exp6_rebuilding_time/step10083.txt"/>
    <x v="1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879382844"/>
    <n v="999810"/>
    <n v="999879382844"/>
    <n v="999810"/>
    <s v="success"/>
    <n v="6"/>
    <n v="52584"/>
    <n v="1071746"/>
    <n v="1124330"/>
    <n v="999810"/>
    <n v="21.381599999999999"/>
    <n v="0.93288000000000004"/>
    <n v="3.0411000000000001"/>
    <n v="21375856"/>
    <s v="1114 1078920 1868255 7938109"/>
    <s v="687 1073072 1865304 7937755"/>
    <m/>
    <n v="84866"/>
    <n v="5746269928052"/>
    <n v="107822187016"/>
    <n v="3812038751239"/>
    <n v="80553185712"/>
    <n v="51041420165"/>
    <n v="25656632252"/>
    <n v="3092480127"/>
    <n v="0"/>
    <n v="343602033"/>
    <n v="3092480127"/>
    <n v="3436082160"/>
    <n v="51541335"/>
    <n v="0"/>
    <n v="5726700"/>
    <n v="51541335"/>
    <n v="57268036"/>
    <n v="10.365399999999999"/>
    <n v="1.49119"/>
    <n v="4649.75"/>
    <n v="783.14200000000005"/>
    <n v="2938"/>
    <n v="149"/>
    <n v="59.856978417208332"/>
    <n v="42.469918503999999"/>
    <n v="687"/>
    <n v="1073072"/>
    <n v="1865304"/>
    <n v="7937755"/>
    <n v="0"/>
    <n v="0"/>
    <x v="4"/>
    <x v="16"/>
  </r>
  <r>
    <s v="istree_exp6_rebuilding_time/step10084.txt"/>
    <x v="1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1380323421"/>
    <n v="1001060"/>
    <n v="1001380323421"/>
    <n v="1001060"/>
    <s v="success"/>
    <n v="6"/>
    <n v="33071"/>
    <n v="1033169"/>
    <n v="1066240"/>
    <n v="1001060"/>
    <n v="32.240900000000003"/>
    <n v="0.96892199999999995"/>
    <n v="3.00007"/>
    <n v="19176368"/>
    <s v="1206 1983498 357084 5518020"/>
    <s v="680 1974123 355726 5517597"/>
    <m/>
    <n v="44004"/>
    <n v="8626027479012"/>
    <n v="156317844885"/>
    <n v="6153434302968"/>
    <n v="117744858383"/>
    <n v="357440299605"/>
    <n v="32403466810"/>
    <n v="3057900265"/>
    <n v="0"/>
    <n v="339762943"/>
    <n v="3057900265"/>
    <n v="3397663208"/>
    <n v="50965004"/>
    <n v="0"/>
    <n v="5662715"/>
    <n v="50965004"/>
    <n v="56627720"/>
    <n v="11.4483"/>
    <n v="2.4249499999999999"/>
    <n v="6974.82"/>
    <n v="1004.6"/>
    <n v="3663"/>
    <n v="370"/>
    <n v="59.902968604249999"/>
    <n v="47.342644254520835"/>
    <n v="680"/>
    <n v="1974123"/>
    <n v="355726"/>
    <n v="5517597"/>
    <n v="0"/>
    <n v="0"/>
    <x v="4"/>
    <x v="16"/>
  </r>
  <r>
    <s v="istree_exp6_rebuilding_time/step10085.txt"/>
    <x v="1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977010635"/>
    <n v="1000193"/>
    <n v="999977010635"/>
    <n v="1000193"/>
    <s v="success"/>
    <n v="6"/>
    <n v="53608"/>
    <n v="1074025"/>
    <n v="1127633"/>
    <n v="1000193"/>
    <n v="21.034800000000001"/>
    <n v="0.931257"/>
    <n v="3.0429200000000001"/>
    <n v="21492256"/>
    <s v="1452 1970008 957412 7869751"/>
    <s v="838 1958156 953944 7869063"/>
    <m/>
    <n v="37426"/>
    <n v="11372842134892"/>
    <n v="202290053778"/>
    <n v="7822897022925"/>
    <n v="124298156124"/>
    <n v="829380713682"/>
    <n v="33870620587"/>
    <n v="3771611624"/>
    <n v="0"/>
    <n v="419036791"/>
    <n v="3771611624"/>
    <n v="4190648415"/>
    <n v="62860193"/>
    <n v="0"/>
    <n v="6983946"/>
    <n v="62860193"/>
    <n v="69844140"/>
    <n v="11.5412"/>
    <n v="2.7721200000000001"/>
    <n v="7388.65"/>
    <n v="1130.05"/>
    <n v="3099"/>
    <n v="256"/>
    <n v="59.857063867852631"/>
    <n v="47.435455616294739"/>
    <n v="838"/>
    <n v="1958156"/>
    <n v="953944"/>
    <n v="7869063"/>
    <n v="0"/>
    <n v="0"/>
    <x v="4"/>
    <x v="16"/>
  </r>
  <r>
    <s v="istree_exp6_rebuilding_time/step10086.txt"/>
    <x v="1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26114405589"/>
    <n v="10001248"/>
    <n v="100026114405589"/>
    <n v="10001248"/>
    <s v="success"/>
    <n v="7"/>
    <n v="1625791"/>
    <n v="11443588"/>
    <n v="13069379"/>
    <n v="10001248"/>
    <n v="8.0387799999999991"/>
    <n v="0.87396099999999999"/>
    <n v="4"/>
    <n v="313160672"/>
    <s v="26 67018 1923648 17555442 58609"/>
    <s v="24 66954 1923608 17555416 58609"/>
    <m/>
    <n v="426984"/>
    <n v="1443604423203"/>
    <n v="31733986583"/>
    <n v="473338459708"/>
    <n v="37315642285"/>
    <n v="23907841000"/>
    <n v="11647333683"/>
    <n v="1079891428"/>
    <n v="0"/>
    <n v="119982203"/>
    <n v="1079891428"/>
    <n v="1199873631"/>
    <n v="17998190"/>
    <n v="0"/>
    <n v="1999703"/>
    <n v="17998190"/>
    <n v="19997893"/>
    <n v="17.979399999999998"/>
    <n v="7.1655100000000003"/>
    <n v="3344.44"/>
    <n v="1433.95"/>
    <n v="3359"/>
    <n v="154"/>
    <n v="60.150184300124998"/>
    <n v="24.080969302458332"/>
    <n v="24"/>
    <n v="66954"/>
    <n v="1923608"/>
    <n v="17555416"/>
    <n v="58609"/>
    <n v="0"/>
    <x v="5"/>
    <x v="17"/>
  </r>
  <r>
    <s v="istree_exp6_rebuilding_time/step10087.txt"/>
    <x v="1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84183561184"/>
    <n v="9998110"/>
    <n v="99984183561184"/>
    <n v="9998110"/>
    <s v="success"/>
    <n v="7"/>
    <n v="1894192"/>
    <n v="12001611"/>
    <n v="13895803"/>
    <n v="9998110"/>
    <n v="7.3360099999999999"/>
    <n v="0.83306400000000003"/>
    <n v="4.0538100000000004"/>
    <n v="343584000"/>
    <s v="41 96283 2107541 22334466 72317"/>
    <s v="31 96229 2107424 22334384 72317"/>
    <m/>
    <n v="137654"/>
    <n v="2873125679516"/>
    <n v="53405384641"/>
    <n v="1374035652011"/>
    <n v="65983274901"/>
    <n v="62277561364"/>
    <n v="20876779418"/>
    <n v="1415871540"/>
    <n v="0"/>
    <n v="157324781"/>
    <n v="1415871540"/>
    <n v="1573196321"/>
    <n v="23597859"/>
    <n v="0"/>
    <n v="2622079"/>
    <n v="23597859"/>
    <n v="26219938"/>
    <n v="18.157299999999999"/>
    <n v="7.3438699999999999"/>
    <n v="5067.88"/>
    <n v="1757.71"/>
    <n v="3757"/>
    <n v="204"/>
    <n v="59.856784989916669"/>
    <n v="32.845388590312503"/>
    <n v="31"/>
    <n v="96229"/>
    <n v="2107424"/>
    <n v="22334384"/>
    <n v="72317"/>
    <n v="0"/>
    <x v="5"/>
    <x v="17"/>
  </r>
  <r>
    <s v="istree_exp6_rebuilding_time/step10088.txt"/>
    <x v="1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23635474609"/>
    <n v="10002099"/>
    <n v="100023635474609"/>
    <n v="10002099"/>
    <s v="success"/>
    <n v="7"/>
    <n v="1853277"/>
    <n v="11914102"/>
    <n v="13767379"/>
    <n v="10002099"/>
    <n v="7.4286700000000003"/>
    <n v="0.83951799999999999"/>
    <n v="4.0455500000000004"/>
    <n v="338897168"/>
    <s v="72 113826 1658405 24819599 71834"/>
    <s v="36 113821 1658203 24819385 71834"/>
    <m/>
    <n v="47338"/>
    <n v="5746567954443"/>
    <n v="62595921422"/>
    <n v="3666525973369"/>
    <n v="79584422877"/>
    <n v="445795087513"/>
    <n v="24607923316"/>
    <n v="1633721611"/>
    <n v="0"/>
    <n v="181511645"/>
    <n v="1633721611"/>
    <n v="1815233256"/>
    <n v="27228693"/>
    <n v="0"/>
    <n v="3025194"/>
    <n v="27228693"/>
    <n v="30253887"/>
    <n v="18.2729"/>
    <n v="7.6767700000000003"/>
    <n v="8284.8700000000008"/>
    <n v="1648.38"/>
    <n v="4478"/>
    <n v="253"/>
    <n v="59.860082858781254"/>
    <n v="44.574055505177085"/>
    <n v="36"/>
    <n v="113821"/>
    <n v="1658203"/>
    <n v="24819385"/>
    <n v="71834"/>
    <n v="0"/>
    <x v="5"/>
    <x v="17"/>
  </r>
  <r>
    <s v="istree_exp6_rebuilding_time/step10089.txt"/>
    <x v="1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99971660485884"/>
    <n v="9997696"/>
    <n v="99971660485884"/>
    <n v="9997696"/>
    <s v="success"/>
    <n v="7"/>
    <n v="1625308"/>
    <n v="11439648"/>
    <n v="13064956"/>
    <n v="9997696"/>
    <n v="8.0384499999999992"/>
    <n v="0.87395100000000003"/>
    <n v="4.0000099999999996"/>
    <n v="313058992"/>
    <s v="52 110715 928461 23418174 59037"/>
    <s v="35 110710 928289 23417884 59037"/>
    <m/>
    <n v="27280"/>
    <n v="8650804601250"/>
    <n v="60272759222"/>
    <n v="5985527627255"/>
    <n v="77916397660"/>
    <n v="1074348868880"/>
    <n v="25285996811"/>
    <n v="1575225978"/>
    <n v="0"/>
    <n v="175029688"/>
    <n v="1575225978"/>
    <n v="1750255666"/>
    <n v="26253766"/>
    <n v="0"/>
    <n v="2917161"/>
    <n v="26253766"/>
    <n v="29170927"/>
    <n v="18.3828"/>
    <n v="7.9800599999999999"/>
    <n v="12194"/>
    <n v="1633.67"/>
    <n v="4745"/>
    <n v="359"/>
    <n v="60.075031953124999"/>
    <n v="50.162164234916666"/>
    <n v="35"/>
    <n v="110710"/>
    <n v="928289"/>
    <n v="23417884"/>
    <n v="59037"/>
    <n v="0"/>
    <x v="5"/>
    <x v="17"/>
  </r>
  <r>
    <s v="istree_exp6_rebuilding_time/step10090.txt"/>
    <x v="1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81477004973"/>
    <n v="9997430"/>
    <n v="99981477004973"/>
    <n v="9997430"/>
    <s v="success"/>
    <n v="7"/>
    <n v="1625325"/>
    <n v="11439399"/>
    <n v="13064724"/>
    <n v="9997430"/>
    <n v="8.0382200000000008"/>
    <n v="0.87394700000000003"/>
    <n v="4.0000099999999996"/>
    <n v="313056368"/>
    <s v="58 113880 961929 24092625 60625"/>
    <s v="36 113869 961737 24092267 60624"/>
    <m/>
    <n v="19824"/>
    <n v="11449173431213"/>
    <n v="63449042916"/>
    <n v="7969529268421"/>
    <n v="82356412426"/>
    <n v="1831766763461"/>
    <n v="25642336974"/>
    <n v="1619693609"/>
    <n v="0"/>
    <n v="179954214"/>
    <n v="1619693609"/>
    <n v="1799647823"/>
    <n v="26994893"/>
    <n v="0"/>
    <n v="2999236"/>
    <n v="26994893"/>
    <n v="29994130"/>
    <n v="18.490600000000001"/>
    <n v="8.1856299999999997"/>
    <n v="14972.3"/>
    <n v="1657.7"/>
    <n v="5140"/>
    <n v="387"/>
    <n v="60.258807532699997"/>
    <n v="52.488125390515791"/>
    <n v="36"/>
    <n v="113869"/>
    <n v="961737"/>
    <n v="24092267"/>
    <n v="60624"/>
    <n v="0"/>
    <x v="5"/>
    <x v="17"/>
  </r>
  <r>
    <s v="istree_exp6_rebuilding_time/step10091.txt"/>
    <x v="1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9885017261650"/>
    <n v="99996743"/>
    <n v="9999885017261650"/>
    <n v="99996743"/>
    <s v="success"/>
    <n v="7"/>
    <n v="11010009"/>
    <n v="109996753"/>
    <n v="121006762"/>
    <n v="99996743"/>
    <n v="10.990600000000001"/>
    <n v="0.90908800000000001"/>
    <n v="4"/>
    <n v="2640748752"/>
    <s v="2 12734 994217 8434617 1382514"/>
    <s v="2 12722 994215 8434616 1382514"/>
    <m/>
    <n v="365614"/>
    <n v="1469870895930"/>
    <n v="24222579104"/>
    <n v="444620473380"/>
    <n v="31848658053"/>
    <n v="29681711833"/>
    <n v="10079732204"/>
    <n v="900146590"/>
    <n v="0"/>
    <n v="100023039"/>
    <n v="900146590"/>
    <n v="1000169629"/>
    <n v="15002443"/>
    <n v="0"/>
    <n v="1667050"/>
    <n v="15002443"/>
    <n v="16669493"/>
    <n v="21.054200000000002"/>
    <n v="9.5873100000000004"/>
    <n v="4020.3"/>
    <n v="2032.47"/>
    <n v="9853"/>
    <n v="1555"/>
    <n v="61.244620663749998"/>
    <n v="22.518881440583332"/>
    <n v="2"/>
    <n v="12722"/>
    <n v="994215"/>
    <n v="8434616"/>
    <n v="1382514"/>
    <n v="0"/>
    <x v="6"/>
    <x v="18"/>
  </r>
  <r>
    <s v="istree_exp6_rebuilding_time/step10092.txt"/>
    <x v="1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8320079014260"/>
    <n v="99982017"/>
    <n v="9998320079014260"/>
    <n v="99982017"/>
    <s v="success"/>
    <n v="7"/>
    <n v="11010010"/>
    <n v="109982036"/>
    <n v="120992046"/>
    <n v="99982017"/>
    <n v="10.9893"/>
    <n v="0.909076"/>
    <n v="4"/>
    <n v="2640513360"/>
    <s v="3 25759 1409907 12477461 2055523"/>
    <s v="3 25741 1409900 12477452 2055522"/>
    <m/>
    <n v="135956"/>
    <n v="3331372608743"/>
    <n v="57223913020"/>
    <n v="1394060886424"/>
    <n v="70568470556"/>
    <n v="188172138847"/>
    <n v="21031748814"/>
    <n v="1349617897"/>
    <n v="0"/>
    <n v="149982406"/>
    <n v="1349617897"/>
    <n v="1499600303"/>
    <n v="22493631"/>
    <n v="0"/>
    <n v="2499706"/>
    <n v="22493631"/>
    <n v="24993338"/>
    <n v="21.654199999999999"/>
    <n v="9.8567300000000007"/>
    <n v="5923.62"/>
    <n v="2393.41"/>
    <n v="13295"/>
    <n v="1295"/>
    <n v="69.403596015479167"/>
    <n v="36.063690784604169"/>
    <n v="3"/>
    <n v="25741"/>
    <n v="1409900"/>
    <n v="12477452"/>
    <n v="2055522"/>
    <n v="0"/>
    <x v="6"/>
    <x v="18"/>
  </r>
  <r>
    <s v="istree_exp6_rebuilding_time/step10093.txt"/>
    <x v="1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8231459971740"/>
    <n v="99986570"/>
    <n v="9998231459971740"/>
    <n v="99986570"/>
    <s v="success"/>
    <n v="7"/>
    <n v="14758868"/>
    <n v="117810043"/>
    <n v="132568911"/>
    <n v="99986570"/>
    <n v="8.9823199999999996"/>
    <n v="0.84870999999999996"/>
    <n v="4.0782299999999996"/>
    <n v="3069345344"/>
    <s v="4 29728 1186178 13445054 2360317"/>
    <s v="3 29721 1186161 13445039 2360315"/>
    <m/>
    <n v="49318"/>
    <n v="5765863199937"/>
    <n v="58942624265"/>
    <n v="2616213292012"/>
    <n v="73791058234"/>
    <n v="1120818663848"/>
    <n v="20481752434"/>
    <n v="1579477784"/>
    <n v="0"/>
    <n v="175480186"/>
    <n v="1579477784"/>
    <n v="1754957970"/>
    <n v="26324629"/>
    <n v="0"/>
    <n v="2924669"/>
    <n v="26324629"/>
    <n v="29249299"/>
    <n v="21.7607"/>
    <n v="10.4626"/>
    <n v="7526.74"/>
    <n v="2277.61"/>
    <n v="13236"/>
    <n v="1132"/>
    <n v="60.061074999343752"/>
    <n v="40.523410320760412"/>
    <n v="3"/>
    <n v="29721"/>
    <n v="1186161"/>
    <n v="13445039"/>
    <n v="2360315"/>
    <n v="0"/>
    <x v="6"/>
    <x v="18"/>
  </r>
  <r>
    <s v="istree_exp6_rebuilding_time/step10094.txt"/>
    <x v="1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9443230234470"/>
    <n v="99992696"/>
    <n v="9999443230234470"/>
    <n v="99992696"/>
    <s v="success"/>
    <n v="7"/>
    <n v="12951061"/>
    <n v="113973026"/>
    <n v="126924087"/>
    <n v="99992696"/>
    <n v="9.8002800000000008"/>
    <n v="0.87733700000000003"/>
    <n v="4.0380900000000004"/>
    <n v="2861591552"/>
    <s v="6 34751 1378029 15518315 2637813"/>
    <s v="3 34751 1377999 15518292 2637812"/>
    <m/>
    <n v="33610"/>
    <n v="8640307566706"/>
    <n v="67012914539"/>
    <n v="3971757745945"/>
    <n v="101141839991"/>
    <n v="2372317085598"/>
    <n v="22938263274"/>
    <n v="1759165467"/>
    <n v="0"/>
    <n v="195454894"/>
    <n v="1759165467"/>
    <n v="1954620361"/>
    <n v="29319424"/>
    <n v="0"/>
    <n v="3257581"/>
    <n v="29319424"/>
    <n v="32577006"/>
    <n v="21.9481"/>
    <n v="10.790100000000001"/>
    <n v="9292.6299999999992"/>
    <n v="2311.7199999999998"/>
    <n v="17323"/>
    <n v="1056"/>
    <n v="60.002135879902781"/>
    <n v="45.383110064909722"/>
    <n v="3"/>
    <n v="34751"/>
    <n v="1377999"/>
    <n v="15518292"/>
    <n v="2637812"/>
    <n v="0"/>
    <x v="6"/>
    <x v="18"/>
  </r>
  <r>
    <s v="istree_exp6_rebuilding_time/step10096.txt"/>
    <x v="1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1.00001926493677E+18"/>
    <n v="1000006262"/>
    <n v="1.00001926493677E+18"/>
    <n v="1000006262"/>
    <s v="success"/>
    <n v="7"/>
    <n v="107456426"/>
    <n v="1125482854"/>
    <n v="1232939280"/>
    <n v="1000006262"/>
    <n v="11.4739"/>
    <n v="0.888513"/>
    <n v="4.0474399999999999"/>
    <n v="26620144096"/>
    <s v="0 0 0 1024028 1105348"/>
    <s v="0 0 0 1024028 1105348"/>
    <m/>
    <n v="388644"/>
    <n v="1436562374035"/>
    <n v="872649003"/>
    <m/>
    <n v="1785405558"/>
    <n v="2220458535"/>
    <n v="245178066"/>
    <n v="946250583"/>
    <n v="0"/>
    <n v="105124490"/>
    <n v="946250583"/>
    <n v="1051375073"/>
    <n v="15770843"/>
    <n v="0"/>
    <n v="1752074"/>
    <n v="15770843"/>
    <n v="17522917"/>
    <n v="22.944800000000001"/>
    <n v="13.476800000000001"/>
    <n v="3811.72"/>
    <n v="3045.87"/>
    <n v="61805"/>
    <n v="16110"/>
    <n v="59.856765584791667"/>
    <n v="0.21348713175"/>
    <n v="0"/>
    <n v="0"/>
    <n v="0"/>
    <n v="1024028"/>
    <n v="1105348"/>
    <n v="0"/>
    <x v="7"/>
    <x v="19"/>
  </r>
  <r>
    <s v="istree_exp6_rebuilding_time/step10097.txt"/>
    <x v="1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7822820635699E+17"/>
    <n v="999995659"/>
    <n v="9.9997822820635699E+17"/>
    <n v="999995659"/>
    <s v="success"/>
    <n v="7"/>
    <n v="119403296"/>
    <n v="1150699082"/>
    <n v="1270102378"/>
    <n v="999995659"/>
    <n v="10.6371"/>
    <n v="0.86903300000000006"/>
    <n v="4.0732299999999997"/>
    <n v="28000485520"/>
    <s v="0 0 0 4932497 2912421"/>
    <s v="0 0 0 4932497 2912421"/>
    <m/>
    <n v="171972"/>
    <n v="2873124682383"/>
    <n v="5191055744"/>
    <m/>
    <n v="9196681269"/>
    <n v="9175489162"/>
    <n v="1763535676"/>
    <n v="1704608727"/>
    <n v="0"/>
    <n v="189389624"/>
    <n v="1704608727"/>
    <n v="1893998351"/>
    <n v="28410145"/>
    <n v="0"/>
    <n v="3156493"/>
    <n v="28410145"/>
    <n v="31566639"/>
    <n v="23.151399999999999"/>
    <n v="13.6998"/>
    <n v="4230.93"/>
    <n v="3524.49"/>
    <n v="63677"/>
    <n v="12555"/>
    <n v="59.856764216312506"/>
    <n v="0.52764087189583331"/>
    <n v="0"/>
    <n v="0"/>
    <n v="0"/>
    <n v="4932497"/>
    <n v="2912421"/>
    <n v="0"/>
    <x v="7"/>
    <x v="19"/>
  </r>
  <r>
    <s v="istree_exp6_rebuilding_time/step10098.txt"/>
    <x v="1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9561946075098E+17"/>
    <n v="999994135"/>
    <n v="9.9999561946075098E+17"/>
    <n v="999994135"/>
    <s v="success"/>
    <n v="7"/>
    <n v="126249664"/>
    <n v="1167288942"/>
    <n v="1293538606"/>
    <n v="999994135"/>
    <n v="10.245900000000001"/>
    <n v="0.85668100000000003"/>
    <n v="4.0892900000000001"/>
    <n v="28841019872"/>
    <s v="0 0 456404 25865558 7897184"/>
    <s v="0 0 456403 25865553 7897184"/>
    <m/>
    <n v="90336"/>
    <n v="5746249627696"/>
    <n v="32883047286"/>
    <n v="348154"/>
    <n v="46015861003"/>
    <n v="41393331340"/>
    <n v="11426464499"/>
    <n v="3604987022"/>
    <n v="0"/>
    <n v="400580080"/>
    <n v="3604987022"/>
    <n v="4005567102"/>
    <n v="60083117"/>
    <n v="0"/>
    <n v="6676334"/>
    <n v="60083117"/>
    <n v="66759451"/>
    <n v="23.607700000000001"/>
    <n v="14.677199999999999"/>
    <n v="3997.34"/>
    <n v="3224.78"/>
    <n v="66653"/>
    <n v="9985"/>
    <n v="59.85676695516667"/>
    <n v="1.3720734612708334"/>
    <n v="0"/>
    <n v="0"/>
    <n v="456403"/>
    <n v="25865553"/>
    <n v="7897184"/>
    <n v="0"/>
    <x v="7"/>
    <x v="19"/>
  </r>
  <r>
    <s v="istree_exp6_rebuilding_time/step10100.txt"/>
    <x v="1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4756237762803E+17"/>
    <n v="999967026"/>
    <n v="9.9994756237762803E+17"/>
    <n v="999967026"/>
    <s v="success"/>
    <n v="7"/>
    <n v="84465089"/>
    <n v="1078771653"/>
    <n v="1163236742"/>
    <n v="999967026"/>
    <n v="13.771800000000001"/>
    <n v="0.92695000000000005"/>
    <n v="4"/>
    <n v="24017553552"/>
    <s v="1 31597 2150038 33455622 9428166"/>
    <s v="1 31595 2150030 33455614 9428166"/>
    <m/>
    <n v="28374"/>
    <n v="20726419412509"/>
    <n v="232979490870"/>
    <n v="12653473091583"/>
    <n v="310858274841"/>
    <n v="179473603866"/>
    <n v="87433341714"/>
    <n v="4500155324"/>
    <n v="0"/>
    <n v="499973364"/>
    <n v="4500155324"/>
    <n v="5000128688"/>
    <n v="75002588"/>
    <n v="0"/>
    <n v="8332889"/>
    <n v="75002588"/>
    <n v="83335478"/>
    <n v="25.147099999999998"/>
    <n v="15.9932"/>
    <n v="11476.3"/>
    <n v="3544.29"/>
    <n v="104111"/>
    <n v="9065"/>
    <n v="109.08641796057368"/>
    <n v="70.864304225652631"/>
    <n v="1"/>
    <n v="31595"/>
    <n v="2150030"/>
    <n v="33455614"/>
    <n v="9428166"/>
    <n v="0"/>
    <x v="7"/>
    <x v="19"/>
  </r>
  <r>
    <s v="istree_exp6_rebuilding_time/step10101.txt"/>
    <x v="1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1102416254"/>
    <n v="1000551"/>
    <n v="1001102416254"/>
    <n v="1000551"/>
    <s v="success"/>
    <n v="6"/>
    <n v="70024"/>
    <n v="1110378"/>
    <n v="1180402"/>
    <n v="1000551"/>
    <n v="16.857099999999999"/>
    <n v="0.90108999999999995"/>
    <n v="3.0812200000000001"/>
    <n v="23454032"/>
    <s v="1914 899498 12934419 14435746"/>
    <s v="1000 895972 12930870 14435437"/>
    <m/>
    <n v="510284"/>
    <n v="1436557344927"/>
    <n v="45640466022"/>
    <n v="751191045444"/>
    <n v="51007825569"/>
    <n v="17929851046"/>
    <n v="22287400470"/>
    <n v="750530744"/>
    <n v="0"/>
    <n v="500367273"/>
    <n v="750530744"/>
    <n v="1250898017"/>
    <n v="12508845"/>
    <n v="0"/>
    <n v="8339454"/>
    <n v="12508845"/>
    <n v="20848300"/>
    <n v="14.850300000000001"/>
    <n v="1.2583"/>
    <n v="3194.38"/>
    <n v="594.85"/>
    <n v="1754"/>
    <n v="28"/>
    <n v="59.856556038625001"/>
    <n v="37.002357856291667"/>
    <n v="1000"/>
    <n v="895972"/>
    <n v="12930870"/>
    <n v="14435437"/>
    <n v="0"/>
    <n v="0"/>
    <x v="8"/>
    <x v="20"/>
  </r>
  <r>
    <s v="istree_exp6_rebuilding_time/step10102.txt"/>
    <x v="1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0207369527"/>
    <n v="999967"/>
    <n v="1000207369527"/>
    <n v="999967"/>
    <s v="success"/>
    <n v="6"/>
    <n v="33019"/>
    <n v="1031996"/>
    <n v="1065015"/>
    <n v="999967"/>
    <n v="32.254600000000003"/>
    <n v="0.96896400000000005"/>
    <n v="3.0000300000000002"/>
    <n v="19153440"/>
    <s v="2296 890855 8450278 12271907"/>
    <s v="902 888687 8444063 12271291"/>
    <m/>
    <n v="119568"/>
    <n v="2874469811660"/>
    <n v="69756090385"/>
    <n v="2045297743408"/>
    <n v="70773427797"/>
    <n v="30407258098"/>
    <n v="30850078252"/>
    <n v="676506475"/>
    <n v="0"/>
    <n v="450934976"/>
    <n v="676506475"/>
    <n v="1127441451"/>
    <n v="11275107"/>
    <n v="0"/>
    <n v="7515582"/>
    <n v="11275107"/>
    <n v="18790690"/>
    <n v="14.9154"/>
    <n v="1.63174"/>
    <n v="7093.6"/>
    <n v="984.38"/>
    <n v="2203"/>
    <n v="82"/>
    <n v="59.884787742916664"/>
    <n v="46.814262457083338"/>
    <n v="902"/>
    <n v="888687"/>
    <n v="8444063"/>
    <n v="12271291"/>
    <n v="0"/>
    <n v="0"/>
    <x v="8"/>
    <x v="20"/>
  </r>
  <r>
    <s v="istree_exp6_rebuilding_time/step10103.txt"/>
    <x v="1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1001054380913"/>
    <n v="1000650"/>
    <n v="1001054380913"/>
    <n v="1000650"/>
    <s v="success"/>
    <n v="6"/>
    <n v="33054"/>
    <n v="1032726"/>
    <n v="1065780"/>
    <n v="1000650"/>
    <n v="32.243600000000001"/>
    <n v="0.96894000000000002"/>
    <n v="3.0000399999999998"/>
    <n v="19167920"/>
    <s v="1805 1201604 2080587 8838437"/>
    <s v="765 1189961 2074939 8837631"/>
    <m/>
    <n v="33460"/>
    <n v="5750483629599"/>
    <n v="134931937164"/>
    <n v="4408129400097"/>
    <n v="91707764395"/>
    <n v="307024984583"/>
    <n v="28547332209"/>
    <n v="573459344"/>
    <n v="0"/>
    <n v="382335843"/>
    <n v="573459344"/>
    <n v="955795187"/>
    <n v="9557655"/>
    <n v="0"/>
    <n v="6372264"/>
    <n v="9557655"/>
    <n v="15929919"/>
    <n v="17.249300000000002"/>
    <n v="5.5177100000000001"/>
    <n v="16511.099999999999"/>
    <n v="2198.79"/>
    <n v="3007"/>
    <n v="120"/>
    <n v="59.900871141656246"/>
    <n v="51.774389775499998"/>
    <n v="765"/>
    <n v="1189961"/>
    <n v="2074939"/>
    <n v="8837631"/>
    <n v="0"/>
    <n v="0"/>
    <x v="8"/>
    <x v="20"/>
  </r>
  <r>
    <s v="istree_exp6_rebuilding_time/step10104.txt"/>
    <x v="1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966940677"/>
    <n v="1000042"/>
    <n v="999966940677"/>
    <n v="1000042"/>
    <s v="success"/>
    <n v="6"/>
    <n v="33067"/>
    <n v="1032138"/>
    <n v="1065205"/>
    <n v="1000042"/>
    <n v="32.213500000000003"/>
    <n v="0.96890299999999996"/>
    <n v="3.0000599999999999"/>
    <n v="19159552"/>
    <s v="1676 2066442 371828 5745691"/>
    <s v="708 2050553 369694 5744922"/>
    <m/>
    <n v="16214"/>
    <n v="8621737744560"/>
    <n v="191362325158"/>
    <n v="6707426087739"/>
    <n v="125870838287"/>
    <n v="739343911799"/>
    <n v="32740270489"/>
    <n v="530574558"/>
    <n v="0"/>
    <n v="353720866"/>
    <n v="530574558"/>
    <n v="884295424"/>
    <n v="8842909"/>
    <n v="0"/>
    <n v="5895347"/>
    <n v="8842909"/>
    <n v="14738257"/>
    <n v="20.719000000000001"/>
    <n v="8.8373100000000004"/>
    <n v="26075.200000000001"/>
    <n v="2925.61"/>
    <n v="3677"/>
    <n v="181"/>
    <n v="59.873178781666667"/>
    <n v="54.144051621333332"/>
    <n v="708"/>
    <n v="2050553"/>
    <n v="369694"/>
    <n v="5744922"/>
    <n v="0"/>
    <n v="0"/>
    <x v="8"/>
    <x v="20"/>
  </r>
  <r>
    <s v="istree_exp6_rebuilding_time/step10105.txt"/>
    <x v="1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862918120"/>
    <n v="999659"/>
    <n v="999862918120"/>
    <n v="999659"/>
    <s v="success"/>
    <n v="6"/>
    <n v="33040"/>
    <n v="1031738"/>
    <n v="1064778"/>
    <n v="999659"/>
    <n v="32.226900000000001"/>
    <n v="0.96890799999999999"/>
    <n v="3.0000800000000001"/>
    <n v="19150992"/>
    <s v="1390 1682299 817820 6715630"/>
    <s v="716 1671125 813215 6714673"/>
    <m/>
    <n v="10774"/>
    <n v="11380453015829"/>
    <n v="202711759053"/>
    <n v="9014167954705"/>
    <n v="119751427155"/>
    <n v="1097386391220"/>
    <n v="29855967589"/>
    <n v="536456089"/>
    <n v="0"/>
    <n v="357662195"/>
    <n v="536456089"/>
    <n v="894118284"/>
    <n v="8940934"/>
    <n v="0"/>
    <n v="5961036"/>
    <n v="8940934"/>
    <n v="14901971"/>
    <n v="20.813099999999999"/>
    <n v="9.6488899999999997"/>
    <n v="33925.1"/>
    <n v="3467.2"/>
    <n v="4016"/>
    <n v="331"/>
    <n v="59.897121135942108"/>
    <n v="55.073018419589474"/>
    <n v="716"/>
    <n v="1671125"/>
    <n v="813215"/>
    <n v="6714673"/>
    <n v="0"/>
    <n v="0"/>
    <x v="8"/>
    <x v="20"/>
  </r>
  <r>
    <s v="istree_exp6_rebuilding_time/step10106.txt"/>
    <x v="1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100030731504316"/>
    <n v="10004278"/>
    <n v="100030731504316"/>
    <n v="10004278"/>
    <s v="success"/>
    <n v="7"/>
    <n v="1625788"/>
    <n v="11446619"/>
    <n v="13072407"/>
    <n v="10004278"/>
    <n v="8.0406600000000008"/>
    <n v="0.87399400000000005"/>
    <n v="4"/>
    <n v="313208928"/>
    <s v="66 120216 3446020 31467715 104714"/>
    <s v="43 119986 3445846 31467562 104714"/>
    <m/>
    <n v="207582"/>
    <n v="1449747769141"/>
    <n v="54687518276"/>
    <n v="808432646344"/>
    <n v="63395568656"/>
    <n v="57527967573"/>
    <n v="20380873477"/>
    <n v="322465127"/>
    <n v="0"/>
    <n v="214993469"/>
    <n v="322465127"/>
    <n v="537458596"/>
    <n v="5374418"/>
    <n v="0"/>
    <n v="3583224"/>
    <n v="5374418"/>
    <n v="8957643"/>
    <n v="24.335899999999999"/>
    <n v="10.549200000000001"/>
    <n v="7442.04"/>
    <n v="1940.93"/>
    <n v="3851"/>
    <n v="155"/>
    <n v="60.406157047541662"/>
    <n v="41.851023930250001"/>
    <n v="43"/>
    <n v="119986"/>
    <n v="3445846"/>
    <n v="31467562"/>
    <n v="104714"/>
    <n v="0"/>
    <x v="9"/>
    <x v="21"/>
  </r>
  <r>
    <s v="istree_exp6_rebuilding_time/step10107.txt"/>
    <x v="1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21524036542"/>
    <n v="10002567"/>
    <n v="100021524036542"/>
    <n v="10002567"/>
    <s v="success"/>
    <n v="7"/>
    <n v="1625794"/>
    <n v="11444915"/>
    <n v="13070709"/>
    <n v="10002567"/>
    <n v="8.0395800000000008"/>
    <n v="0.87397499999999995"/>
    <n v="4"/>
    <n v="313182144"/>
    <s v="98 133663 2923178 30572614 99804"/>
    <s v="43 133495 2922822 30572263 99804"/>
    <m/>
    <n v="55862"/>
    <n v="2907394003258"/>
    <n v="70796252380"/>
    <n v="2043807477190"/>
    <n v="88198950074"/>
    <n v="150534119588"/>
    <n v="27383592738"/>
    <n v="322467831"/>
    <n v="0"/>
    <n v="214988411"/>
    <n v="322467831"/>
    <n v="537456242"/>
    <n v="5374463"/>
    <n v="0"/>
    <n v="3583140"/>
    <n v="5374463"/>
    <n v="8957604"/>
    <n v="24.885999999999999"/>
    <n v="11.0427"/>
    <n v="14731.2"/>
    <n v="2490.85"/>
    <n v="4392"/>
    <n v="168"/>
    <n v="60.570708401208329"/>
    <n v="49.598341499375003"/>
    <n v="43"/>
    <n v="133495"/>
    <n v="2922822"/>
    <n v="30572263"/>
    <n v="99804"/>
    <n v="0"/>
    <x v="9"/>
    <x v="21"/>
  </r>
  <r>
    <s v="istree_exp6_rebuilding_time/step10108.txt"/>
    <x v="1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9166614554"/>
    <n v="9998867"/>
    <n v="99999166614554"/>
    <n v="9998867"/>
    <s v="success"/>
    <n v="7"/>
    <n v="1625806"/>
    <n v="11441240"/>
    <n v="13067046"/>
    <n v="9998867"/>
    <n v="8.0372699999999995"/>
    <n v="0.87393200000000004"/>
    <n v="4"/>
    <n v="313124304"/>
    <s v="97 123321 1799132 26725067 78027"/>
    <s v="39 123296 1798866 26724591 78025"/>
    <m/>
    <n v="26634"/>
    <n v="5842078309617"/>
    <n v="65518077163"/>
    <n v="4113452061917"/>
    <n v="85217984391"/>
    <n v="1026530739455"/>
    <n v="26539070118"/>
    <n v="292496169"/>
    <n v="0"/>
    <n v="194994921"/>
    <n v="292496169"/>
    <n v="487491090"/>
    <n v="4874936"/>
    <n v="0"/>
    <n v="3249915"/>
    <n v="4874936"/>
    <n v="8124851"/>
    <n v="25.654800000000002"/>
    <n v="12.579000000000001"/>
    <n v="28184.6"/>
    <n v="2625.02"/>
    <n v="4598"/>
    <n v="219"/>
    <n v="60.854982391843748"/>
    <n v="55.388103469208339"/>
    <n v="39"/>
    <n v="123296"/>
    <n v="1798866"/>
    <n v="26724591"/>
    <n v="78025"/>
    <n v="0"/>
    <x v="9"/>
    <x v="21"/>
  </r>
  <r>
    <s v="istree_exp6_rebuilding_time/step10109.txt"/>
    <x v="1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23119051483"/>
    <n v="10000358"/>
    <n v="100023119051483"/>
    <n v="10000358"/>
    <s v="success"/>
    <n v="7"/>
    <n v="1625817"/>
    <n v="11442759"/>
    <n v="13068576"/>
    <n v="10000358"/>
    <n v="8.0381599999999995"/>
    <n v="0.873946"/>
    <n v="4.0000099999999996"/>
    <n v="313149488"/>
    <s v="81 117037 978979 24753403 61794"/>
    <s v="37 117025 978711 24752782 61792"/>
    <m/>
    <n v="15884"/>
    <n v="8708542431815"/>
    <n v="60229615318"/>
    <n v="6326957813413"/>
    <n v="80818531014"/>
    <n v="1702236063712"/>
    <n v="26084814677"/>
    <n v="277417587"/>
    <n v="0"/>
    <n v="184980488"/>
    <n v="277417587"/>
    <n v="462398075"/>
    <n v="4623626"/>
    <n v="0"/>
    <n v="3083008"/>
    <n v="4623626"/>
    <n v="7706634"/>
    <n v="25.900700000000001"/>
    <n v="13.180300000000001"/>
    <n v="42443.8"/>
    <n v="2700.3"/>
    <n v="4889"/>
    <n v="341"/>
    <n v="60.475989109826386"/>
    <n v="56.918936375930556"/>
    <n v="37"/>
    <n v="117025"/>
    <n v="978711"/>
    <n v="24752782"/>
    <n v="61792"/>
    <n v="0"/>
    <x v="9"/>
    <x v="21"/>
  </r>
  <r>
    <s v="istree_exp6_rebuilding_time/step10110.txt"/>
    <x v="1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08181123627"/>
    <n v="9999172"/>
    <n v="100008181123627"/>
    <n v="9999172"/>
    <s v="success"/>
    <n v="7"/>
    <n v="1625833"/>
    <n v="11441599"/>
    <n v="13067432"/>
    <n v="9999172"/>
    <n v="8.0373800000000006"/>
    <n v="0.87393100000000001"/>
    <n v="4.0000099999999996"/>
    <n v="313132208"/>
    <s v="92 120201 1013469 25426750 63455"/>
    <s v="38 120185 1013108 25425979 63451"/>
    <m/>
    <n v="11716"/>
    <n v="11553166772929"/>
    <n v="61360751953"/>
    <n v="8468037397182"/>
    <n v="86019049465"/>
    <n v="2386098517458"/>
    <n v="26188048103"/>
    <n v="284977879"/>
    <n v="0"/>
    <n v="189936616"/>
    <n v="284977879"/>
    <n v="474914495"/>
    <n v="4749631"/>
    <n v="0"/>
    <n v="3165610"/>
    <n v="4749631"/>
    <n v="7915241"/>
    <n v="26.225899999999999"/>
    <n v="13.717000000000001"/>
    <n v="53927.9"/>
    <n v="2865.2"/>
    <n v="5465"/>
    <n v="360"/>
    <n v="60.806140910152635"/>
    <n v="58.040546127163161"/>
    <n v="38"/>
    <n v="120185"/>
    <n v="1013108"/>
    <n v="25425979"/>
    <n v="63451"/>
    <n v="0"/>
    <x v="9"/>
    <x v="21"/>
  </r>
  <r>
    <s v="istree_exp6_rebuilding_time/step10111.txt"/>
    <x v="1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72195035920"/>
    <n v="99992972"/>
    <n v="9999572195035920"/>
    <n v="99992972"/>
    <s v="success"/>
    <n v="7"/>
    <n v="14415466"/>
    <n v="117041637"/>
    <n v="131457103"/>
    <n v="99992972"/>
    <n v="9.1191700000000004"/>
    <n v="0.85433700000000001"/>
    <n v="4.0677099999999999"/>
    <n v="3029565760"/>
    <s v="3 19156 1821228 16473694 2716288"/>
    <s v="3 19134 1821215 16473688 2716288"/>
    <m/>
    <n v="185244"/>
    <n v="1436604896730"/>
    <n v="41359403649"/>
    <n v="683021783657"/>
    <n v="53296947793"/>
    <n v="89167209709"/>
    <n v="16593658645"/>
    <n v="292417607"/>
    <n v="0"/>
    <n v="194928013"/>
    <n v="292417607"/>
    <n v="487345620"/>
    <n v="4873626"/>
    <n v="0"/>
    <n v="3248800"/>
    <n v="4873626"/>
    <n v="8122427"/>
    <n v="26.6248"/>
    <n v="12.519299999999999"/>
    <n v="7827.82"/>
    <n v="2670.41"/>
    <n v="12754"/>
    <n v="1560"/>
    <n v="59.858537363750003"/>
    <n v="36.809958477208333"/>
    <n v="3"/>
    <n v="19134"/>
    <n v="1821215"/>
    <n v="16473688"/>
    <n v="2716288"/>
    <n v="0"/>
    <x v="10"/>
    <x v="22"/>
  </r>
  <r>
    <s v="istree_exp6_rebuilding_time/step10112.txt"/>
    <x v="1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483762764750"/>
    <n v="100001771"/>
    <n v="9999483762764750"/>
    <n v="100001771"/>
    <s v="success"/>
    <n v="7"/>
    <n v="11011111"/>
    <n v="110002790"/>
    <n v="121013901"/>
    <n v="100001771"/>
    <n v="10.9902"/>
    <n v="0.909084"/>
    <n v="4"/>
    <n v="2640933504"/>
    <s v="5 34347 1878843 16637019 2743968"/>
    <s v="4 34325 1878813 16636994 2743967"/>
    <m/>
    <n v="54882"/>
    <n v="3226163869730"/>
    <n v="74764110549"/>
    <n v="1972122411261"/>
    <n v="90387614578"/>
    <n v="420368631423"/>
    <n v="27032035934"/>
    <n v="299974355"/>
    <n v="0"/>
    <n v="199969550"/>
    <n v="299974355"/>
    <n v="499943905"/>
    <n v="4999572"/>
    <n v="0"/>
    <n v="3332825"/>
    <n v="4999572"/>
    <n v="8332398"/>
    <n v="29.682700000000001"/>
    <n v="13.657299999999999"/>
    <n v="16441.8"/>
    <n v="3460.88"/>
    <n v="13295"/>
    <n v="1283"/>
    <n v="67.211747286041671"/>
    <n v="53.847391744687506"/>
    <n v="4"/>
    <n v="34325"/>
    <n v="1878813"/>
    <n v="16636994"/>
    <n v="2743967"/>
    <n v="0"/>
    <x v="10"/>
    <x v="22"/>
  </r>
  <r>
    <s v="istree_exp6_rebuilding_time/step10113.txt"/>
    <x v="1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847320166790"/>
    <n v="100001892"/>
    <n v="9999847320166790"/>
    <n v="100001892"/>
    <s v="success"/>
    <n v="7"/>
    <n v="11965067"/>
    <n v="111889856"/>
    <n v="123854923"/>
    <n v="100001892"/>
    <n v="10.3514"/>
    <n v="0.89375300000000002"/>
    <n v="4.0179799999999997"/>
    <n v="2748059584"/>
    <s v="8 38114 1573751 15971060 2679184"/>
    <s v="3 38110 1573708 15971019 2679181"/>
    <m/>
    <n v="28212"/>
    <n v="5762278610181"/>
    <n v="70244975573"/>
    <n v="2803571990653"/>
    <n v="84629859215"/>
    <n v="2134795208286"/>
    <n v="23212805434"/>
    <n v="297273708"/>
    <n v="0"/>
    <n v="198160773"/>
    <n v="297273708"/>
    <n v="495434481"/>
    <n v="4954561"/>
    <n v="0"/>
    <n v="3302679"/>
    <n v="4954561"/>
    <n v="8257241"/>
    <n v="30.192499999999999"/>
    <n v="15.0542"/>
    <n v="22036.6"/>
    <n v="3325.96"/>
    <n v="14416"/>
    <n v="1029"/>
    <n v="60.023735522718745"/>
    <n v="53.296404574593744"/>
    <n v="3"/>
    <n v="38110"/>
    <n v="1573708"/>
    <n v="15971019"/>
    <n v="2679181"/>
    <n v="0"/>
    <x v="10"/>
    <x v="22"/>
  </r>
  <r>
    <s v="istree_exp6_rebuilding_time/step10114.txt"/>
    <x v="1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789160343400"/>
    <n v="99995663"/>
    <n v="9998789160343400"/>
    <n v="99995663"/>
    <s v="success"/>
    <n v="7"/>
    <n v="12188211"/>
    <n v="112365404"/>
    <n v="124553615"/>
    <n v="99995663"/>
    <n v="10.219200000000001"/>
    <n v="0.88991500000000001"/>
    <n v="4.0225900000000001"/>
    <n v="2773870128"/>
    <s v="8 37443 1393780 15564110 2641957"/>
    <s v="3 37440 1393753 15564061 2641954"/>
    <m/>
    <n v="19584"/>
    <n v="8663760574181"/>
    <n v="66972440403"/>
    <n v="4264914999901"/>
    <n v="85936281693"/>
    <n v="3565469939503"/>
    <n v="22773868679"/>
    <n v="294657024"/>
    <n v="0"/>
    <n v="196438134"/>
    <n v="294657024"/>
    <n v="491095158"/>
    <n v="4910950"/>
    <n v="0"/>
    <n v="3273968"/>
    <n v="4910950"/>
    <n v="8184919"/>
    <n v="30.434000000000001"/>
    <n v="15.744199999999999"/>
    <n v="30433.8"/>
    <n v="3272.03"/>
    <n v="15602"/>
    <n v="1067"/>
    <n v="60.16500398736806"/>
    <n v="55.597691181798609"/>
    <n v="3"/>
    <n v="37440"/>
    <n v="1393753"/>
    <n v="15564061"/>
    <n v="2641954"/>
    <n v="0"/>
    <x v="10"/>
    <x v="22"/>
  </r>
  <r>
    <s v="istree_exp6_rebuilding_time/step10115.txt"/>
    <x v="1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9999515102696430"/>
    <n v="99993175"/>
    <n v="9999515102696430"/>
    <n v="99993175"/>
    <s v="success"/>
    <n v="7"/>
    <n v="11899807"/>
    <n v="111752788"/>
    <n v="123652595"/>
    <n v="99993175"/>
    <n v="10.3911"/>
    <n v="0.89477099999999998"/>
    <n v="4.0167999999999999"/>
    <n v="2740579232"/>
    <s v="4 38666 1372522 15519798 2642485"/>
    <s v="3 38666 1372480 15519748 2642479"/>
    <m/>
    <n v="16348"/>
    <n v="11426591651468"/>
    <n v="65799810350"/>
    <n v="5105465715324"/>
    <n v="87657789608"/>
    <n v="5467307820005"/>
    <n v="22701710318"/>
    <n v="295399401"/>
    <n v="0"/>
    <n v="196882557"/>
    <n v="295399401"/>
    <n v="492281958"/>
    <n v="4923323"/>
    <n v="0"/>
    <n v="3281375"/>
    <n v="4923323"/>
    <n v="8204699"/>
    <n v="30.9191"/>
    <n v="16.420200000000001"/>
    <n v="34678.5"/>
    <n v="3095.36"/>
    <n v="18533"/>
    <n v="1066"/>
    <n v="60.139956060357889"/>
    <n v="56.57333076634211"/>
    <n v="3"/>
    <n v="38666"/>
    <n v="1372480"/>
    <n v="15519748"/>
    <n v="2642479"/>
    <n v="0"/>
    <x v="10"/>
    <x v="22"/>
  </r>
  <r>
    <s v="istree_exp6_rebuilding_time/step10116.txt"/>
    <x v="1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5787318800602E+17"/>
    <n v="999992301"/>
    <n v="9.9995787318800602E+17"/>
    <n v="999992301"/>
    <s v="success"/>
    <n v="7"/>
    <n v="127998465"/>
    <n v="1170572059"/>
    <n v="1298570524"/>
    <n v="999992301"/>
    <n v="10.145200000000001"/>
    <n v="0.85427699999999995"/>
    <n v="4.0928199999999997"/>
    <n v="29033849840"/>
    <s v="0 0 123865 21306173 7017134"/>
    <s v="0 0 123865 21306173 7017134"/>
    <m/>
    <n v="338896"/>
    <n v="1436560924226"/>
    <n v="17495845976"/>
    <n v="16525"/>
    <n v="19590452885"/>
    <n v="22210022094"/>
    <n v="3761105892"/>
    <n v="540732941"/>
    <n v="0"/>
    <n v="360528120"/>
    <n v="540732941"/>
    <n v="901261061"/>
    <n v="9012215"/>
    <n v="0"/>
    <n v="6008802"/>
    <n v="9012215"/>
    <n v="15021017"/>
    <n v="26.0686"/>
    <n v="15.3779"/>
    <n v="4429.22"/>
    <n v="3518.46"/>
    <n v="62772"/>
    <n v="16532"/>
    <n v="59.856705176083331"/>
    <n v="2.6273934738333335"/>
    <n v="0"/>
    <n v="0"/>
    <n v="123865"/>
    <n v="21306173"/>
    <n v="7017134"/>
    <n v="0"/>
    <x v="11"/>
    <x v="23"/>
  </r>
  <r>
    <s v="istree_exp6_rebuilding_time/step10118.txt"/>
    <x v="1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6869400501005E+17"/>
    <n v="1000005100"/>
    <n v="9.9996869400501005E+17"/>
    <n v="1000005100"/>
    <s v="success"/>
    <n v="7"/>
    <n v="84465063"/>
    <n v="1078809672"/>
    <n v="1163274735"/>
    <n v="1000005100"/>
    <n v="13.7723"/>
    <n v="0.926952"/>
    <n v="4"/>
    <n v="24018159776"/>
    <s v="1 30982 2314269 33886216 9493867"/>
    <s v="1 30963 2314259 33886208 9493865"/>
    <m/>
    <n v="28270"/>
    <n v="9374433811672"/>
    <n v="171343922921"/>
    <n v="6619796655684"/>
    <n v="357732103035"/>
    <n v="135629901140"/>
    <n v="78035786054"/>
    <n v="750113279"/>
    <n v="0"/>
    <n v="500026012"/>
    <n v="750113279"/>
    <n v="1250139291"/>
    <n v="12501887"/>
    <n v="0"/>
    <n v="8333766"/>
    <n v="12501887"/>
    <n v="20835654"/>
    <n v="32.323799999999999"/>
    <n v="20.1053"/>
    <n v="20481.3"/>
    <n v="4456.13"/>
    <n v="88836"/>
    <n v="9650"/>
    <n v="97.650352204916658"/>
    <n v="76.693108008687503"/>
    <n v="1"/>
    <n v="30963"/>
    <n v="2314259"/>
    <n v="33886208"/>
    <n v="9493865"/>
    <n v="0"/>
    <x v="11"/>
    <x v="23"/>
  </r>
  <r>
    <s v="istree_exp6_rebuilding_time/step10119.txt"/>
    <x v="1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832874079206E+17"/>
    <n v="999983180"/>
    <n v="9.9998832874079206E+17"/>
    <n v="999983180"/>
    <s v="success"/>
    <n v="7"/>
    <n v="84465072"/>
    <n v="1078787770"/>
    <n v="1163252842"/>
    <n v="999983180"/>
    <n v="13.772"/>
    <n v="0.92695099999999997"/>
    <n v="4"/>
    <n v="24017810064"/>
    <s v="5 31579 2163336 33496526 9433176"/>
    <s v="1 31579 2163314 33496511 9433176"/>
    <m/>
    <n v="12746"/>
    <n v="12644241051996"/>
    <n v="173608516382"/>
    <n v="9983528066389"/>
    <n v="218647382321"/>
    <n v="142782731356"/>
    <n v="78007100848"/>
    <n v="750060458"/>
    <n v="0"/>
    <n v="500017757"/>
    <n v="750060458"/>
    <n v="1250078215"/>
    <n v="12501007"/>
    <n v="0"/>
    <n v="8333629"/>
    <n v="12501007"/>
    <n v="20834636"/>
    <n v="32.456499999999998"/>
    <n v="20.537700000000001"/>
    <n v="28106.1"/>
    <n v="4527.1499999999996"/>
    <n v="121345"/>
    <n v="9478"/>
    <n v="87.807229527749996"/>
    <n v="73.587318036777774"/>
    <n v="1"/>
    <n v="31579"/>
    <n v="2163314"/>
    <n v="33496511"/>
    <n v="9433176"/>
    <n v="0"/>
    <x v="11"/>
    <x v="23"/>
  </r>
  <r>
    <s v="istree_exp6_rebuilding_time/step10120.txt"/>
    <x v="1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0555509495E+18"/>
    <n v="1000008284"/>
    <n v="1.00000555509495E+18"/>
    <n v="1000008284"/>
    <s v="success"/>
    <n v="7"/>
    <n v="84465081"/>
    <n v="1078812878"/>
    <n v="1163277959"/>
    <n v="1000008284"/>
    <n v="13.7723"/>
    <n v="0.926952"/>
    <n v="4"/>
    <n v="24018212512"/>
    <s v="4 31577 2148708 33456921 9429444"/>
    <s v="1 31574 2148685 33456894 9429443"/>
    <m/>
    <n v="7664"/>
    <n v="16020817081082"/>
    <n v="177906355370"/>
    <n v="13267317564877"/>
    <n v="232639601930"/>
    <n v="165030863503"/>
    <n v="77669259130"/>
    <n v="749943106"/>
    <n v="0"/>
    <n v="499986658"/>
    <n v="749943106"/>
    <n v="1249929764"/>
    <n v="12499051"/>
    <n v="0"/>
    <n v="8333110"/>
    <n v="12499051"/>
    <n v="20832162"/>
    <n v="32.688699999999997"/>
    <n v="20.8565"/>
    <n v="35621"/>
    <n v="4684.8599999999997"/>
    <n v="121933"/>
    <n v="9125"/>
    <n v="84.320089900431569"/>
    <n v="73.266124446368423"/>
    <n v="1"/>
    <n v="31574"/>
    <n v="2148685"/>
    <n v="33456894"/>
    <n v="9429443"/>
    <n v="0"/>
    <x v="11"/>
    <x v="23"/>
  </r>
  <r>
    <s v="istree_exp6_rebuilding_time/step10121.txt"/>
    <x v="0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9729238979"/>
    <n v="999006"/>
    <n v="999729238979"/>
    <n v="999006"/>
    <s v="success"/>
    <n v="6"/>
    <n v="80809"/>
    <n v="1131699"/>
    <n v="1212508"/>
    <n v="999006"/>
    <n v="15.0046"/>
    <n v="0.88274900000000001"/>
    <n v="3.1050399999999998"/>
    <n v="24675808"/>
    <s v="98 84510 1223437 1371958"/>
    <s v="94 84499 1223420 1371957"/>
    <n v="7608"/>
    <n v="1752708"/>
    <n v="1436561302768"/>
    <n v="4168324044"/>
    <n v="38614883"/>
    <n v="5611402712"/>
    <n v="6549799027"/>
    <n v="2099519866"/>
    <n v="4690205131"/>
    <n v="0"/>
    <n v="47380845"/>
    <n v="4690205131"/>
    <n v="4737585976"/>
    <n v="78170085"/>
    <n v="0"/>
    <n v="789680"/>
    <n v="78170085"/>
    <n v="78959766"/>
    <n v="8.5459300000000002"/>
    <n v="9.7557199999999997E-2"/>
    <n v="847.39099999999996"/>
    <n v="285.47899999999998"/>
    <n v="1187"/>
    <n v="28"/>
    <n v="59.856720948666663"/>
    <n v="0.76948585550000004"/>
    <n v="94"/>
    <n v="84499"/>
    <n v="1223420"/>
    <n v="1371957"/>
    <n v="0"/>
    <n v="0"/>
    <x v="0"/>
    <x v="0"/>
  </r>
  <r>
    <s v="istree_exp6_rebuilding_time/step10122.txt"/>
    <x v="0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012469118"/>
    <n v="999889"/>
    <n v="1000012469118"/>
    <n v="999889"/>
    <s v="success"/>
    <n v="6"/>
    <n v="66586"/>
    <n v="1102221"/>
    <n v="1168807"/>
    <n v="999889"/>
    <n v="17.5533"/>
    <n v="0.90715800000000002"/>
    <n v="3.07315"/>
    <n v="23028480"/>
    <s v="157 144476 1374986 1996876"/>
    <s v="146 144461 1374899 1996869"/>
    <n v="33854"/>
    <n v="665278"/>
    <n v="2873122789254"/>
    <n v="10461296346"/>
    <n v="217165077"/>
    <n v="13809735629"/>
    <n v="12591296414"/>
    <n v="5227077317"/>
    <n v="7262321312"/>
    <n v="0"/>
    <n v="73371481"/>
    <n v="7262321312"/>
    <n v="7335692793"/>
    <n v="121038688"/>
    <n v="0"/>
    <n v="1222858"/>
    <n v="121038688"/>
    <n v="122261546"/>
    <n v="8.4546100000000006"/>
    <n v="0.109778"/>
    <n v="1086.3599999999999"/>
    <n v="393.94900000000001"/>
    <n v="1217"/>
    <n v="53"/>
    <n v="59.856724776124999"/>
    <n v="0.88138689131249992"/>
    <n v="146"/>
    <n v="144461"/>
    <n v="1374899"/>
    <n v="1996869"/>
    <n v="0"/>
    <n v="0"/>
    <x v="0"/>
    <x v="0"/>
  </r>
  <r>
    <s v="istree_exp6_rebuilding_time/step10123.txt"/>
    <x v="0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659782098"/>
    <n v="1000519"/>
    <n v="1000659782098"/>
    <n v="1000519"/>
    <s v="success"/>
    <n v="6"/>
    <n v="56681"/>
    <n v="1080724"/>
    <n v="1137405"/>
    <n v="1000519"/>
    <n v="20.066800000000001"/>
    <n v="0.925786"/>
    <n v="3.0494599999999998"/>
    <n v="21849696"/>
    <s v="307 430704 748057 3176729"/>
    <s v="274 430333 747875 3176702"/>
    <n v="172265"/>
    <n v="313626"/>
    <n v="5746245575844"/>
    <n v="36142670411"/>
    <n v="1142494737"/>
    <n v="47438139749"/>
    <n v="30999491401"/>
    <n v="41662939048"/>
    <n v="13589887894"/>
    <n v="0"/>
    <n v="137285308"/>
    <n v="13589887894"/>
    <n v="13727173202"/>
    <n v="226498131"/>
    <n v="0"/>
    <n v="2288088"/>
    <n v="226498131"/>
    <n v="228786220"/>
    <n v="8.5134299999999996"/>
    <n v="0.25029099999999999"/>
    <n v="1163.3699999999999"/>
    <n v="442.61200000000002"/>
    <n v="1280"/>
    <n v="250"/>
    <n v="59.856724748375001"/>
    <n v="1.6394347431874998"/>
    <n v="274"/>
    <n v="430333"/>
    <n v="747875"/>
    <n v="3176702"/>
    <n v="0"/>
    <n v="0"/>
    <x v="0"/>
    <x v="0"/>
  </r>
  <r>
    <s v="istree_exp6_rebuilding_time/step10124.txt"/>
    <x v="0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1000870099637"/>
    <n v="1000499"/>
    <n v="1000870099637"/>
    <n v="1000499"/>
    <s v="success"/>
    <n v="6"/>
    <n v="51880"/>
    <n v="1070555"/>
    <n v="1122435"/>
    <n v="1000499"/>
    <n v="21.635200000000001"/>
    <n v="0.93456099999999998"/>
    <n v="3.0391900000000001"/>
    <n v="21295456"/>
    <s v="431 1118563 201255 3116715"/>
    <s v="383 1117684 201139 3116671"/>
    <n v="424149"/>
    <n v="196460"/>
    <n v="8619369098321"/>
    <n v="68347677374"/>
    <n v="3485737618"/>
    <n v="101049725331"/>
    <n v="32884881350"/>
    <n v="120089953014"/>
    <n v="18986436237"/>
    <n v="0"/>
    <n v="191779680"/>
    <n v="18986436237"/>
    <n v="19178215917"/>
    <n v="316440603"/>
    <n v="0"/>
    <n v="3196328"/>
    <n v="316440603"/>
    <n v="319636931"/>
    <n v="8.6389499999999995"/>
    <n v="0.35938100000000001"/>
    <n v="1236.2"/>
    <n v="500.63600000000002"/>
    <n v="1367"/>
    <n v="271"/>
    <n v="59.856729849451391"/>
    <n v="2.2629026019930558"/>
    <n v="383"/>
    <n v="1117684"/>
    <n v="201139"/>
    <n v="3116671"/>
    <n v="0"/>
    <n v="0"/>
    <x v="0"/>
    <x v="0"/>
  </r>
  <r>
    <s v="istree_exp6_rebuilding_time/step10125.txt"/>
    <x v="0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1000223359138"/>
    <n v="1000155"/>
    <n v="1000223359138"/>
    <n v="1000155"/>
    <s v="success"/>
    <n v="6"/>
    <n v="55827"/>
    <n v="1078888"/>
    <n v="1134715"/>
    <n v="1000155"/>
    <n v="20.325600000000001"/>
    <n v="0.92702399999999996"/>
    <n v="3.0479699999999998"/>
    <n v="21754672"/>
    <s v="545 1145362 556527 4578905"/>
    <s v="488 1144195 556188 4578851"/>
    <n v="625952"/>
    <n v="167810"/>
    <n v="11372778844436"/>
    <n v="84751022989"/>
    <n v="6448688713"/>
    <n v="147817160261"/>
    <n v="42176387607"/>
    <n v="236416582357"/>
    <n v="24144789844"/>
    <n v="0"/>
    <n v="243920032"/>
    <n v="24144789844"/>
    <n v="24388709876"/>
    <n v="402413164"/>
    <n v="0"/>
    <n v="4065333"/>
    <n v="402413164"/>
    <n v="406478497"/>
    <n v="8.7175399999999996"/>
    <n v="0.41633300000000001"/>
    <n v="1284.0899999999999"/>
    <n v="545.82299999999998"/>
    <n v="1433"/>
    <n v="265"/>
    <n v="59.856730760189471"/>
    <n v="2.724262325931579"/>
    <n v="488"/>
    <n v="1144195"/>
    <n v="556188"/>
    <n v="4578851"/>
    <n v="0"/>
    <n v="0"/>
    <x v="0"/>
    <x v="0"/>
  </r>
  <r>
    <s v="istree_exp6_rebuilding_time/step10126.txt"/>
    <x v="0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11897880070"/>
    <n v="10000075"/>
    <n v="100011897880070"/>
    <n v="10000075"/>
    <s v="success"/>
    <n v="7"/>
    <n v="1801020"/>
    <n v="11801336"/>
    <n v="13602356"/>
    <n v="10000075"/>
    <n v="7.5525799999999998"/>
    <n v="0.84736800000000001"/>
    <n v="4.0350599999999996"/>
    <n v="332905584"/>
    <s v="5 11164 321169 3001691 9815"/>
    <s v="4 11160 321166 3001689 9815"/>
    <n v="847"/>
    <n v="757006"/>
    <n v="1436565900668"/>
    <n v="5922102907"/>
    <n v="11739384"/>
    <n v="8355052805"/>
    <n v="6515055633"/>
    <n v="2640474909"/>
    <n v="2081276128"/>
    <n v="0"/>
    <n v="21020708"/>
    <n v="2081276128"/>
    <n v="2102296836"/>
    <n v="34687935"/>
    <n v="0"/>
    <n v="350345"/>
    <n v="34687935"/>
    <n v="35038280"/>
    <n v="16.150200000000002"/>
    <n v="5.8975999999999997"/>
    <n v="1906.97"/>
    <n v="1231.7"/>
    <n v="2435"/>
    <n v="155"/>
    <n v="59.856912527833337"/>
    <n v="0.9768510682499999"/>
    <n v="4"/>
    <n v="11160"/>
    <n v="321166"/>
    <n v="3001689"/>
    <n v="9815"/>
    <n v="0"/>
    <x v="1"/>
    <x v="1"/>
  </r>
  <r>
    <s v="istree_exp6_rebuilding_time/step10127.txt"/>
    <x v="0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37664845726"/>
    <n v="10004831"/>
    <n v="100037664845726"/>
    <n v="10004831"/>
    <s v="success"/>
    <n v="7"/>
    <n v="1823690"/>
    <n v="11853454"/>
    <n v="13677144"/>
    <n v="10004831"/>
    <n v="7.4997100000000003"/>
    <n v="0.84404400000000002"/>
    <n v="4.0394899999999998"/>
    <n v="335555040"/>
    <s v="7 21762 475428 5081208 16329"/>
    <s v="7 21761 475423 5081208 16329"/>
    <n v="4413"/>
    <n v="313328"/>
    <n v="2873135521910"/>
    <n v="13473779588"/>
    <n v="131582406"/>
    <n v="21041440026"/>
    <n v="16143027565"/>
    <n v="6415955992"/>
    <n v="3587629031"/>
    <n v="0"/>
    <n v="36234687"/>
    <n v="3587629031"/>
    <n v="3623863718"/>
    <n v="59793817"/>
    <n v="0"/>
    <n v="603911"/>
    <n v="59793817"/>
    <n v="60397728"/>
    <n v="16.173100000000002"/>
    <n v="6.0086199999999996"/>
    <n v="2205.35"/>
    <n v="1510.64"/>
    <n v="2480"/>
    <n v="169"/>
    <n v="59.856990039791668"/>
    <n v="1.1917871995208333"/>
    <n v="7"/>
    <n v="21761"/>
    <n v="475423"/>
    <n v="5081208"/>
    <n v="16329"/>
    <n v="0"/>
    <x v="1"/>
    <x v="1"/>
  </r>
  <r>
    <s v="istree_exp6_rebuilding_time/step10128.txt"/>
    <x v="0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17943394398"/>
    <n v="10002832"/>
    <n v="100017943394398"/>
    <n v="10002832"/>
    <s v="success"/>
    <n v="7"/>
    <n v="1905514"/>
    <n v="12033014"/>
    <n v="13938528"/>
    <n v="10002832"/>
    <n v="7.3148400000000002"/>
    <n v="0.83128199999999997"/>
    <n v="4.0560200000000002"/>
    <n v="345002336"/>
    <s v="19 47431 697472 10650816 30921"/>
    <s v="15 47431 697450 10650803 30921"/>
    <n v="17776"/>
    <n v="165498"/>
    <n v="5746268953937"/>
    <n v="29655365112"/>
    <n v="1172216935"/>
    <n v="55172026075"/>
    <n v="54664759632"/>
    <n v="14407513878"/>
    <n v="7693396522"/>
    <n v="0"/>
    <n v="77712098"/>
    <n v="7693396522"/>
    <n v="7771108620"/>
    <n v="128223275"/>
    <n v="0"/>
    <n v="1295201"/>
    <n v="128223275"/>
    <n v="129518477"/>
    <n v="16.302099999999999"/>
    <n v="6.4349299999999996"/>
    <n v="2038.36"/>
    <n v="1290.4100000000001"/>
    <n v="2546"/>
    <n v="255"/>
    <n v="59.856968270177084"/>
    <n v="1.6153321003333332"/>
    <n v="15"/>
    <n v="47431"/>
    <n v="697450"/>
    <n v="10650803"/>
    <n v="30921"/>
    <n v="0"/>
    <x v="1"/>
    <x v="1"/>
  </r>
  <r>
    <s v="istree_exp6_rebuilding_time/step10129.txt"/>
    <x v="0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84019046161"/>
    <n v="10000015"/>
    <n v="99984019046161"/>
    <n v="10000015"/>
    <s v="success"/>
    <n v="7"/>
    <n v="1761189"/>
    <n v="11723305"/>
    <n v="13484494"/>
    <n v="10000015"/>
    <n v="7.6564699999999997"/>
    <n v="0.85300299999999996"/>
    <n v="4.0278600000000004"/>
    <n v="328470208"/>
    <s v="22 72740 607569 15304878 38511"/>
    <s v="22 72737 607541 15304848 38510"/>
    <n v="39551"/>
    <n v="111716"/>
    <n v="8619400507411"/>
    <n v="44484615133"/>
    <n v="2663006839"/>
    <n v="80672512126"/>
    <n v="91523380614"/>
    <n v="22030767491"/>
    <n v="11322057801"/>
    <n v="0"/>
    <n v="114353732"/>
    <n v="11322057801"/>
    <n v="11436411533"/>
    <n v="188700963"/>
    <n v="0"/>
    <n v="1905895"/>
    <n v="188700963"/>
    <n v="190606858"/>
    <n v="16.334499999999998"/>
    <n v="6.5815999999999999"/>
    <n v="2079.17"/>
    <n v="1310.31"/>
    <n v="2637"/>
    <n v="352"/>
    <n v="59.856947968131941"/>
    <n v="1.6762102930763889"/>
    <n v="22"/>
    <n v="72737"/>
    <n v="607541"/>
    <n v="15304848"/>
    <n v="38510"/>
    <n v="0"/>
    <x v="1"/>
    <x v="1"/>
  </r>
  <r>
    <s v="istree_exp6_rebuilding_time/step10130.txt"/>
    <x v="0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36732747442"/>
    <n v="10003826"/>
    <n v="100036732747442"/>
    <n v="10003826"/>
    <s v="success"/>
    <n v="7"/>
    <n v="1737885"/>
    <n v="11682218"/>
    <n v="13420103"/>
    <n v="10003826"/>
    <n v="7.7220899999999997"/>
    <n v="0.85632900000000001"/>
    <n v="4.0227199999999996"/>
    <n v="325955328"/>
    <s v="31 94320 796682 19953398 50316"/>
    <s v="29 94316 796627 19953351 50316"/>
    <n v="72890"/>
    <n v="91544"/>
    <n v="11372818935238"/>
    <n v="60559516221"/>
    <n v="6762826438"/>
    <n v="118020631363"/>
    <n v="135704136169"/>
    <n v="46191162018"/>
    <n v="14737881282"/>
    <n v="0"/>
    <n v="148880761"/>
    <n v="14737881282"/>
    <n v="14886762043"/>
    <n v="245631354"/>
    <n v="0"/>
    <n v="2481346"/>
    <n v="245631354"/>
    <n v="248112700"/>
    <n v="16.3507"/>
    <n v="6.6654200000000001"/>
    <n v="2104.15"/>
    <n v="1326.36"/>
    <n v="2739"/>
    <n v="385"/>
    <n v="59.856941764410522"/>
    <n v="1.9328330116263157"/>
    <n v="29"/>
    <n v="94316"/>
    <n v="796627"/>
    <n v="19953351"/>
    <n v="50316"/>
    <n v="0"/>
    <x v="1"/>
    <x v="1"/>
  </r>
  <r>
    <s v="istree_exp6_rebuilding_time/step10131.txt"/>
    <x v="0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9999638698088010"/>
    <n v="99995272"/>
    <n v="9999638698088010"/>
    <n v="99995272"/>
    <s v="success"/>
    <n v="7"/>
    <n v="14112778"/>
    <n v="116378873"/>
    <n v="130491651"/>
    <n v="99995272"/>
    <n v="9.2463499999999996"/>
    <n v="0.85922200000000004"/>
    <n v="4.0643200000000004"/>
    <n v="2993748512"/>
    <s v="0 0 9 604582 201158"/>
    <s v="0 0 9 604582 201158"/>
    <m/>
    <n v="632922"/>
    <n v="1436565672815"/>
    <n v="291143746"/>
    <m/>
    <n v="826979504"/>
    <n v="1594164356"/>
    <n v="114163656"/>
    <n v="1701744692"/>
    <n v="0"/>
    <n v="17185451"/>
    <n v="1701744692"/>
    <n v="1718930143"/>
    <n v="28362411"/>
    <n v="0"/>
    <n v="286424"/>
    <n v="28362411"/>
    <n v="28648835"/>
    <n v="18.878499999999999"/>
    <n v="8.2700399999999998"/>
    <n v="2335.92"/>
    <n v="1743.64"/>
    <n v="7483"/>
    <n v="1552"/>
    <n v="59.856903033958332"/>
    <n v="0.11776880258333333"/>
    <n v="0"/>
    <n v="0"/>
    <n v="9"/>
    <n v="604582"/>
    <n v="201158"/>
    <n v="0"/>
    <x v="2"/>
    <x v="2"/>
  </r>
  <r>
    <s v="istree_exp6_rebuilding_time/step10132.txt"/>
    <x v="0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7392517463E+16"/>
    <n v="100002468"/>
    <n v="1.00007392517463E+16"/>
    <n v="100002468"/>
    <s v="success"/>
    <n v="7"/>
    <n v="14927168"/>
    <n v="118214709"/>
    <n v="133141877"/>
    <n v="100002468"/>
    <n v="8.9194300000000002"/>
    <n v="0.845939"/>
    <n v="4.0817800000000002"/>
    <n v="3089742336"/>
    <s v="0 0 14762 2027955 421210"/>
    <s v="0 0 14762 2027955 421210"/>
    <n v="1"/>
    <n v="271658"/>
    <n v="2873130503221"/>
    <n v="1462045936"/>
    <n v="669"/>
    <n v="3531969748"/>
    <n v="5575336470"/>
    <n v="586960732"/>
    <n v="2979332920"/>
    <n v="0"/>
    <n v="30107732"/>
    <n v="2979332920"/>
    <n v="3009440652"/>
    <n v="49655548"/>
    <n v="0"/>
    <n v="501795"/>
    <n v="49655548"/>
    <n v="50157344"/>
    <n v="19.081"/>
    <n v="8.3718699999999995"/>
    <n v="2666.38"/>
    <n v="1987.77"/>
    <n v="7814"/>
    <n v="1278"/>
    <n v="59.856885483770832"/>
    <n v="0.2324231990625"/>
    <n v="0"/>
    <n v="0"/>
    <n v="14762"/>
    <n v="2027955"/>
    <n v="421210"/>
    <n v="0"/>
    <x v="2"/>
    <x v="2"/>
  </r>
  <r>
    <s v="istree_exp6_rebuilding_time/step10133.txt"/>
    <x v="0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548659835650"/>
    <n v="100001846"/>
    <n v="9999548659835650"/>
    <n v="100001846"/>
    <s v="success"/>
    <n v="7"/>
    <n v="12959845"/>
    <n v="113956840"/>
    <n v="126916685"/>
    <n v="100001846"/>
    <n v="9.7930700000000002"/>
    <n v="0.87754100000000002"/>
    <n v="4.0398899999999998"/>
    <n v="2861097056"/>
    <s v="2 9903 394528 4115523 744773"/>
    <s v="1 9903 394528 4115522 744773"/>
    <n v="2374"/>
    <n v="122112"/>
    <n v="5746260028126"/>
    <n v="19376419891"/>
    <n v="63717668"/>
    <n v="54875950170"/>
    <n v="44148346187"/>
    <n v="8906954739"/>
    <n v="5834122969"/>
    <n v="0"/>
    <n v="58929232"/>
    <n v="5834122969"/>
    <n v="5893052201"/>
    <n v="97235382"/>
    <n v="0"/>
    <n v="982153"/>
    <n v="97235382"/>
    <n v="98217536"/>
    <n v="19.302399999999999"/>
    <n v="9.2970400000000009"/>
    <n v="2692.55"/>
    <n v="1951.36"/>
    <n v="11284"/>
    <n v="1050"/>
    <n v="59.856875292979169"/>
    <n v="1.3267852984895834"/>
    <n v="1"/>
    <n v="9903"/>
    <n v="394528"/>
    <n v="4115522"/>
    <n v="744773"/>
    <n v="0"/>
    <x v="2"/>
    <x v="2"/>
  </r>
  <r>
    <s v="istree_exp6_rebuilding_time/step10134.txt"/>
    <x v="0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0914827441E+16"/>
    <n v="100003640"/>
    <n v="1.00000914827441E+16"/>
    <n v="100003640"/>
    <s v="success"/>
    <n v="7"/>
    <n v="14863056"/>
    <n v="118103000"/>
    <n v="132966056"/>
    <n v="100003640"/>
    <n v="8.9460800000000003"/>
    <n v="0.84674899999999997"/>
    <n v="4.0796999999999999"/>
    <n v="3083012064"/>
    <s v="1 9999 447736 6837299 1197826"/>
    <s v="1 9999 447734 6837296 1197826"/>
    <n v="3913"/>
    <n v="81154"/>
    <n v="8619388499735"/>
    <n v="22553962778"/>
    <n v="177836667"/>
    <n v="77923728717"/>
    <n v="52664494570"/>
    <n v="11581192796"/>
    <n v="8624848985"/>
    <n v="0"/>
    <n v="87099377"/>
    <n v="8624848985"/>
    <n v="8711948362"/>
    <n v="143747483"/>
    <n v="0"/>
    <n v="1451656"/>
    <n v="143747483"/>
    <n v="145199139"/>
    <n v="19.366099999999999"/>
    <n v="9.5146999999999995"/>
    <n v="2729.54"/>
    <n v="1975.11"/>
    <n v="13334"/>
    <n v="1058"/>
    <n v="59.856864581493056"/>
    <n v="1.1451473300555555"/>
    <n v="1"/>
    <n v="9999"/>
    <n v="447734"/>
    <n v="6837296"/>
    <n v="1197826"/>
    <n v="0"/>
    <x v="2"/>
    <x v="2"/>
  </r>
  <r>
    <s v="istree_exp6_rebuilding_time/step10135.txt"/>
    <x v="0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10430772324E+16"/>
    <n v="100004682"/>
    <n v="1.00010430772324E+16"/>
    <n v="100004682"/>
    <s v="success"/>
    <n v="7"/>
    <n v="13680382"/>
    <n v="115462933"/>
    <n v="129143315"/>
    <n v="100004682"/>
    <n v="9.4400399999999998"/>
    <n v="0.86611899999999997"/>
    <n v="4.05504"/>
    <n v="2943657648"/>
    <s v="2 19995 687657 8113315 1472007"/>
    <s v="2 19994 687647 8113313 1472007"/>
    <n v="9196"/>
    <n v="58744"/>
    <n v="11372802175723"/>
    <n v="41662583376"/>
    <n v="779933967"/>
    <n v="174754336192"/>
    <n v="87714778326"/>
    <n v="23084857218"/>
    <n v="11237528391"/>
    <n v="0"/>
    <n v="113517971"/>
    <n v="11237528391"/>
    <n v="11351046362"/>
    <n v="187292139"/>
    <n v="0"/>
    <n v="1891966"/>
    <n v="187292139"/>
    <n v="189184106"/>
    <n v="19.4221"/>
    <n v="9.6250999999999998"/>
    <n v="2742.4"/>
    <n v="1993.86"/>
    <n v="13842"/>
    <n v="1092"/>
    <n v="59.856853556436839"/>
    <n v="1.7262973109421054"/>
    <n v="2"/>
    <n v="19994"/>
    <n v="687647"/>
    <n v="8113313"/>
    <n v="1472007"/>
    <n v="0"/>
    <x v="2"/>
    <x v="2"/>
  </r>
  <r>
    <s v="istree_exp6_rebuilding_time/step10136.txt"/>
    <x v="0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68261087E+18"/>
    <n v="1000000588"/>
    <n v="1.0000068261087E+18"/>
    <n v="1000000588"/>
    <s v="success"/>
    <n v="7"/>
    <n v="87202334"/>
    <n v="1084286821"/>
    <n v="1171489155"/>
    <n v="1000000588"/>
    <n v="13.434100000000001"/>
    <n v="0.92226600000000003"/>
    <n v="4.0054999999999996"/>
    <n v="24325016896"/>
    <s v="0 0 0 1368 14968"/>
    <s v="0 0 0 1368 14968"/>
    <m/>
    <n v="405296"/>
    <n v="1436564053230"/>
    <n v="5206410"/>
    <m/>
    <n v="27742072"/>
    <n v="630687777"/>
    <n v="1789804"/>
    <n v="1092602646"/>
    <n v="0"/>
    <n v="11042514"/>
    <n v="1092602646"/>
    <n v="1103645160"/>
    <n v="18210044"/>
    <n v="0"/>
    <n v="184041"/>
    <n v="18210044"/>
    <n v="18394086"/>
    <n v="22.003399999999999"/>
    <n v="12.8833"/>
    <n v="3637.51"/>
    <n v="2913.3"/>
    <n v="59444"/>
    <n v="16333"/>
    <n v="59.856835551249993"/>
    <n v="2.772608595833333E-2"/>
    <n v="0"/>
    <n v="0"/>
    <n v="0"/>
    <n v="1368"/>
    <n v="14968"/>
    <n v="0"/>
    <x v="3"/>
    <x v="3"/>
  </r>
  <r>
    <s v="istree_exp6_rebuilding_time/step10137.txt"/>
    <x v="0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250202077901E+17"/>
    <n v="999998278"/>
    <n v="9.9999250202077901E+17"/>
    <n v="999998278"/>
    <s v="success"/>
    <n v="7"/>
    <n v="89412525"/>
    <n v="1088725173"/>
    <n v="1178137698"/>
    <n v="999998278"/>
    <n v="13.176399999999999"/>
    <n v="0.91850399999999999"/>
    <n v="4.00997"/>
    <n v="24573374720"/>
    <s v="0 0 0 8050 49334"/>
    <s v="0 0 0 8050 49334"/>
    <m/>
    <n v="181058"/>
    <n v="2873127592923"/>
    <n v="28106982"/>
    <m/>
    <n v="112618952"/>
    <n v="2984085155"/>
    <n v="11670782"/>
    <n v="1993703606"/>
    <n v="0"/>
    <n v="20140694"/>
    <n v="1993703606"/>
    <n v="2013844300"/>
    <n v="33228393"/>
    <n v="0"/>
    <n v="335678"/>
    <n v="33228393"/>
    <n v="33564071"/>
    <n v="21.9953"/>
    <n v="12.908200000000001"/>
    <n v="3985.76"/>
    <n v="3326.45"/>
    <n v="59814"/>
    <n v="11406"/>
    <n v="59.856824852562504"/>
    <n v="6.5343372312499995E-2"/>
    <n v="0"/>
    <n v="0"/>
    <n v="0"/>
    <n v="8050"/>
    <n v="49334"/>
    <n v="0"/>
    <x v="3"/>
    <x v="3"/>
  </r>
  <r>
    <s v="istree_exp6_rebuilding_time/step10138.txt"/>
    <x v="0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713788182003E+17"/>
    <n v="1000001129"/>
    <n v="9.9997713788182003E+17"/>
    <n v="1000001129"/>
    <s v="success"/>
    <n v="7"/>
    <n v="95108417"/>
    <n v="1100218261"/>
    <n v="1195326678"/>
    <n v="1000001129"/>
    <n v="12.568"/>
    <n v="0.90891200000000005"/>
    <n v="4.0216099999999999"/>
    <n v="25215642720"/>
    <s v="0 0 0 85437 226349"/>
    <s v="0 0 0 85437 226349"/>
    <m/>
    <n v="98772"/>
    <n v="5746254721817"/>
    <n v="181376808"/>
    <m/>
    <n v="647545287"/>
    <n v="9983327388"/>
    <n v="110482733"/>
    <n v="4401476668"/>
    <n v="0"/>
    <n v="44460338"/>
    <n v="4401476668"/>
    <n v="4445937006"/>
    <n v="73357944"/>
    <n v="0"/>
    <n v="741005"/>
    <n v="73357944"/>
    <n v="74098950"/>
    <n v="22.080400000000001"/>
    <n v="13.7849"/>
    <n v="3607.82"/>
    <n v="2886.07"/>
    <n v="60704"/>
    <n v="10337"/>
    <n v="59.856820018927088"/>
    <n v="0.11377846058333334"/>
    <n v="0"/>
    <n v="0"/>
    <n v="0"/>
    <n v="85437"/>
    <n v="226349"/>
    <n v="0"/>
    <x v="3"/>
    <x v="3"/>
  </r>
  <r>
    <s v="istree_exp6_rebuilding_time/step10139.txt"/>
    <x v="0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931596554E+18"/>
    <n v="1000005037"/>
    <n v="1.00000931596554E+18"/>
    <n v="1000005037"/>
    <s v="success"/>
    <n v="7"/>
    <n v="99969641"/>
    <n v="1110099355"/>
    <n v="1210068996"/>
    <n v="1000005037"/>
    <n v="12.1044"/>
    <n v="0.90082499999999999"/>
    <n v="4.0316900000000002"/>
    <n v="25766454848"/>
    <s v="0 0 0 279797 486105"/>
    <s v="0 0 0 279797 486105"/>
    <m/>
    <n v="65542"/>
    <n v="8619381301212"/>
    <n v="500957978"/>
    <m/>
    <n v="1710655564"/>
    <n v="12991797035"/>
    <n v="309354410"/>
    <n v="6602074148"/>
    <n v="0"/>
    <n v="66673958"/>
    <n v="6602074148"/>
    <n v="6668748106"/>
    <n v="110034569"/>
    <n v="0"/>
    <n v="1111232"/>
    <n v="110034569"/>
    <n v="111145801"/>
    <n v="22.0929"/>
    <n v="14.0047"/>
    <n v="3606.51"/>
    <n v="2879.73"/>
    <n v="61554"/>
    <n v="9403"/>
    <n v="59.856814591750009"/>
    <n v="0.10772753463194445"/>
    <n v="0"/>
    <n v="0"/>
    <n v="0"/>
    <n v="279797"/>
    <n v="486105"/>
    <n v="0"/>
    <x v="3"/>
    <x v="3"/>
  </r>
  <r>
    <s v="istree_exp6_rebuilding_time/step10140.txt"/>
    <x v="0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9668292663898E+17"/>
    <n v="999991474"/>
    <n v="9.9999668292663898E+17"/>
    <n v="999991474"/>
    <s v="success"/>
    <n v="7"/>
    <n v="104085244"/>
    <n v="1118528672"/>
    <n v="1222613916"/>
    <n v="999991474"/>
    <n v="11.7463"/>
    <n v="0.89402400000000004"/>
    <n v="4.0403099999999998"/>
    <n v="26234855792"/>
    <s v="0 0 0 600113 791112"/>
    <s v="0 0 0 600113 791112"/>
    <m/>
    <n v="51212"/>
    <n v="11372793700514"/>
    <n v="981978433"/>
    <m/>
    <n v="3083511355"/>
    <n v="14866456492"/>
    <n v="579618008"/>
    <n v="8619195507"/>
    <n v="0"/>
    <n v="87056348"/>
    <n v="8619195507"/>
    <n v="8706251855"/>
    <n v="143653258"/>
    <n v="0"/>
    <n v="1450939"/>
    <n v="143653258"/>
    <n v="145104197"/>
    <n v="22.209299999999999"/>
    <n v="14.1738"/>
    <n v="3644.07"/>
    <n v="2907.35"/>
    <n v="62223"/>
    <n v="9077"/>
    <n v="59.856808950073678"/>
    <n v="0.10269244362105262"/>
    <n v="0"/>
    <n v="0"/>
    <n v="0"/>
    <n v="600113"/>
    <n v="791112"/>
    <n v="0"/>
    <x v="3"/>
    <x v="3"/>
  </r>
  <r>
    <s v="istree_exp6_rebuilding_time/step10141.txt"/>
    <x v="0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133064722"/>
    <n v="999194"/>
    <n v="998133064722"/>
    <n v="999194"/>
    <s v="success"/>
    <n v="6"/>
    <n v="56660"/>
    <n v="1079317"/>
    <n v="1135977"/>
    <n v="999194"/>
    <n v="20.048999999999999"/>
    <n v="0.92576499999999995"/>
    <n v="3.0491000000000001"/>
    <n v="21820336"/>
    <s v="1060 698228 10038268 11252562"/>
    <s v="777 697111 10037115 11252475"/>
    <n v="179674"/>
    <n v="1475410"/>
    <n v="1436563165197"/>
    <n v="34980834646"/>
    <n v="317481359"/>
    <n v="41285372709"/>
    <n v="32732715058"/>
    <n v="16772249798"/>
    <n v="3497317663"/>
    <n v="0"/>
    <n v="388586469"/>
    <n v="3497317663"/>
    <n v="3885904132"/>
    <n v="58288627"/>
    <n v="0"/>
    <n v="6476441"/>
    <n v="58288627"/>
    <n v="64765068"/>
    <n v="10.233700000000001"/>
    <n v="0.35946600000000001"/>
    <n v="1032.8499999999999"/>
    <n v="369.755"/>
    <n v="1207"/>
    <n v="30"/>
    <n v="59.856798549875002"/>
    <n v="5.2536938987499999"/>
    <n v="777"/>
    <n v="697111"/>
    <n v="10037115"/>
    <n v="11252475"/>
    <n v="0"/>
    <n v="0"/>
    <x v="4"/>
    <x v="4"/>
  </r>
  <r>
    <s v="istree_exp6_rebuilding_time/step10142.txt"/>
    <x v="0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109752512"/>
    <n v="999967"/>
    <n v="1000109752512"/>
    <n v="999967"/>
    <s v="success"/>
    <n v="6"/>
    <n v="57762"/>
    <n v="1083817"/>
    <n v="1141579"/>
    <n v="999967"/>
    <n v="19.763500000000001"/>
    <n v="0.92263499999999998"/>
    <n v="3.0534300000000001"/>
    <n v="22005680"/>
    <s v="1669 1130903 10740479 15594992"/>
    <s v="1145 1129885 10736649 15594723"/>
    <n v="747939"/>
    <n v="541850"/>
    <n v="2873126347659"/>
    <n v="87668506583"/>
    <n v="1539005064"/>
    <n v="104325037112"/>
    <n v="56894734656"/>
    <n v="40482640229"/>
    <n v="5154611112"/>
    <n v="0"/>
    <n v="572752108"/>
    <n v="5154611112"/>
    <n v="5727363220"/>
    <n v="85910185"/>
    <n v="0"/>
    <n v="9545868"/>
    <n v="85910185"/>
    <n v="95456053"/>
    <n v="10.3635"/>
    <n v="0.47364600000000001"/>
    <n v="1389.71"/>
    <n v="594.42499999999995"/>
    <n v="1254"/>
    <n v="74"/>
    <n v="59.856798909562507"/>
    <n v="6.0606234092499998"/>
    <n v="1145"/>
    <n v="1129885"/>
    <n v="10736649"/>
    <n v="15594723"/>
    <n v="0"/>
    <n v="0"/>
    <x v="4"/>
    <x v="4"/>
  </r>
  <r>
    <s v="istree_exp6_rebuilding_time/step10143.txt"/>
    <x v="0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1000764697824"/>
    <n v="1000330"/>
    <n v="1000764697824"/>
    <n v="1000330"/>
    <s v="success"/>
    <n v="6"/>
    <n v="62845"/>
    <n v="1093585"/>
    <n v="1156430"/>
    <n v="1000330"/>
    <n v="18.401299999999999"/>
    <n v="0.91472500000000001"/>
    <n v="3.0632999999999999"/>
    <n v="22565520"/>
    <s v="2973 2781550 4817960 20489706"/>
    <s v="1772 2767137 4810312 20488823"/>
    <n v="3837284"/>
    <n v="220068"/>
    <n v="5746252491553"/>
    <n v="273045106853"/>
    <n v="9552178001"/>
    <n v="337127094445"/>
    <n v="147991040784"/>
    <n v="263674706182"/>
    <n v="7973528438"/>
    <n v="0"/>
    <n v="885910228"/>
    <n v="7973528438"/>
    <n v="8859438666"/>
    <n v="132892140"/>
    <n v="0"/>
    <n v="14765170"/>
    <n v="132892140"/>
    <n v="147657311"/>
    <n v="11.131"/>
    <n v="1.61686"/>
    <n v="1809.3"/>
    <n v="988.49199999999996"/>
    <n v="1364"/>
    <n v="145"/>
    <n v="59.856796787010417"/>
    <n v="10.74364714859375"/>
    <n v="1772"/>
    <n v="2767137"/>
    <n v="4810312"/>
    <n v="20488823"/>
    <n v="0"/>
    <n v="0"/>
    <x v="4"/>
    <x v="4"/>
  </r>
  <r>
    <s v="istree_exp6_rebuilding_time/step10144.txt"/>
    <x v="0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998345198904"/>
    <n v="998448"/>
    <n v="998345198904"/>
    <n v="998448"/>
    <s v="success"/>
    <n v="6"/>
    <n v="49787"/>
    <n v="1064487"/>
    <n v="1114274"/>
    <n v="998448"/>
    <n v="22.380800000000001"/>
    <n v="0.93796199999999996"/>
    <n v="3.0344600000000002"/>
    <n v="21023904"/>
    <s v="3893 6301458 1133446 17535183"/>
    <s v="2161 6272003 1129257 17534063"/>
    <n v="9933995"/>
    <n v="123942"/>
    <n v="8619378387705"/>
    <n v="526583182500"/>
    <n v="24069667118"/>
    <n v="701157545579"/>
    <n v="181245012829"/>
    <n v="635284538885"/>
    <n v="9716826741"/>
    <n v="0"/>
    <n v="1079655955"/>
    <n v="9716826741"/>
    <n v="10796482696"/>
    <n v="161947112"/>
    <n v="0"/>
    <n v="17994265"/>
    <n v="161947112"/>
    <n v="179941378"/>
    <n v="12.3377"/>
    <n v="2.70967"/>
    <n v="2224.83"/>
    <n v="1358.39"/>
    <n v="1520"/>
    <n v="172"/>
    <n v="59.856794359062491"/>
    <n v="14.36347185354861"/>
    <n v="2161"/>
    <n v="6272003"/>
    <n v="1129257"/>
    <n v="17534063"/>
    <n v="0"/>
    <n v="0"/>
    <x v="4"/>
    <x v="4"/>
  </r>
  <r>
    <s v="istree_exp6_rebuilding_time/step10145.txt"/>
    <x v="0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1202683189"/>
    <n v="1000964"/>
    <n v="1001202683189"/>
    <n v="1000964"/>
    <s v="success"/>
    <n v="6"/>
    <n v="58098"/>
    <n v="1083868"/>
    <n v="1141966"/>
    <n v="1000964"/>
    <n v="19.655899999999999"/>
    <n v="0.92351099999999997"/>
    <n v="3.0527500000000001"/>
    <n v="22018064"/>
    <s v="4605 5970919 2904763 23842251"/>
    <s v="2543 5936487 2893818 23840252"/>
    <n v="13219529"/>
    <n v="85502"/>
    <n v="11372791268283"/>
    <n v="650485950696"/>
    <n v="38138099068"/>
    <n v="958284605313"/>
    <n v="235102129836"/>
    <n v="1132555726482"/>
    <n v="11431490907"/>
    <n v="0"/>
    <n v="1270217449"/>
    <n v="11431490907"/>
    <n v="12701708356"/>
    <n v="190524848"/>
    <n v="0"/>
    <n v="21170290"/>
    <n v="190524848"/>
    <n v="211695139"/>
    <n v="12.623200000000001"/>
    <n v="3.1184099999999999"/>
    <n v="2496.71"/>
    <n v="1627.1"/>
    <n v="1647"/>
    <n v="298"/>
    <n v="59.856796148857889"/>
    <n v="15.866139533657893"/>
    <n v="2543"/>
    <n v="5936487"/>
    <n v="2893818"/>
    <n v="23840252"/>
    <n v="0"/>
    <n v="0"/>
    <x v="4"/>
    <x v="4"/>
  </r>
  <r>
    <s v="istree_exp6_rebuilding_time/step10146.txt"/>
    <x v="0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82949447387"/>
    <n v="9997397"/>
    <n v="99982949447387"/>
    <n v="9997397"/>
    <s v="success"/>
    <n v="7"/>
    <n v="1889679"/>
    <n v="11990406"/>
    <n v="13880085"/>
    <n v="9997397"/>
    <n v="7.3452099999999998"/>
    <n v="0.83378300000000005"/>
    <n v="4.0530200000000001"/>
    <n v="343042624"/>
    <s v="39 95004 2728274 25144061 84594"/>
    <s v="34 94906 2728223 25144022 84594"/>
    <n v="25429"/>
    <n v="612068"/>
    <n v="1436562804503"/>
    <n v="50883689459"/>
    <n v="205898266"/>
    <n v="58844279363"/>
    <n v="39137464056"/>
    <n v="22945332094"/>
    <n v="1549501902"/>
    <n v="0"/>
    <n v="172191056"/>
    <n v="1549501902"/>
    <n v="1721692958"/>
    <n v="25825031"/>
    <n v="0"/>
    <n v="2869850"/>
    <n v="25825031"/>
    <n v="28694882"/>
    <n v="18.4876"/>
    <n v="7.3163999999999998"/>
    <n v="2309.09"/>
    <n v="1500.83"/>
    <n v="2439"/>
    <n v="152"/>
    <n v="59.856783520958338"/>
    <n v="7.1673609682500006"/>
    <n v="34"/>
    <n v="94906"/>
    <n v="2728223"/>
    <n v="25144022"/>
    <n v="84594"/>
    <n v="0"/>
    <x v="5"/>
    <x v="5"/>
  </r>
  <r>
    <s v="istree_exp6_rebuilding_time/step10147.txt"/>
    <x v="0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100001886913156"/>
    <n v="9999693"/>
    <n v="100001886913156"/>
    <n v="9999693"/>
    <s v="success"/>
    <n v="7"/>
    <n v="1873059"/>
    <n v="11975589"/>
    <n v="13848648"/>
    <n v="9999693"/>
    <n v="7.3936000000000002"/>
    <n v="0.83500600000000003"/>
    <n v="4.0477800000000004"/>
    <n v="341500896"/>
    <s v="78 180250 3985570 41864042 136411"/>
    <s v="58 180153 3985357 41863832 136411"/>
    <n v="112768"/>
    <n v="257614"/>
    <n v="2873126851603"/>
    <n v="111595345249"/>
    <n v="1003503808"/>
    <n v="144267271801"/>
    <n v="86236785358"/>
    <n v="52779152825"/>
    <n v="2646582904"/>
    <n v="0"/>
    <n v="294074267"/>
    <n v="2646582904"/>
    <n v="2940657171"/>
    <n v="44109715"/>
    <n v="0"/>
    <n v="4901237"/>
    <n v="44109715"/>
    <n v="49010952"/>
    <n v="18.767800000000001"/>
    <n v="7.5006599999999999"/>
    <n v="2699.68"/>
    <n v="1851.51"/>
    <n v="2493"/>
    <n v="157"/>
    <n v="59.856809408395833"/>
    <n v="8.2475428966875004"/>
    <n v="58"/>
    <n v="180153"/>
    <n v="3985357"/>
    <n v="41863832"/>
    <n v="136411"/>
    <n v="0"/>
    <x v="5"/>
    <x v="5"/>
  </r>
  <r>
    <s v="istree_exp6_rebuilding_time/step10148.txt"/>
    <x v="0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19570723391"/>
    <n v="10001734"/>
    <n v="100019570723391"/>
    <n v="10001734"/>
    <s v="success"/>
    <n v="7"/>
    <n v="1745344"/>
    <n v="11687413"/>
    <n v="13432757"/>
    <n v="10001734"/>
    <n v="7.6963400000000002"/>
    <n v="0.85577000000000003"/>
    <n v="4.0239099999999999"/>
    <n v="326626752"/>
    <s v="165 369982 5396336 80197572 233766"/>
    <s v="117 369936 5395410 80196803 233766"/>
    <n v="477829"/>
    <n v="133630"/>
    <n v="5746250704411"/>
    <n v="223170247935"/>
    <n v="4870941039"/>
    <n v="328755141753"/>
    <n v="282451672041"/>
    <n v="111016326370"/>
    <n v="5271178086"/>
    <n v="0"/>
    <n v="585627503"/>
    <n v="5271178086"/>
    <n v="5856805589"/>
    <n v="87852968"/>
    <n v="0"/>
    <n v="9760458"/>
    <n v="87852968"/>
    <n v="97613426"/>
    <n v="18.997800000000002"/>
    <n v="7.9587300000000001"/>
    <n v="2703.67"/>
    <n v="1807.6"/>
    <n v="2614"/>
    <n v="223"/>
    <n v="59.856778170947912"/>
    <n v="9.8985867618541672"/>
    <n v="117"/>
    <n v="369936"/>
    <n v="5395410"/>
    <n v="80196803"/>
    <n v="233766"/>
    <n v="0"/>
    <x v="5"/>
    <x v="5"/>
  </r>
  <r>
    <s v="istree_exp6_rebuilding_time/step10149.txt"/>
    <x v="0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12103412649"/>
    <n v="10002373"/>
    <n v="100012103412649"/>
    <n v="10002373"/>
    <s v="success"/>
    <n v="7"/>
    <n v="1705307"/>
    <n v="11605096"/>
    <n v="13310403"/>
    <n v="10002373"/>
    <n v="7.8052799999999998"/>
    <n v="0.86189499999999997"/>
    <n v="4.0159000000000002"/>
    <n v="322106144"/>
    <s v="277 531450 4448184 112411664 281717"/>
    <s v="168 531370 4446850 112410154 281716"/>
    <n v="987187"/>
    <n v="88476"/>
    <n v="8619376319568"/>
    <n v="320218811524"/>
    <n v="8832207361"/>
    <n v="482371720856"/>
    <n v="515295197743"/>
    <n v="169497939002"/>
    <n v="7563697262"/>
    <n v="0"/>
    <n v="840399993"/>
    <n v="7563697262"/>
    <n v="8404097255"/>
    <n v="126061621"/>
    <n v="0"/>
    <n v="14006666"/>
    <n v="126061621"/>
    <n v="140068287"/>
    <n v="19.110099999999999"/>
    <n v="8.2705500000000001"/>
    <n v="2820.48"/>
    <n v="1908.39"/>
    <n v="2779"/>
    <n v="386"/>
    <n v="59.856779997000004"/>
    <n v="10.390388031152778"/>
    <n v="168"/>
    <n v="531370"/>
    <n v="4446850"/>
    <n v="112410154"/>
    <n v="281716"/>
    <n v="0"/>
    <x v="5"/>
    <x v="5"/>
  </r>
  <r>
    <s v="istree_exp6_rebuilding_time/step10150.txt"/>
    <x v="0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93361572583"/>
    <n v="9998941"/>
    <n v="99993361572583"/>
    <n v="9998941"/>
    <s v="success"/>
    <n v="7"/>
    <n v="1855360"/>
    <n v="11929438"/>
    <n v="13784798"/>
    <n v="9998941"/>
    <n v="7.4297199999999997"/>
    <n v="0.83817399999999997"/>
    <n v="4.0456200000000004"/>
    <n v="339333792"/>
    <s v="351 671274 5668365 142358437 357068"/>
    <s v="212 671169 5665944 142355820 357066"/>
    <n v="1691931"/>
    <n v="69390"/>
    <n v="11372792908459"/>
    <n v="429260617337"/>
    <n v="15964508167"/>
    <n v="686402081233"/>
    <n v="793472274828"/>
    <n v="238798018162"/>
    <n v="9568188736"/>
    <n v="0"/>
    <n v="1063145520"/>
    <n v="9568188736"/>
    <n v="10631334256"/>
    <n v="159469812"/>
    <n v="0"/>
    <n v="17719092"/>
    <n v="159469812"/>
    <n v="177188904"/>
    <n v="19.2745"/>
    <n v="8.5315999999999992"/>
    <n v="2928.04"/>
    <n v="1985.21"/>
    <n v="2879"/>
    <n v="387"/>
    <n v="59.856804781363152"/>
    <n v="11.388934209089475"/>
    <n v="212"/>
    <n v="671169"/>
    <n v="5665944"/>
    <n v="142355820"/>
    <n v="357066"/>
    <n v="0"/>
    <x v="5"/>
    <x v="5"/>
  </r>
  <r>
    <s v="istree_exp6_rebuilding_time/step10151.txt"/>
    <x v="0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13282147834E+16"/>
    <n v="100012985"/>
    <n v="1.00013282147834E+16"/>
    <n v="100012985"/>
    <s v="success"/>
    <n v="7"/>
    <n v="14349452"/>
    <n v="116883501"/>
    <n v="131232953"/>
    <n v="100012985"/>
    <n v="9.1455000000000002"/>
    <n v="0.85566399999999998"/>
    <n v="4.0657899999999998"/>
    <n v="3021633136"/>
    <s v="3 12702 1366198 12364166 2034421"/>
    <s v="2 12689 1366195 12364159 2034421"/>
    <n v="2285"/>
    <n v="532834"/>
    <n v="1436562546887"/>
    <n v="28996318001"/>
    <n v="32488020"/>
    <n v="38279267298"/>
    <n v="29593963719"/>
    <n v="12097923940"/>
    <n v="1314637019"/>
    <n v="0"/>
    <n v="146058233"/>
    <n v="1314637019"/>
    <n v="1460695252"/>
    <n v="21910616"/>
    <n v="0"/>
    <n v="2434303"/>
    <n v="21910616"/>
    <n v="24344920"/>
    <n v="20.862300000000001"/>
    <n v="9.4352699999999992"/>
    <n v="2724.23"/>
    <n v="2012.26"/>
    <n v="10145"/>
    <n v="1553"/>
    <n v="59.856772786958338"/>
    <n v="4.5416650407499999"/>
    <n v="2"/>
    <n v="12689"/>
    <n v="1366195"/>
    <n v="12364159"/>
    <n v="2034421"/>
    <n v="0"/>
    <x v="6"/>
    <x v="6"/>
  </r>
  <r>
    <s v="istree_exp6_rebuilding_time/step10152.txt"/>
    <x v="0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714195988670"/>
    <n v="99995568"/>
    <n v="9999714195988670"/>
    <n v="99995568"/>
    <s v="success"/>
    <n v="7"/>
    <n v="14504536"/>
    <n v="117252964"/>
    <n v="131757500"/>
    <n v="99995568"/>
    <n v="9.0838800000000006"/>
    <n v="0.85281899999999999"/>
    <n v="4.0700799999999999"/>
    <n v="3040211584"/>
    <s v="4 34419 2163202 20334684 3363124"/>
    <s v="4 34384 2163174 20334671 3363124"/>
    <n v="14236"/>
    <n v="212652"/>
    <n v="2873124977691"/>
    <n v="82804355437"/>
    <n v="191087927"/>
    <n v="110610075454"/>
    <n v="76659774552"/>
    <n v="35047780241"/>
    <n v="2192844747"/>
    <n v="0"/>
    <n v="243681142"/>
    <n v="2192844747"/>
    <n v="2436525889"/>
    <n v="36547412"/>
    <n v="0"/>
    <n v="4061352"/>
    <n v="36547412"/>
    <n v="40608764"/>
    <n v="21.496700000000001"/>
    <n v="9.8157200000000007"/>
    <n v="3233.74"/>
    <n v="2422.88"/>
    <n v="13386"/>
    <n v="1264"/>
    <n v="59.856770368562501"/>
    <n v="6.3606890335625001"/>
    <n v="4"/>
    <n v="34384"/>
    <n v="2163174"/>
    <n v="20334671"/>
    <n v="3363124"/>
    <n v="0"/>
    <x v="6"/>
    <x v="6"/>
  </r>
  <r>
    <s v="istree_exp6_rebuilding_time/step10153.txt"/>
    <x v="0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1.00005717818276E+16"/>
    <n v="100002196"/>
    <n v="1.00005717818276E+16"/>
    <n v="100002196"/>
    <s v="success"/>
    <n v="7"/>
    <n v="11365192"/>
    <n v="110713350"/>
    <n v="122078542"/>
    <n v="100002196"/>
    <n v="10.741400000000001"/>
    <n v="0.90325299999999997"/>
    <n v="4.0071199999999996"/>
    <n v="2680666880"/>
    <s v="12 89192 3551782 35979249 6052095"/>
    <s v="9 89165 3551694 35979212 6052092"/>
    <n v="84748"/>
    <n v="82700"/>
    <n v="5746470131300"/>
    <n v="183151319573"/>
    <n v="1673287640"/>
    <n v="326052940794"/>
    <n v="260544251624"/>
    <n v="85804026210"/>
    <n v="4062637850"/>
    <n v="0"/>
    <n v="451405575"/>
    <n v="4062637850"/>
    <n v="4514043425"/>
    <n v="67710630"/>
    <n v="0"/>
    <n v="7523426"/>
    <n v="67710630"/>
    <n v="75234057"/>
    <n v="22.139399999999998"/>
    <n v="10.863300000000001"/>
    <n v="3375.09"/>
    <n v="2490.94"/>
    <n v="13171"/>
    <n v="1133"/>
    <n v="59.859063867708329"/>
    <n v="8.9294356858437496"/>
    <n v="9"/>
    <n v="89165"/>
    <n v="3551694"/>
    <n v="35979212"/>
    <n v="6052092"/>
    <n v="0"/>
    <x v="6"/>
    <x v="6"/>
  </r>
  <r>
    <s v="istree_exp6_rebuilding_time/step10154.txt"/>
    <x v="0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8722617140980"/>
    <n v="99986641"/>
    <n v="9998722617140980"/>
    <n v="99986641"/>
    <s v="success"/>
    <n v="7"/>
    <n v="11374190"/>
    <n v="110715434"/>
    <n v="122089624"/>
    <n v="99986641"/>
    <n v="10.7339"/>
    <n v="0.90309600000000001"/>
    <n v="4.00732"/>
    <n v="2681422928"/>
    <s v="22 129966 4547674 50694594 8666332"/>
    <s v="13 129958 4547516 50694495 8666327"/>
    <n v="174876"/>
    <n v="48374"/>
    <n v="8619785344950"/>
    <n v="266094236719"/>
    <n v="5278433137"/>
    <n v="580813233290"/>
    <n v="482900189614"/>
    <n v="135232131828"/>
    <n v="5863672923"/>
    <n v="0"/>
    <n v="651501740"/>
    <n v="5863672923"/>
    <n v="6515174663"/>
    <n v="97727882"/>
    <n v="0"/>
    <n v="10858362"/>
    <n v="97727882"/>
    <n v="108586244"/>
    <n v="22.2529"/>
    <n v="11.1845"/>
    <n v="3435.51"/>
    <n v="2542.66"/>
    <n v="14045"/>
    <n v="1113"/>
    <n v="59.859620451041664"/>
    <n v="10.210543226305555"/>
    <n v="13"/>
    <n v="129958"/>
    <n v="4547516"/>
    <n v="50694495"/>
    <n v="8666327"/>
    <n v="0"/>
    <x v="6"/>
    <x v="6"/>
  </r>
  <r>
    <s v="istree_exp6_rebuilding_time/step10155.txt"/>
    <x v="0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556226317490"/>
    <n v="99996075"/>
    <n v="9999556226317490"/>
    <n v="99996075"/>
    <s v="success"/>
    <n v="7"/>
    <n v="14904084"/>
    <n v="118191056"/>
    <n v="133095140"/>
    <n v="99996075"/>
    <n v="8.9301100000000009"/>
    <n v="0.846055"/>
    <n v="4.0808099999999996"/>
    <n v="3087717216"/>
    <s v="35 159975 5581498 64975823 11173053"/>
    <s v="16 159967 5581261 64975655 11173036"/>
    <n v="272246"/>
    <n v="34796"/>
    <n v="11373072571531"/>
    <n v="338691625071"/>
    <n v="11869692657"/>
    <n v="822961300180"/>
    <n v="724466718690"/>
    <n v="182699678628"/>
    <n v="7523689915"/>
    <n v="0"/>
    <n v="835964135"/>
    <n v="7523689915"/>
    <n v="8359654050"/>
    <n v="125394831"/>
    <n v="0"/>
    <n v="13932735"/>
    <n v="125394831"/>
    <n v="139327567"/>
    <n v="22.237100000000002"/>
    <n v="11.3439"/>
    <n v="3486.73"/>
    <n v="2603.6999999999998"/>
    <n v="14280"/>
    <n v="1130"/>
    <n v="59.858276692268419"/>
    <n v="10.950994816978946"/>
    <n v="16"/>
    <n v="159967"/>
    <n v="5581261"/>
    <n v="64975655"/>
    <n v="11173036"/>
    <n v="0"/>
    <x v="6"/>
    <x v="6"/>
  </r>
  <r>
    <s v="istree_exp6_rebuilding_time/step10156.txt"/>
    <x v="0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7940331075098E+17"/>
    <n v="1000007878"/>
    <n v="9.9997940331075098E+17"/>
    <n v="1000007878"/>
    <s v="success"/>
    <n v="7"/>
    <n v="107508620"/>
    <n v="1125590751"/>
    <n v="1233099371"/>
    <n v="1000007878"/>
    <n v="11.469799999999999"/>
    <n v="0.88842900000000002"/>
    <n v="4.0475500000000002"/>
    <n v="26626088416"/>
    <s v="0 0 0 1029014 1107891"/>
    <s v="0 0 0 1029014 1107891"/>
    <m/>
    <n v="389594"/>
    <n v="1436562419606"/>
    <n v="868230825"/>
    <m/>
    <n v="1754042937"/>
    <n v="2067308039"/>
    <n v="255090339"/>
    <n v="948696938"/>
    <n v="0"/>
    <n v="105411896"/>
    <n v="948696938"/>
    <n v="1054108834"/>
    <n v="15811615"/>
    <n v="0"/>
    <n v="1756864"/>
    <n v="15811615"/>
    <n v="17568480"/>
    <n v="22.913399999999999"/>
    <n v="13.5014"/>
    <n v="3801.89"/>
    <n v="3041.25"/>
    <n v="61812"/>
    <n v="16228"/>
    <n v="59.856767483583333"/>
    <n v="0.20602800583333333"/>
    <n v="0"/>
    <n v="0"/>
    <n v="0"/>
    <n v="1029014"/>
    <n v="1107891"/>
    <n v="0"/>
    <x v="7"/>
    <x v="7"/>
  </r>
  <r>
    <s v="istree_exp6_rebuilding_time/step10157.txt"/>
    <x v="0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2098021763E+18"/>
    <n v="1000006436"/>
    <n v="1.00002098021763E+18"/>
    <n v="1000006436"/>
    <s v="success"/>
    <n v="7"/>
    <n v="119372497"/>
    <n v="1150648594"/>
    <n v="1270021091"/>
    <n v="1000006436"/>
    <n v="10.639099999999999"/>
    <n v="0.86908099999999999"/>
    <n v="4.0731599999999997"/>
    <n v="27996863184"/>
    <s v="0 0 0 4905413 2908241"/>
    <s v="0 0 0 4905413 2908241"/>
    <m/>
    <n v="171620"/>
    <n v="2873119610671"/>
    <n v="5183497533"/>
    <m/>
    <n v="9153604647"/>
    <n v="9200410946"/>
    <n v="1883078425"/>
    <n v="1701115189"/>
    <n v="0"/>
    <n v="189004262"/>
    <n v="1701115189"/>
    <n v="1890119451"/>
    <n v="28351919"/>
    <n v="0"/>
    <n v="3150071"/>
    <n v="28351919"/>
    <n v="31501990"/>
    <n v="23.1525"/>
    <n v="13.710900000000001"/>
    <n v="4239.6499999999996"/>
    <n v="3534.2"/>
    <n v="63670"/>
    <n v="12518"/>
    <n v="59.856658555645829"/>
    <n v="0.52959565731250002"/>
    <n v="0"/>
    <n v="0"/>
    <n v="0"/>
    <n v="4905413"/>
    <n v="2908241"/>
    <n v="0"/>
    <x v="7"/>
    <x v="7"/>
  </r>
  <r>
    <s v="istree_exp6_rebuilding_time/step10158.txt"/>
    <x v="0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7880648783104E+17"/>
    <n v="1000000850"/>
    <n v="9.9997880648783104E+17"/>
    <n v="1000000850"/>
    <s v="success"/>
    <n v="7"/>
    <n v="126398331"/>
    <n v="1167598966"/>
    <n v="1293997297"/>
    <n v="1000000850"/>
    <n v="10.237500000000001"/>
    <n v="0.85645899999999997"/>
    <n v="4.0895999999999999"/>
    <n v="28858099920"/>
    <s v="0 0 430406 25624447 7849873"/>
    <s v="0 0 430406 25624440 7849873"/>
    <n v="12"/>
    <n v="89816"/>
    <n v="5746213596376"/>
    <n v="31553944464"/>
    <n v="21408"/>
    <n v="45503184845"/>
    <n v="40895311883"/>
    <n v="10727459300"/>
    <n v="3585242282"/>
    <n v="0"/>
    <n v="398362188"/>
    <n v="3585242282"/>
    <n v="3983604470"/>
    <n v="59754038"/>
    <n v="0"/>
    <n v="6639369"/>
    <n v="59754038"/>
    <n v="66393407"/>
    <n v="23.62"/>
    <n v="14.7098"/>
    <n v="4019.38"/>
    <n v="3251.26"/>
    <n v="66639"/>
    <n v="9623"/>
    <n v="59.856391628916668"/>
    <n v="1.3404158531250001"/>
    <n v="0"/>
    <n v="0"/>
    <n v="430406"/>
    <n v="25624440"/>
    <n v="7849873"/>
    <n v="0"/>
    <x v="7"/>
    <x v="7"/>
  </r>
  <r>
    <s v="istree_exp6_rebuilding_time/step10159.txt"/>
    <x v="0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7966745083302E+17"/>
    <n v="999972382"/>
    <n v="9.9997966745083302E+17"/>
    <n v="999972382"/>
    <s v="success"/>
    <n v="7"/>
    <n v="87796389"/>
    <n v="1085451629"/>
    <n v="1173248018"/>
    <n v="999972382"/>
    <n v="13.363300000000001"/>
    <n v="0.92125000000000001"/>
    <n v="4.0067000000000004"/>
    <n v="24391290528"/>
    <s v="1 31578 2160540 33492023 9461580"/>
    <s v="1 31577 2160529 33492010 9461580"/>
    <n v="25782"/>
    <n v="48408"/>
    <n v="8619431963119"/>
    <n v="187171629910"/>
    <n v="6784701992"/>
    <n v="695082413117"/>
    <n v="207524963187"/>
    <n v="106907095784"/>
    <n v="4621528052"/>
    <n v="0"/>
    <n v="513473695"/>
    <n v="4621528052"/>
    <n v="5135001747"/>
    <n v="77025467"/>
    <n v="0"/>
    <n v="8557894"/>
    <n v="77025467"/>
    <n v="85583362"/>
    <n v="25.21"/>
    <n v="15.8931"/>
    <n v="4374.82"/>
    <n v="3538.8"/>
    <n v="102914"/>
    <n v="9505"/>
    <n v="59.857166410548608"/>
    <n v="8.3574361388194447"/>
    <n v="1"/>
    <n v="31577"/>
    <n v="2160529"/>
    <n v="33492010"/>
    <n v="9461580"/>
    <n v="0"/>
    <x v="7"/>
    <x v="7"/>
  </r>
  <r>
    <s v="istree_exp6_rebuilding_time/step10160.txt"/>
    <x v="0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0797716625E+18"/>
    <n v="1000013712"/>
    <n v="1.00000797716625E+18"/>
    <n v="1000013712"/>
    <s v="success"/>
    <n v="7"/>
    <n v="116975881"/>
    <n v="1145491886"/>
    <n v="1262467767"/>
    <n v="1000013712"/>
    <n v="10.7925"/>
    <n v="0.87299899999999997"/>
    <n v="4.0679100000000004"/>
    <n v="27717568944"/>
    <s v="5 31597 2148972 37102582 11860915"/>
    <s v="1 31595 2148953 37102573 11860915"/>
    <n v="34524"/>
    <n v="34712"/>
    <n v="11372731625447"/>
    <n v="240130983501"/>
    <n v="4303855199"/>
    <n v="737474592329"/>
    <n v="222597422303"/>
    <n v="346628435292"/>
    <n v="6013468420"/>
    <n v="0"/>
    <n v="668170845"/>
    <n v="6013468420"/>
    <n v="6681639265"/>
    <n v="100224473"/>
    <n v="0"/>
    <n v="11136180"/>
    <n v="100224473"/>
    <n v="111360654"/>
    <n v="24.833600000000001"/>
    <n v="15.7272"/>
    <n v="4488.93"/>
    <n v="3629.84"/>
    <n v="120101"/>
    <n v="9127"/>
    <n v="59.85648223919474"/>
    <n v="8.1638699401263146"/>
    <n v="1"/>
    <n v="31595"/>
    <n v="2148953"/>
    <n v="37102573"/>
    <n v="11860915"/>
    <n v="0"/>
    <x v="7"/>
    <x v="7"/>
  </r>
  <r>
    <s v="istree_exp6_rebuilding_time/step10161.txt"/>
    <x v="0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1080354429"/>
    <n v="1000959"/>
    <n v="1001080354429"/>
    <n v="1000959"/>
    <s v="success"/>
    <n v="6"/>
    <n v="57790"/>
    <n v="1082845"/>
    <n v="1140635"/>
    <n v="1000959"/>
    <n v="19.7376"/>
    <n v="0.92437899999999995"/>
    <n v="3.0514600000000001"/>
    <n v="21970064"/>
    <s v="4160 1835523 26370748 29537094"/>
    <s v="2041 1828347 26363312 29536460"/>
    <n v="917780"/>
    <n v="1040756"/>
    <n v="1436556109410"/>
    <n v="93631202938"/>
    <n v="1090356641"/>
    <n v="109283623890"/>
    <n v="79536604121"/>
    <n v="44167050711"/>
    <n v="1530825808"/>
    <n v="0"/>
    <n v="1020554409"/>
    <n v="1530825808"/>
    <n v="2551380217"/>
    <n v="25513763"/>
    <n v="0"/>
    <n v="17009240"/>
    <n v="25513763"/>
    <n v="42523003"/>
    <n v="15.7201"/>
    <n v="1.0400100000000001"/>
    <n v="1572.59"/>
    <n v="618.55200000000002"/>
    <n v="1239"/>
    <n v="28"/>
    <n v="59.856504558750004"/>
    <n v="13.654534929208333"/>
    <n v="2041"/>
    <n v="1828347"/>
    <n v="26363312"/>
    <n v="29536460"/>
    <n v="0"/>
    <n v="0"/>
    <x v="8"/>
    <x v="8"/>
  </r>
  <r>
    <s v="istree_exp6_rebuilding_time/step10162.txt"/>
    <x v="0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7850372488"/>
    <n v="998354"/>
    <n v="997850372488"/>
    <n v="998354"/>
    <s v="success"/>
    <n v="6"/>
    <n v="43269"/>
    <n v="1051176"/>
    <n v="1094445"/>
    <n v="998354"/>
    <n v="25.294"/>
    <n v="0.94974999999999998"/>
    <n v="3.0209299999999999"/>
    <n v="20284240"/>
    <s v="7587 2850404 27049138 39184672"/>
    <s v="2886 2844045 27027454 39182867"/>
    <n v="3695220"/>
    <n v="375500"/>
    <n v="2873113319784"/>
    <n v="243572504298"/>
    <n v="5040125363"/>
    <n v="272085054916"/>
    <n v="151673490965"/>
    <n v="102719061807"/>
    <n v="2163855916"/>
    <n v="0"/>
    <n v="1442646445"/>
    <n v="2163855916"/>
    <n v="3606502361"/>
    <n v="36064265"/>
    <n v="0"/>
    <n v="24044107"/>
    <n v="36064265"/>
    <n v="60108372"/>
    <n v="16.214600000000001"/>
    <n v="1.52597"/>
    <n v="2176.7199999999998"/>
    <n v="1032.6500000000001"/>
    <n v="1303"/>
    <n v="33"/>
    <n v="59.856527495499996"/>
    <n v="16.147713278104167"/>
    <n v="2886"/>
    <n v="2844045"/>
    <n v="27027454"/>
    <n v="39182867"/>
    <n v="0"/>
    <n v="0"/>
    <x v="8"/>
    <x v="8"/>
  </r>
  <r>
    <s v="istree_exp6_rebuilding_time/step10163.txt"/>
    <x v="0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59361968"/>
    <n v="999154"/>
    <n v="999659361968"/>
    <n v="999154"/>
    <s v="success"/>
    <n v="6"/>
    <n v="57128"/>
    <n v="1080087"/>
    <n v="1137215"/>
    <n v="999154"/>
    <n v="19.906400000000001"/>
    <n v="0.925068"/>
    <n v="3.0505800000000001"/>
    <n v="21876400"/>
    <s v="9444 5532614 9588558 40677687"/>
    <s v="3522 5477451 9557909 40673790"/>
    <n v="14891721"/>
    <n v="125180"/>
    <n v="5746230306997"/>
    <n v="694008137346"/>
    <n v="26628691903"/>
    <n v="747676122727"/>
    <n v="309412508695"/>
    <n v="500244224167"/>
    <n v="2640817201"/>
    <n v="0"/>
    <n v="1760474500"/>
    <n v="2640817201"/>
    <n v="4401291701"/>
    <n v="44013620"/>
    <n v="0"/>
    <n v="29341241"/>
    <n v="44013620"/>
    <n v="73354861"/>
    <n v="19.410900000000002"/>
    <n v="6.0481400000000001"/>
    <n v="3642.33"/>
    <n v="2396.91"/>
    <n v="1445"/>
    <n v="165"/>
    <n v="59.856565697885422"/>
    <n v="23.728850883729166"/>
    <n v="3522"/>
    <n v="5477451"/>
    <n v="9557909"/>
    <n v="40673790"/>
    <n v="0"/>
    <n v="0"/>
    <x v="8"/>
    <x v="8"/>
  </r>
  <r>
    <s v="istree_exp6_rebuilding_time/step10164.txt"/>
    <x v="0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693700931"/>
    <n v="999675"/>
    <n v="999693700931"/>
    <n v="999675"/>
    <s v="success"/>
    <n v="6"/>
    <n v="51589"/>
    <n v="1069314"/>
    <n v="1120903"/>
    <n v="999675"/>
    <n v="21.727599999999999"/>
    <n v="0.93487500000000001"/>
    <n v="3.0386000000000002"/>
    <n v="21251408"/>
    <s v="10407 11180217 2012726 31083066"/>
    <s v="3829 11082866 1998425 31078783"/>
    <n v="36420651"/>
    <n v="61916"/>
    <n v="8619353295963"/>
    <n v="1355650418417"/>
    <n v="68587540417"/>
    <n v="1503268077320"/>
    <n v="397898011939"/>
    <n v="1072136686540"/>
    <n v="2870576599"/>
    <n v="0"/>
    <n v="1913674575"/>
    <n v="2870576599"/>
    <n v="4784251174"/>
    <n v="47842943"/>
    <n v="0"/>
    <n v="31894576"/>
    <n v="47842943"/>
    <n v="79737519"/>
    <n v="24.317499999999999"/>
    <n v="10.4573"/>
    <n v="5026.6099999999997"/>
    <n v="3557.41"/>
    <n v="1653"/>
    <n v="153"/>
    <n v="59.856620110854159"/>
    <n v="30.538477323840279"/>
    <n v="3829"/>
    <n v="11082866"/>
    <n v="1998425"/>
    <n v="31078783"/>
    <n v="0"/>
    <n v="0"/>
    <x v="8"/>
    <x v="8"/>
  </r>
  <r>
    <s v="istree_exp6_rebuilding_time/step10165.txt"/>
    <x v="0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8273778640"/>
    <n v="998342"/>
    <n v="998273778640"/>
    <n v="998342"/>
    <s v="success"/>
    <n v="6"/>
    <n v="58177"/>
    <n v="1081731"/>
    <n v="1139908"/>
    <n v="998342"/>
    <n v="19.593800000000002"/>
    <n v="0.92291199999999995"/>
    <n v="3.0529700000000002"/>
    <n v="21989360"/>
    <s v="12610 10329722 5016084 41183813"/>
    <s v="4393 10213359 4980717 41176879"/>
    <n v="49052317"/>
    <n v="40228"/>
    <n v="11372754533594"/>
    <n v="1743329350264"/>
    <n v="106313501170"/>
    <n v="2018014691246"/>
    <n v="536642153849"/>
    <n v="1890064043508"/>
    <n v="3291196736"/>
    <n v="0"/>
    <n v="2194171131"/>
    <n v="3291196736"/>
    <n v="5485367867"/>
    <n v="54853278"/>
    <n v="0"/>
    <n v="36569518"/>
    <n v="54853278"/>
    <n v="91422797"/>
    <n v="24.829799999999999"/>
    <n v="11.6989"/>
    <n v="5780.81"/>
    <n v="4279.58"/>
    <n v="1858"/>
    <n v="363"/>
    <n v="59.856602808389468"/>
    <n v="33.12823021072105"/>
    <n v="4393"/>
    <n v="10213359"/>
    <n v="4980717"/>
    <n v="41176879"/>
    <n v="0"/>
    <n v="0"/>
    <x v="8"/>
    <x v="8"/>
  </r>
  <r>
    <s v="istree_exp6_rebuilding_time/step10166.txt"/>
    <x v="0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9229168348"/>
    <n v="9998271"/>
    <n v="99979229168348"/>
    <n v="9998271"/>
    <s v="success"/>
    <n v="7"/>
    <n v="1907352"/>
    <n v="12035383"/>
    <n v="13942735"/>
    <n v="9998271"/>
    <n v="7.31"/>
    <n v="0.83074000000000003"/>
    <n v="4.0564200000000001"/>
    <n v="345191888"/>
    <s v="152 262914 7544759 69169915 232832"/>
    <s v="94 262326 7544353 69169590 232831"/>
    <n v="128100"/>
    <n v="448928"/>
    <n v="1436558438971"/>
    <n v="137361456483"/>
    <n v="613393721"/>
    <n v="155624773134"/>
    <n v="90756668055"/>
    <n v="64583249122"/>
    <n v="709365033"/>
    <n v="0"/>
    <n v="472900859"/>
    <n v="709365033"/>
    <n v="1182265892"/>
    <n v="11822750"/>
    <n v="0"/>
    <n v="7881680"/>
    <n v="11822750"/>
    <n v="19704431"/>
    <n v="25.892399999999999"/>
    <n v="11.0581"/>
    <n v="3367.82"/>
    <n v="2129.0500000000002"/>
    <n v="2450"/>
    <n v="155"/>
    <n v="59.856601623791668"/>
    <n v="18.705814188125"/>
    <n v="94"/>
    <n v="262326"/>
    <n v="7544353"/>
    <n v="69169590"/>
    <n v="232831"/>
    <n v="0"/>
    <x v="9"/>
    <x v="9"/>
  </r>
  <r>
    <s v="istree_exp6_rebuilding_time/step10167.txt"/>
    <x v="0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09117721855"/>
    <n v="10000510"/>
    <n v="100009117721855"/>
    <n v="10000510"/>
    <s v="success"/>
    <n v="7"/>
    <n v="1788669"/>
    <n v="11776027"/>
    <n v="13564696"/>
    <n v="10000510"/>
    <n v="7.5836800000000002"/>
    <n v="0.84922600000000004"/>
    <n v="4.0325899999999999"/>
    <n v="331512416"/>
    <s v="315 475499 10395020 108860900 353634"/>
    <s v="153 474955 10393545 108859479 353633"/>
    <n v="523086"/>
    <n v="187982"/>
    <n v="2873117434134"/>
    <n v="282568899181"/>
    <n v="2786096249"/>
    <n v="362514775197"/>
    <n v="203320779085"/>
    <n v="138121357685"/>
    <n v="1149021512"/>
    <n v="0"/>
    <n v="765935330"/>
    <n v="1149021512"/>
    <n v="1914956842"/>
    <n v="19150358"/>
    <n v="0"/>
    <n v="12765588"/>
    <n v="19150358"/>
    <n v="31915947"/>
    <n v="26.7012"/>
    <n v="11.682499999999999"/>
    <n v="4152.88"/>
    <n v="2778.95"/>
    <n v="2508"/>
    <n v="154"/>
    <n v="59.856613211125001"/>
    <n v="20.610664737437499"/>
    <n v="153"/>
    <n v="474955"/>
    <n v="10393545"/>
    <n v="108859479"/>
    <n v="353633"/>
    <n v="0"/>
    <x v="9"/>
    <x v="9"/>
  </r>
  <r>
    <s v="istree_exp6_rebuilding_time/step10168.txt"/>
    <x v="0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6209339838"/>
    <n v="9999717"/>
    <n v="99996209339838"/>
    <n v="9999717"/>
    <s v="success"/>
    <n v="7"/>
    <n v="1828072"/>
    <n v="11858215"/>
    <n v="13686287"/>
    <n v="9999717"/>
    <n v="7.4867299999999997"/>
    <n v="0.84327300000000005"/>
    <n v="4.0404999999999998"/>
    <n v="335983120"/>
    <s v="795 853874 12455632 185118597 539783"/>
    <s v="270 853619 12451052 185114010 539780"/>
    <n v="1903950"/>
    <n v="90066"/>
    <n v="5746236129670"/>
    <n v="505630016825"/>
    <n v="11710956901"/>
    <n v="749330889555"/>
    <n v="678847882463"/>
    <n v="257255392736"/>
    <n v="2026598172"/>
    <n v="0"/>
    <n v="1351133464"/>
    <n v="2026598172"/>
    <n v="3377731636"/>
    <n v="33776636"/>
    <n v="0"/>
    <n v="22518891"/>
    <n v="33776636"/>
    <n v="56295527"/>
    <n v="27.591999999999999"/>
    <n v="13.5418"/>
    <n v="4670.72"/>
    <n v="3207.24"/>
    <n v="2653"/>
    <n v="268"/>
    <n v="59.856626350729165"/>
    <n v="22.945574359166667"/>
    <n v="270"/>
    <n v="853619"/>
    <n v="12451052"/>
    <n v="185114010"/>
    <n v="539780"/>
    <n v="0"/>
    <x v="9"/>
    <x v="9"/>
  </r>
  <r>
    <s v="istree_exp6_rebuilding_time/step10169.txt"/>
    <x v="0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18833727780"/>
    <n v="10002065"/>
    <n v="100018833727780"/>
    <n v="10002065"/>
    <s v="success"/>
    <n v="7"/>
    <n v="1880429"/>
    <n v="11985393"/>
    <n v="13865822"/>
    <n v="10002065"/>
    <n v="7.3737500000000002"/>
    <n v="0.83452099999999996"/>
    <n v="4.0506599999999997"/>
    <n v="342237520"/>
    <s v="1247 1199414 10050857 254006277 636961"/>
    <s v="379 1199030 10044053 253996809 636951"/>
    <n v="3880541"/>
    <n v="58540"/>
    <n v="8619361818431"/>
    <n v="715319199822"/>
    <n v="24273441250"/>
    <n v="1091164008634"/>
    <n v="1286618718113"/>
    <n v="385833337047"/>
    <n v="2847089320"/>
    <n v="0"/>
    <n v="1898056632"/>
    <n v="2847089320"/>
    <n v="4745145952"/>
    <n v="47451488"/>
    <n v="0"/>
    <n v="31634277"/>
    <n v="47451488"/>
    <n v="79085765"/>
    <n v="27.8901"/>
    <n v="14.371"/>
    <n v="4947.12"/>
    <n v="3407.24"/>
    <n v="2832"/>
    <n v="331"/>
    <n v="59.85667929465972"/>
    <n v="24.327838228236111"/>
    <n v="379"/>
    <n v="1199030"/>
    <n v="10044053"/>
    <n v="253996809"/>
    <n v="636951"/>
    <n v="0"/>
    <x v="9"/>
    <x v="9"/>
  </r>
  <r>
    <s v="istree_exp6_rebuilding_time/step10170.txt"/>
    <x v="0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97064174060"/>
    <n v="10006248"/>
    <n v="100097064174060"/>
    <n v="10006248"/>
    <s v="success"/>
    <n v="7"/>
    <n v="1808299"/>
    <n v="11836051"/>
    <n v="13644350"/>
    <n v="10006248"/>
    <n v="7.5454100000000004"/>
    <n v="0.84540400000000004"/>
    <n v="4.0362799999999996"/>
    <n v="334066800"/>
    <s v="1688 1450397 12231429 307018146 770836"/>
    <s v="458 1449926 12220651 307003365 770813"/>
    <n v="6110352"/>
    <n v="43836"/>
    <n v="11372814582990"/>
    <n v="918867942284"/>
    <n v="40765054262"/>
    <n v="1488414630706"/>
    <n v="2068668687288"/>
    <n v="505041055357"/>
    <n v="3440249964"/>
    <n v="0"/>
    <n v="2293437486"/>
    <n v="3440249964"/>
    <n v="5733687450"/>
    <n v="57337499"/>
    <n v="0"/>
    <n v="38223958"/>
    <n v="57337499"/>
    <n v="95561457"/>
    <n v="28.551400000000001"/>
    <n v="15.1523"/>
    <n v="5368.98"/>
    <n v="3663.61"/>
    <n v="2957"/>
    <n v="461"/>
    <n v="59.856918857842111"/>
    <n v="26.430301946826315"/>
    <n v="458"/>
    <n v="1449926"/>
    <n v="12220651"/>
    <n v="307003365"/>
    <n v="770813"/>
    <n v="0"/>
    <x v="9"/>
    <x v="9"/>
  </r>
  <r>
    <s v="istree_exp6_rebuilding_time/step10171.txt"/>
    <x v="0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1.00000617209305E+16"/>
    <n v="99998765"/>
    <n v="1.00000617209305E+16"/>
    <n v="99998765"/>
    <s v="success"/>
    <n v="7"/>
    <n v="14717801"/>
    <n v="117769732"/>
    <n v="132487533"/>
    <n v="99998765"/>
    <n v="9.0018600000000006"/>
    <n v="0.84910399999999997"/>
    <n v="4.0758299999999998"/>
    <n v="3065892064"/>
    <s v="8 44595 3652199 32821899 5418862"/>
    <s v="7 44532 3652173 32821880 5418861"/>
    <n v="13728"/>
    <n v="352408"/>
    <n v="1436561372474"/>
    <n v="93949077344"/>
    <n v="166204783"/>
    <n v="123903200595"/>
    <n v="89716814013"/>
    <n v="43213381561"/>
    <n v="585178746"/>
    <n v="0"/>
    <n v="390117098"/>
    <n v="585178746"/>
    <n v="975295844"/>
    <n v="9752979"/>
    <n v="0"/>
    <n v="6501951"/>
    <n v="9752979"/>
    <n v="16254930"/>
    <n v="27.600200000000001"/>
    <n v="13.3371"/>
    <n v="3953.93"/>
    <n v="2851.35"/>
    <n v="12601"/>
    <n v="1567"/>
    <n v="59.856723853083338"/>
    <n v="14.622861595666668"/>
    <n v="7"/>
    <n v="44532"/>
    <n v="3652173"/>
    <n v="32821880"/>
    <n v="5418861"/>
    <n v="0"/>
    <x v="10"/>
    <x v="10"/>
  </r>
  <r>
    <s v="istree_exp6_rebuilding_time/step10172.txt"/>
    <x v="0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350761540420"/>
    <n v="99994051"/>
    <n v="9999350761540420"/>
    <n v="99994051"/>
    <s v="success"/>
    <n v="7"/>
    <n v="14081099"/>
    <n v="116309429"/>
    <n v="130390528"/>
    <n v="99994051"/>
    <n v="9.2599699999999991"/>
    <n v="0.85972400000000004"/>
    <n v="4.0635899999999996"/>
    <n v="2989837936"/>
    <s v="23 103254 5639497 50483021 8417888"/>
    <s v="12 103082 5639388 50482932 8417883"/>
    <n v="67331"/>
    <n v="128498"/>
    <n v="2873119566647"/>
    <n v="234783817234"/>
    <n v="1159222235"/>
    <n v="309926780527"/>
    <n v="215103035165"/>
    <n v="105185554102"/>
    <n v="925334033"/>
    <n v="0"/>
    <n v="616809907"/>
    <n v="925334033"/>
    <n v="1542143940"/>
    <n v="15422233"/>
    <n v="0"/>
    <n v="10280165"/>
    <n v="15422233"/>
    <n v="25702399"/>
    <n v="29.657"/>
    <n v="14.340400000000001"/>
    <n v="4946.75"/>
    <n v="3641.04"/>
    <n v="13160"/>
    <n v="1304"/>
    <n v="59.856657638479163"/>
    <n v="18.044966859645832"/>
    <n v="12"/>
    <n v="103082"/>
    <n v="5639388"/>
    <n v="50482932"/>
    <n v="8417883"/>
    <n v="0"/>
    <x v="10"/>
    <x v="10"/>
  </r>
  <r>
    <s v="istree_exp6_rebuilding_time/step10173.txt"/>
    <x v="0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658806136500"/>
    <n v="99998733"/>
    <n v="9999658806136500"/>
    <n v="99998733"/>
    <s v="success"/>
    <n v="7"/>
    <n v="14947457"/>
    <n v="118274945"/>
    <n v="133222402"/>
    <n v="99998733"/>
    <n v="8.9127100000000006"/>
    <n v="0.84547700000000003"/>
    <n v="4.0821699999999996"/>
    <n v="3092447632"/>
    <s v="69 218179 8711165 90211894 15241461"/>
    <s v="22 218082 8710726 90211619 15241445"/>
    <n v="328908"/>
    <n v="55798"/>
    <n v="5746292888986"/>
    <n v="436635825244"/>
    <n v="8551154026"/>
    <n v="696399618329"/>
    <n v="691518238577"/>
    <n v="210965437786"/>
    <n v="1697960534"/>
    <n v="0"/>
    <n v="1131945598"/>
    <n v="1697960534"/>
    <n v="2829906132"/>
    <n v="28299342"/>
    <n v="0"/>
    <n v="18865759"/>
    <n v="28299342"/>
    <n v="47165102"/>
    <n v="30.675599999999999"/>
    <n v="16.047699999999999"/>
    <n v="5267.07"/>
    <n v="3845.89"/>
    <n v="13751"/>
    <n v="1067"/>
    <n v="59.857217593604169"/>
    <n v="21.292398687104168"/>
    <n v="22"/>
    <n v="218082"/>
    <n v="8710726"/>
    <n v="90211619"/>
    <n v="15241445"/>
    <n v="0"/>
    <x v="10"/>
    <x v="10"/>
  </r>
  <r>
    <s v="istree_exp6_rebuilding_time/step10174.txt"/>
    <x v="0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05590747579E+16"/>
    <n v="99999535"/>
    <n v="1.00005590747579E+16"/>
    <n v="99999535"/>
    <s v="success"/>
    <n v="7"/>
    <n v="14594592"/>
    <n v="117482832"/>
    <n v="132077424"/>
    <n v="99999535"/>
    <n v="9.0497499999999995"/>
    <n v="0.85118400000000005"/>
    <n v="4.0726699999999996"/>
    <n v="3051263728"/>
    <s v="118 309993 11073868 124385533 21269877"/>
    <s v="31 309958 11073104 124384942 21269821"/>
    <n v="652803"/>
    <n v="34134"/>
    <n v="8619426840394"/>
    <n v="619588077908"/>
    <n v="26964445727"/>
    <n v="1109055221101"/>
    <n v="1235683610640"/>
    <n v="321920195673"/>
    <n v="2387647343"/>
    <n v="0"/>
    <n v="1591798776"/>
    <n v="2387647343"/>
    <n v="3979446119"/>
    <n v="39794122"/>
    <n v="0"/>
    <n v="26529979"/>
    <n v="39794122"/>
    <n v="66324101"/>
    <n v="30.927099999999999"/>
    <n v="16.8886"/>
    <n v="5489.85"/>
    <n v="4038.71"/>
    <n v="14193"/>
    <n v="1151"/>
    <n v="59.857130836069445"/>
    <n v="23.008413548951388"/>
    <n v="31"/>
    <n v="309958"/>
    <n v="11073104"/>
    <n v="124384942"/>
    <n v="21269821"/>
    <n v="0"/>
    <x v="10"/>
    <x v="10"/>
  </r>
  <r>
    <s v="istree_exp6_rebuilding_time/step10175.txt"/>
    <x v="0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5064299046E+16"/>
    <n v="100000129"/>
    <n v="1.00005064299046E+16"/>
    <n v="100000129"/>
    <s v="success"/>
    <n v="7"/>
    <n v="14652096"/>
    <n v="117575485"/>
    <n v="132227581"/>
    <n v="100000129"/>
    <n v="9.0244800000000005"/>
    <n v="0.85051900000000002"/>
    <n v="4.0758599999999996"/>
    <n v="3056791296"/>
    <s v="139 389969 13420613 152795269 26282964"/>
    <s v="39 389923 13419297 152794356 26282892"/>
    <n v="1049371"/>
    <n v="24246"/>
    <n v="11372769681230"/>
    <n v="798987521990"/>
    <n v="43442532178"/>
    <n v="1544374424306"/>
    <n v="1827555857131"/>
    <n v="440400779819"/>
    <n v="2960153222"/>
    <n v="0"/>
    <n v="1973509406"/>
    <n v="2960153222"/>
    <n v="4933662628"/>
    <n v="49335887"/>
    <n v="0"/>
    <n v="32891823"/>
    <n v="49335887"/>
    <n v="82227710"/>
    <n v="31.314399999999999"/>
    <n v="17.481300000000001"/>
    <n v="5760.27"/>
    <n v="4254.84"/>
    <n v="14445"/>
    <n v="1214"/>
    <n v="59.85668253278947"/>
    <n v="24.498742712757895"/>
    <n v="39"/>
    <n v="389923"/>
    <n v="13419297"/>
    <n v="152794356"/>
    <n v="26282892"/>
    <n v="0"/>
    <x v="10"/>
    <x v="10"/>
  </r>
  <r>
    <s v="istree_exp6_rebuilding_time/step10176.txt"/>
    <x v="0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7294326676595E+17"/>
    <n v="1000001008"/>
    <n v="9.9997294326676595E+17"/>
    <n v="1000001008"/>
    <s v="success"/>
    <n v="7"/>
    <n v="128048048"/>
    <n v="1170628575"/>
    <n v="1298676623"/>
    <n v="1000001008"/>
    <n v="10.142099999999999"/>
    <n v="0.85424299999999997"/>
    <n v="4.0929000000000002"/>
    <n v="29038635632"/>
    <s v="0 0 103852 20784202 6913291"/>
    <s v="0 0 103852 20784198 6913291"/>
    <n v="3"/>
    <n v="334356"/>
    <n v="1436560370091"/>
    <n v="16970001411"/>
    <n v="3090"/>
    <n v="22962536719"/>
    <n v="21359439576"/>
    <n v="3722323234"/>
    <n v="533966470"/>
    <n v="0"/>
    <n v="355948809"/>
    <n v="533966470"/>
    <n v="889915279"/>
    <n v="8899441"/>
    <n v="0"/>
    <n v="5932480"/>
    <n v="8899441"/>
    <n v="14831921"/>
    <n v="26.061800000000002"/>
    <n v="15.3353"/>
    <n v="4411.12"/>
    <n v="3495.93"/>
    <n v="62803"/>
    <n v="16198"/>
    <n v="59.856682087125002"/>
    <n v="2.7089293345833334"/>
    <n v="0"/>
    <n v="0"/>
    <n v="103852"/>
    <n v="20784198"/>
    <n v="6913291"/>
    <n v="0"/>
    <x v="11"/>
    <x v="11"/>
  </r>
  <r>
    <s v="istree_exp6_rebuilding_time/step10177.txt"/>
    <x v="0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0071481119E+18"/>
    <n v="999984581"/>
    <n v="1.00000071481119E+18"/>
    <n v="999984581"/>
    <s v="success"/>
    <n v="7"/>
    <n v="87214517"/>
    <n v="1084293756"/>
    <n v="1171508273"/>
    <n v="999984581"/>
    <n v="13.432499999999999"/>
    <n v="0.92224499999999998"/>
    <n v="4.0055199999999997"/>
    <n v="24326099824"/>
    <s v="1 26351 2536366 34436384 9619099"/>
    <s v="1 26331 2536355 34436377 9619099"/>
    <n v="10657"/>
    <n v="115582"/>
    <n v="2873131699047"/>
    <n v="176947265242"/>
    <n v="175816543"/>
    <n v="268668941281"/>
    <n v="123344714501"/>
    <n v="89186465180"/>
    <n v="766667975"/>
    <n v="0"/>
    <n v="511077222"/>
    <n v="766667975"/>
    <n v="1277745197"/>
    <n v="12777799"/>
    <n v="0"/>
    <n v="8517953"/>
    <n v="12777799"/>
    <n v="21295753"/>
    <n v="31.860099999999999"/>
    <n v="19.169"/>
    <n v="6079.43"/>
    <n v="4913.5200000000004"/>
    <n v="85068"/>
    <n v="12059"/>
    <n v="59.856910396812502"/>
    <n v="13.715066723895832"/>
    <n v="1"/>
    <n v="26331"/>
    <n v="2536355"/>
    <n v="34436377"/>
    <n v="9619099"/>
    <n v="0"/>
    <x v="11"/>
    <x v="11"/>
  </r>
  <r>
    <s v="istree_exp6_rebuilding_time/step10178.txt"/>
    <x v="0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1.00002532356726E+18"/>
    <n v="1000008277"/>
    <n v="1.00002532356726E+18"/>
    <n v="1000008277"/>
    <s v="success"/>
    <n v="7"/>
    <n v="84465058"/>
    <n v="1078812842"/>
    <n v="1163277900"/>
    <n v="1000008277"/>
    <n v="13.7723"/>
    <n v="0.92695300000000003"/>
    <n v="4"/>
    <n v="24018210096"/>
    <s v="3 61933 4627299 67771865 19004405"/>
    <s v="2 61911 4627270 67771827 19004401"/>
    <n v="55056"/>
    <n v="53484"/>
    <n v="5952687147645"/>
    <n v="375786534521"/>
    <n v="6014871092"/>
    <n v="924718936273"/>
    <n v="373630234119"/>
    <n v="200708799284"/>
    <n v="1500122949"/>
    <n v="0"/>
    <n v="1000023685"/>
    <n v="1500122949"/>
    <n v="2500146634"/>
    <n v="25002049"/>
    <n v="0"/>
    <n v="16667061"/>
    <n v="25002049"/>
    <n v="41669110"/>
    <n v="33.191099999999999"/>
    <n v="20.957699999999999"/>
    <n v="5935.31"/>
    <n v="4687.4399999999996"/>
    <n v="87575"/>
    <n v="9561"/>
    <n v="62.007157787968744"/>
    <n v="19.592285159260417"/>
    <n v="2"/>
    <n v="61911"/>
    <n v="4627270"/>
    <n v="67771827"/>
    <n v="19004401"/>
    <n v="0"/>
    <x v="11"/>
    <x v="11"/>
  </r>
  <r>
    <s v="istree_exp6_rebuilding_time/step10179.txt"/>
    <x v="0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490872156403E+17"/>
    <n v="999994258"/>
    <n v="9.9998490872156403E+17"/>
    <n v="999994258"/>
    <s v="success"/>
    <n v="7"/>
    <n v="105900457"/>
    <n v="1124379972"/>
    <n v="1230280429"/>
    <n v="999994258"/>
    <n v="11.6173"/>
    <n v="0.889374"/>
    <n v="4.04575"/>
    <n v="26493680080"/>
    <s v="4 74528 6381121 100174231 28196546"/>
    <s v="2 74524 6381058 100174181 28196539"/>
    <n v="96151"/>
    <n v="34272"/>
    <n v="8619596813032"/>
    <n v="473418261726"/>
    <n v="4995589512"/>
    <n v="1183608917960"/>
    <n v="558695292522"/>
    <n v="249983803715"/>
    <n v="2216933928"/>
    <n v="0"/>
    <n v="1477972260"/>
    <n v="2216933928"/>
    <n v="3694906188"/>
    <n v="36948898"/>
    <n v="0"/>
    <n v="24632871"/>
    <n v="36948898"/>
    <n v="61581769"/>
    <n v="32.031700000000001"/>
    <n v="20.577200000000001"/>
    <n v="5896.33"/>
    <n v="4678.53"/>
    <n v="120316"/>
    <n v="9384"/>
    <n v="59.858311201611109"/>
    <n v="17.157651843298609"/>
    <n v="2"/>
    <n v="74524"/>
    <n v="6381058"/>
    <n v="100174181"/>
    <n v="28196539"/>
    <n v="0"/>
    <x v="11"/>
    <x v="11"/>
  </r>
  <r>
    <s v="istree_exp6_rebuilding_time/step10180.txt"/>
    <x v="0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9.9997371529294502E+17"/>
    <n v="999983032"/>
    <n v="9.9997371529294502E+17"/>
    <n v="999983032"/>
    <s v="success"/>
    <n v="7"/>
    <n v="122530369"/>
    <n v="1157537902"/>
    <n v="1280068271"/>
    <n v="999983032"/>
    <n v="10.446899999999999"/>
    <n v="0.86388799999999999"/>
    <n v="4.0801499999999997"/>
    <n v="28367504512"/>
    <s v="14 94770 6448053 107725514 31999640"/>
    <s v="3 94763 6447940 107725423 31999637"/>
    <n v="154993"/>
    <n v="22702"/>
    <n v="11372873422790"/>
    <n v="608255984628"/>
    <n v="10936272542"/>
    <n v="2014421770463"/>
    <n v="858388373686"/>
    <n v="483108555143"/>
    <n v="2583785725"/>
    <n v="0"/>
    <n v="1722514879"/>
    <n v="2583785725"/>
    <n v="4306300604"/>
    <n v="43063095"/>
    <n v="0"/>
    <n v="28708581"/>
    <n v="43063095"/>
    <n v="71771676"/>
    <n v="33.029000000000003"/>
    <n v="21.4343"/>
    <n v="6298.7"/>
    <n v="5007.93"/>
    <n v="120798"/>
    <n v="9222"/>
    <n v="59.857228541000005"/>
    <n v="20.921636612957894"/>
    <n v="3"/>
    <n v="94763"/>
    <n v="6447940"/>
    <n v="107725423"/>
    <n v="31999637"/>
    <n v="0"/>
    <x v="11"/>
    <x v="11"/>
  </r>
  <r>
    <s v="istree_exp6_rebuilding_time/step10181.txt"/>
    <x v="1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0703501345"/>
    <n v="1000495"/>
    <n v="1000703501345"/>
    <n v="1000495"/>
    <s v="success"/>
    <n v="6"/>
    <n v="81968"/>
    <n v="1133664"/>
    <n v="1215632"/>
    <n v="1000495"/>
    <n v="14.8306"/>
    <n v="0.88253199999999998"/>
    <n v="3.10581"/>
    <n v="24782944"/>
    <s v="92 81679 1177464 1324521"/>
    <s v="91 81664 1177443 1324521"/>
    <m/>
    <n v="1688288"/>
    <n v="1436560810131"/>
    <n v="4002148031"/>
    <n v="85516035611"/>
    <n v="6043943795"/>
    <n v="5218424968"/>
    <n v="2208708108"/>
    <n v="4528370260"/>
    <n v="0"/>
    <n v="45736918"/>
    <n v="4528370260"/>
    <n v="4574107178"/>
    <n v="75472837"/>
    <n v="0"/>
    <n v="762281"/>
    <n v="75472837"/>
    <n v="76235119"/>
    <n v="8.4232099999999992"/>
    <n v="9.8000199999999996E-2"/>
    <n v="876.76499999999999"/>
    <n v="258.99200000000002"/>
    <n v="1428"/>
    <n v="27"/>
    <n v="59.856700422124995"/>
    <n v="4.2912191880416666"/>
    <n v="91"/>
    <n v="81664"/>
    <n v="1177443"/>
    <n v="1324521"/>
    <n v="0"/>
    <n v="0"/>
    <x v="0"/>
    <x v="12"/>
  </r>
  <r>
    <s v="istree_exp6_rebuilding_time/step10182.txt"/>
    <x v="1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010037591"/>
    <n v="1000725"/>
    <n v="1000010037591"/>
    <n v="1000725"/>
    <s v="success"/>
    <n v="6"/>
    <n v="33047"/>
    <n v="1032777"/>
    <n v="1065824"/>
    <n v="1000725"/>
    <n v="32.251800000000003"/>
    <n v="0.96896499999999997"/>
    <n v="3.0000200000000001"/>
    <n v="19168176"/>
    <s v="141 130279 1236799 1795448"/>
    <s v="132 130257 1236725 1795443"/>
    <m/>
    <n v="598344"/>
    <n v="2874052395500"/>
    <n v="9498039739"/>
    <n v="354046821933"/>
    <n v="12786173007"/>
    <n v="10451805987"/>
    <n v="4878613383"/>
    <n v="6531810899"/>
    <n v="0"/>
    <n v="65989884"/>
    <n v="6531810899"/>
    <n v="6597800783"/>
    <n v="108863514"/>
    <n v="0"/>
    <n v="1099831"/>
    <n v="108863514"/>
    <n v="109963346"/>
    <n v="8.2380899999999997"/>
    <n v="0.103048"/>
    <n v="1209.1500000000001"/>
    <n v="361.96600000000001"/>
    <n v="1610"/>
    <n v="70"/>
    <n v="59.876091572916664"/>
    <n v="8.1596136260208336"/>
    <n v="132"/>
    <n v="130257"/>
    <n v="1236725"/>
    <n v="1795443"/>
    <n v="0"/>
    <n v="0"/>
    <x v="0"/>
    <x v="12"/>
  </r>
  <r>
    <s v="istree_exp6_rebuilding_time/step10183.txt"/>
    <x v="1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8668226835"/>
    <n v="998736"/>
    <n v="998668226835"/>
    <n v="998736"/>
    <s v="success"/>
    <n v="6"/>
    <n v="33029"/>
    <n v="1030783"/>
    <n v="1063812"/>
    <n v="998736"/>
    <n v="32.208399999999997"/>
    <n v="0.96891000000000005"/>
    <n v="3.0000499999999999"/>
    <n v="19134832"/>
    <s v="242 349167 607242 2576408"/>
    <s v="223 348874 607055 2576393"/>
    <m/>
    <n v="254324"/>
    <n v="5748995745709"/>
    <n v="29224993579"/>
    <n v="1280963257777"/>
    <n v="28291419399"/>
    <n v="16912284532"/>
    <n v="8566081239"/>
    <n v="11031747425"/>
    <n v="0"/>
    <n v="111446416"/>
    <n v="11031747425"/>
    <n v="11143193841"/>
    <n v="183862457"/>
    <n v="0"/>
    <n v="1857440"/>
    <n v="183862457"/>
    <n v="185719897"/>
    <n v="8.2331299999999992"/>
    <n v="0.23496800000000001"/>
    <n v="1431.48"/>
    <n v="385"/>
    <n v="2108"/>
    <n v="130"/>
    <n v="59.885372351135423"/>
    <n v="14.207896213812498"/>
    <n v="223"/>
    <n v="348874"/>
    <n v="607055"/>
    <n v="2576393"/>
    <n v="0"/>
    <n v="0"/>
    <x v="0"/>
    <x v="12"/>
  </r>
  <r>
    <s v="istree_exp6_rebuilding_time/step10184.txt"/>
    <x v="1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296160101"/>
    <n v="999502"/>
    <n v="999296160101"/>
    <n v="999502"/>
    <s v="success"/>
    <n v="6"/>
    <n v="33042"/>
    <n v="1031577"/>
    <n v="1064619"/>
    <n v="999502"/>
    <n v="32.220199999999998"/>
    <n v="0.96890699999999996"/>
    <n v="3.0000800000000001"/>
    <n v="19148576"/>
    <s v="321 842116 152403 2344731"/>
    <s v="289 841487 152292 2344702"/>
    <m/>
    <n v="147648"/>
    <n v="8620525102994"/>
    <n v="52416336219"/>
    <n v="2622890191720"/>
    <n v="50755993949"/>
    <n v="22113050053"/>
    <n v="14554813779"/>
    <n v="14294055855"/>
    <n v="0"/>
    <n v="144370054"/>
    <n v="14294055855"/>
    <n v="14438425909"/>
    <n v="238234264"/>
    <n v="0"/>
    <n v="2406167"/>
    <n v="238234264"/>
    <n v="240640431"/>
    <n v="8.5021699999999996"/>
    <n v="0.33723399999999998"/>
    <n v="1635.18"/>
    <n v="403.34399999999999"/>
    <n v="2716"/>
    <n v="238"/>
    <n v="59.864757659680549"/>
    <n v="19.185627678611112"/>
    <n v="289"/>
    <n v="841487"/>
    <n v="152292"/>
    <n v="2344702"/>
    <n v="0"/>
    <n v="0"/>
    <x v="0"/>
    <x v="12"/>
  </r>
  <r>
    <s v="istree_exp6_rebuilding_time/step10185.txt"/>
    <x v="1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8783573408"/>
    <n v="998835"/>
    <n v="998783573408"/>
    <n v="998835"/>
    <s v="success"/>
    <n v="6"/>
    <n v="54606"/>
    <n v="1075087"/>
    <n v="1129693"/>
    <n v="998835"/>
    <n v="20.688099999999999"/>
    <n v="0.92907399999999996"/>
    <n v="3.0453600000000001"/>
    <n v="21592672"/>
    <s v="410 839725 406777 3356661"/>
    <s v="357 838852 406494 3356618"/>
    <m/>
    <n v="122634"/>
    <n v="11372775521799"/>
    <n v="63278997326"/>
    <n v="3885128902442"/>
    <n v="55225257640"/>
    <n v="28129016099"/>
    <n v="15704499744"/>
    <n v="17686910582"/>
    <n v="0"/>
    <n v="178667552"/>
    <n v="17686910582"/>
    <n v="17865578134"/>
    <n v="294781843"/>
    <n v="0"/>
    <n v="2977792"/>
    <n v="294781843"/>
    <n v="297759635"/>
    <n v="8.5445100000000007"/>
    <n v="0.39118900000000001"/>
    <n v="1748.11"/>
    <n v="412.846"/>
    <n v="2644"/>
    <n v="223"/>
    <n v="59.856713272626315"/>
    <n v="21.302456175005265"/>
    <n v="357"/>
    <n v="838852"/>
    <n v="406494"/>
    <n v="3356618"/>
    <n v="0"/>
    <n v="0"/>
    <x v="0"/>
    <x v="12"/>
  </r>
  <r>
    <s v="istree_exp6_rebuilding_time/step10186.txt"/>
    <x v="1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99998037398802"/>
    <n v="10001212"/>
    <n v="99998037398802"/>
    <n v="10001212"/>
    <s v="success"/>
    <n v="7"/>
    <n v="1625790"/>
    <n v="11443549"/>
    <n v="13069339"/>
    <n v="10001212"/>
    <n v="8.0387599999999999"/>
    <n v="0.87396099999999999"/>
    <n v="4"/>
    <n v="313159968"/>
    <s v="5 11189 320576 2927630 9720"/>
    <s v="4 11189 320574 2927630 9720"/>
    <m/>
    <n v="718232"/>
    <n v="1450973420309"/>
    <n v="5464746689"/>
    <n v="83754341820"/>
    <n v="7780581405"/>
    <n v="5047488759"/>
    <n v="2088748554"/>
    <n v="1980477927"/>
    <n v="0"/>
    <n v="20004257"/>
    <n v="1980477927"/>
    <n v="2000482184"/>
    <n v="33007965"/>
    <n v="0"/>
    <n v="333404"/>
    <n v="33007965"/>
    <n v="33341369"/>
    <n v="16.1158"/>
    <n v="5.89682"/>
    <n v="2025.35"/>
    <n v="1226.31"/>
    <n v="2674"/>
    <n v="154"/>
    <n v="60.457225846208331"/>
    <n v="4.3389961344583332"/>
    <n v="4"/>
    <n v="11189"/>
    <n v="320574"/>
    <n v="2927630"/>
    <n v="9720"/>
    <n v="0"/>
    <x v="1"/>
    <x v="13"/>
  </r>
  <r>
    <s v="istree_exp6_rebuilding_time/step10187.txt"/>
    <x v="1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2809577319"/>
    <n v="9999961"/>
    <n v="100002809577319"/>
    <n v="9999961"/>
    <s v="success"/>
    <n v="7"/>
    <n v="1907707"/>
    <n v="12037281"/>
    <n v="13944988"/>
    <n v="9999961"/>
    <n v="7.3098200000000002"/>
    <n v="0.83074899999999996"/>
    <n v="4.0563500000000001"/>
    <n v="345249856"/>
    <s v="7 18640 415427 4679332 14978"/>
    <s v="6 18638 415420 4679330 14978"/>
    <m/>
    <n v="284458"/>
    <n v="2873121950713"/>
    <n v="10933606855"/>
    <n v="292011495768"/>
    <n v="16558595189"/>
    <n v="11717470512"/>
    <n v="4578529566"/>
    <n v="3259202001"/>
    <n v="0"/>
    <n v="32924634"/>
    <n v="3259202001"/>
    <n v="3292126635"/>
    <n v="54320033"/>
    <n v="0"/>
    <n v="548743"/>
    <n v="54320033"/>
    <n v="54868777"/>
    <n v="16.008099999999999"/>
    <n v="5.9725599999999996"/>
    <n v="2433.81"/>
    <n v="1489.46"/>
    <n v="2773"/>
    <n v="182"/>
    <n v="59.856707306520832"/>
    <n v="6.9958270393750004"/>
    <n v="6"/>
    <n v="18638"/>
    <n v="415420"/>
    <n v="4679330"/>
    <n v="14978"/>
    <n v="0"/>
    <x v="1"/>
    <x v="13"/>
  </r>
  <r>
    <s v="istree_exp6_rebuilding_time/step10188.txt"/>
    <x v="1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6928582910"/>
    <n v="10000233"/>
    <n v="99996928582910"/>
    <n v="10000233"/>
    <s v="success"/>
    <n v="7"/>
    <n v="1905795"/>
    <n v="12035211"/>
    <n v="13941006"/>
    <n v="10000233"/>
    <n v="7.3150599999999999"/>
    <n v="0.83091499999999996"/>
    <n v="4.0558100000000001"/>
    <n v="345066496"/>
    <s v="13 37953 567543 8678455 25229"/>
    <s v="12 37950 567526 8678441 25229"/>
    <m/>
    <n v="134772"/>
    <n v="5746247611142"/>
    <n v="22682397368"/>
    <n v="1186655800182"/>
    <n v="32662381912"/>
    <n v="34822567827"/>
    <n v="9308153374"/>
    <n v="6250504968"/>
    <n v="0"/>
    <n v="63135281"/>
    <n v="6250504968"/>
    <n v="6313640249"/>
    <n v="104175082"/>
    <n v="0"/>
    <n v="1052254"/>
    <n v="104175082"/>
    <n v="105227337"/>
    <n v="15.9918"/>
    <n v="6.3800100000000004"/>
    <n v="2525.9299999999998"/>
    <n v="1245.9000000000001"/>
    <n v="3287"/>
    <n v="240"/>
    <n v="59.856745949395837"/>
    <n v="13.397201048572917"/>
    <n v="12"/>
    <n v="37950"/>
    <n v="567526"/>
    <n v="8678441"/>
    <n v="25229"/>
    <n v="0"/>
    <x v="1"/>
    <x v="13"/>
  </r>
  <r>
    <s v="istree_exp6_rebuilding_time/step10189.txt"/>
    <x v="1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68297680872"/>
    <n v="10003957"/>
    <n v="100068297680872"/>
    <n v="10003957"/>
    <s v="success"/>
    <n v="7"/>
    <n v="1886940"/>
    <n v="11989613"/>
    <n v="13876553"/>
    <n v="10003957"/>
    <n v="7.3540000000000001"/>
    <n v="0.83438500000000004"/>
    <n v="4.0523199999999999"/>
    <n v="342808752"/>
    <s v="17 50608 424887 10963797 27471"/>
    <s v="16 50608 424863 10963775 27471"/>
    <m/>
    <n v="79854"/>
    <n v="8620083206372"/>
    <n v="30355326548"/>
    <n v="2562720023847"/>
    <n v="41175630006"/>
    <n v="80764791319"/>
    <n v="12800618938"/>
    <n v="8130503054"/>
    <n v="0"/>
    <n v="82121259"/>
    <n v="8130503054"/>
    <n v="8212624313"/>
    <n v="135508384"/>
    <n v="0"/>
    <n v="1368687"/>
    <n v="135508384"/>
    <n v="136877071"/>
    <n v="16.032599999999999"/>
    <n v="6.5103299999999997"/>
    <n v="2896.89"/>
    <n v="1252.57"/>
    <n v="3562"/>
    <n v="328"/>
    <n v="59.861688933138893"/>
    <n v="18.943169379569444"/>
    <n v="16"/>
    <n v="50608"/>
    <n v="424863"/>
    <n v="10963775"/>
    <n v="27471"/>
    <n v="0"/>
    <x v="1"/>
    <x v="13"/>
  </r>
  <r>
    <s v="istree_exp6_rebuilding_time/step10190.txt"/>
    <x v="1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99952787103360"/>
    <n v="9994730"/>
    <n v="99952787103360"/>
    <n v="9994730"/>
    <s v="success"/>
    <n v="7"/>
    <n v="1625315"/>
    <n v="11436684"/>
    <n v="13061999"/>
    <n v="9994730"/>
    <n v="8.0366"/>
    <n v="0.873919"/>
    <n v="4.0000099999999996"/>
    <n v="313012128"/>
    <s v="21 63252 533360 13380806 33670"/>
    <s v="20 63251 533329 13380770 33670"/>
    <m/>
    <n v="60572"/>
    <n v="11493331086986"/>
    <n v="39691354215"/>
    <n v="4114750883263"/>
    <n v="50812740289"/>
    <n v="107027321363"/>
    <n v="16018212313"/>
    <n v="9897666802"/>
    <n v="0"/>
    <n v="99982139"/>
    <n v="9897666802"/>
    <n v="9997648941"/>
    <n v="164961113"/>
    <n v="0"/>
    <n v="1666368"/>
    <n v="164961113"/>
    <n v="166627482"/>
    <n v="16.0701"/>
    <n v="6.5972"/>
    <n v="3170.3"/>
    <n v="1247.8800000000001"/>
    <n v="4003"/>
    <n v="433"/>
    <n v="60.491216247294737"/>
    <n v="22.780529007594737"/>
    <n v="20"/>
    <n v="63251"/>
    <n v="533329"/>
    <n v="13380770"/>
    <n v="33670"/>
    <n v="0"/>
    <x v="1"/>
    <x v="13"/>
  </r>
  <r>
    <s v="istree_exp6_rebuilding_time/step10191.txt"/>
    <x v="1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3175247437E+16"/>
    <n v="100005123"/>
    <n v="1.00003175247437E+16"/>
    <n v="100005123"/>
    <s v="success"/>
    <n v="7"/>
    <n v="14111887"/>
    <n v="116379729"/>
    <n v="130491616"/>
    <n v="100005123"/>
    <n v="9.2469300000000008"/>
    <n v="0.85929999999999995"/>
    <n v="4.0642399999999999"/>
    <n v="2993546848"/>
    <s v="0 0 8 596624 199665"/>
    <s v="0 0 8 596624 199665"/>
    <m/>
    <n v="628856"/>
    <n v="1436563778573"/>
    <n v="287479230"/>
    <m/>
    <n v="805069912"/>
    <n v="1705260932"/>
    <n v="107764160"/>
    <n v="1690643339"/>
    <n v="0"/>
    <n v="17081091"/>
    <n v="1690643339"/>
    <n v="1707724430"/>
    <n v="28177388"/>
    <n v="0"/>
    <n v="284684"/>
    <n v="28177388"/>
    <n v="28462073"/>
    <n v="18.911200000000001"/>
    <n v="8.2686600000000006"/>
    <n v="2351.2800000000002"/>
    <n v="1754.08"/>
    <n v="7482"/>
    <n v="1561"/>
    <n v="59.856824107208332"/>
    <n v="0.12106559308333333"/>
    <n v="0"/>
    <n v="0"/>
    <n v="8"/>
    <n v="596624"/>
    <n v="199665"/>
    <n v="0"/>
    <x v="2"/>
    <x v="14"/>
  </r>
  <r>
    <s v="istree_exp6_rebuilding_time/step10192.txt"/>
    <x v="1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0183918981E+16"/>
    <n v="99999380"/>
    <n v="1.00000183918981E+16"/>
    <n v="99999380"/>
    <s v="success"/>
    <n v="7"/>
    <n v="14921896"/>
    <n v="118197840"/>
    <n v="133119736"/>
    <n v="99999380"/>
    <n v="8.9210999999999991"/>
    <n v="0.84603399999999995"/>
    <n v="4.0817300000000003"/>
    <n v="3089171952"/>
    <s v="0 0 14019 2009138 418828"/>
    <s v="0 0 14019 2009137 418828"/>
    <m/>
    <n v="270816"/>
    <n v="2873127046791"/>
    <n v="1435991868"/>
    <m/>
    <n v="3482496456"/>
    <n v="5469634465"/>
    <n v="593784676"/>
    <n v="2969573421"/>
    <n v="0"/>
    <n v="29981981"/>
    <n v="2969573421"/>
    <n v="2999555402"/>
    <n v="49492890"/>
    <n v="0"/>
    <n v="499699"/>
    <n v="49492890"/>
    <n v="49992590"/>
    <n v="19.038599999999999"/>
    <n v="8.3797499999999996"/>
    <n v="2675.26"/>
    <n v="1991.16"/>
    <n v="7808"/>
    <n v="1260"/>
    <n v="59.856813474812498"/>
    <n v="0.22878973885416667"/>
    <n v="0"/>
    <n v="0"/>
    <n v="14019"/>
    <n v="2009137"/>
    <n v="418828"/>
    <n v="0"/>
    <x v="2"/>
    <x v="14"/>
  </r>
  <r>
    <s v="istree_exp6_rebuilding_time/step10193.txt"/>
    <x v="1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1.00010199528146E+16"/>
    <n v="100003948"/>
    <n v="1.00010199528146E+16"/>
    <n v="100003948"/>
    <s v="success"/>
    <n v="7"/>
    <n v="11239633"/>
    <n v="110462313"/>
    <n v="121701946"/>
    <n v="100003948"/>
    <n v="10.8279"/>
    <n v="0.90532199999999996"/>
    <n v="4.0045900000000003"/>
    <n v="2666583376"/>
    <s v="1 9900 394679 3999763 672688"/>
    <s v="1 9900 394678 3999759 672688"/>
    <m/>
    <n v="106584"/>
    <n v="5770914760918"/>
    <n v="19236939635"/>
    <n v="789293581570"/>
    <n v="27599740931"/>
    <n v="60332088518"/>
    <n v="7931999134"/>
    <n v="5041018781"/>
    <n v="0"/>
    <n v="50919193"/>
    <n v="5041018781"/>
    <n v="5091937974"/>
    <n v="84016979"/>
    <n v="0"/>
    <n v="848653"/>
    <n v="84016979"/>
    <n v="84865632"/>
    <n v="19.494700000000002"/>
    <n v="9.3469099999999994"/>
    <n v="3135.7"/>
    <n v="1955.38"/>
    <n v="13101"/>
    <n v="1109"/>
    <n v="60.113695426229164"/>
    <n v="9.4207744769583339"/>
    <n v="1"/>
    <n v="9900"/>
    <n v="394678"/>
    <n v="3999759"/>
    <n v="672688"/>
    <n v="0"/>
    <x v="2"/>
    <x v="14"/>
  </r>
  <r>
    <s v="istree_exp6_rebuilding_time/step10194.txt"/>
    <x v="1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8410168939E+16"/>
    <n v="100005929"/>
    <n v="1.00008410168939E+16"/>
    <n v="100005929"/>
    <s v="success"/>
    <n v="7"/>
    <n v="14758787"/>
    <n v="117822531"/>
    <n v="132581318"/>
    <n v="100005929"/>
    <n v="8.9832099999999997"/>
    <n v="0.84878399999999998"/>
    <n v="4.0781700000000001"/>
    <n v="3069529600"/>
    <s v="1 9998 352226 5338301 1009188"/>
    <s v="1 9998 352225 5338301 1009188"/>
    <m/>
    <n v="73156"/>
    <n v="8636609338540"/>
    <n v="20679467648"/>
    <n v="1236553238808"/>
    <n v="31232930243"/>
    <n v="77972420597"/>
    <n v="9018368161"/>
    <n v="7466208373"/>
    <n v="0"/>
    <n v="75417807"/>
    <n v="7466208373"/>
    <n v="7541626180"/>
    <n v="124436806"/>
    <n v="0"/>
    <n v="1256963"/>
    <n v="124436806"/>
    <n v="125693769"/>
    <n v="19.284600000000001"/>
    <n v="9.4473699999999994"/>
    <n v="3152.74"/>
    <n v="1941.38"/>
    <n v="13552"/>
    <n v="1055"/>
    <n v="59.976453739861114"/>
    <n v="9.5517807323402781"/>
    <n v="1"/>
    <n v="9998"/>
    <n v="352225"/>
    <n v="5338301"/>
    <n v="1009188"/>
    <n v="0"/>
    <x v="2"/>
    <x v="14"/>
  </r>
  <r>
    <s v="istree_exp6_rebuilding_time/step10195.txt"/>
    <x v="1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02100578223E+16"/>
    <n v="99996396"/>
    <n v="1.00002100578223E+16"/>
    <n v="99996396"/>
    <s v="success"/>
    <n v="7"/>
    <n v="12472149"/>
    <n v="112968050"/>
    <n v="125440199"/>
    <n v="99996396"/>
    <n v="10.057600000000001"/>
    <n v="0.88517400000000002"/>
    <n v="4.0283499999999997"/>
    <n v="2806595872"/>
    <s v="1 16412 676492 7716230 1307596"/>
    <s v="1 16412 676486 7716229 1307596"/>
    <m/>
    <n v="57004"/>
    <n v="11410925383787"/>
    <n v="31436072660"/>
    <n v="1652235682264"/>
    <n v="45746405202"/>
    <n v="345301385114"/>
    <n v="12625426399"/>
    <n v="9489731605"/>
    <n v="0"/>
    <n v="95850672"/>
    <n v="9489731605"/>
    <n v="9585582277"/>
    <n v="158162193"/>
    <n v="0"/>
    <n v="1597511"/>
    <n v="158162193"/>
    <n v="159759704"/>
    <n v="19.357399999999998"/>
    <n v="9.6334499999999998"/>
    <n v="3217.44"/>
    <n v="1967.54"/>
    <n v="13576"/>
    <n v="1095"/>
    <n v="60.057502019931583"/>
    <n v="10.986026166521054"/>
    <n v="1"/>
    <n v="16412"/>
    <n v="676486"/>
    <n v="7716229"/>
    <n v="1307596"/>
    <n v="0"/>
    <x v="2"/>
    <x v="14"/>
  </r>
  <r>
    <s v="istree_exp6_rebuilding_time/step10196.txt"/>
    <x v="1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125133863601E+18"/>
    <n v="1000002379"/>
    <n v="1.0000125133863601E+18"/>
    <n v="1000002379"/>
    <s v="success"/>
    <n v="7"/>
    <n v="87194628"/>
    <n v="1084271124"/>
    <n v="1171465752"/>
    <n v="1000002379"/>
    <n v="13.4351"/>
    <n v="0.92228100000000002"/>
    <n v="4.0054800000000004"/>
    <n v="24324146976"/>
    <s v="0 0 0 1379 14643"/>
    <s v="0 0 0 1379 14643"/>
    <m/>
    <n v="404418"/>
    <n v="1436562634966"/>
    <n v="5327017"/>
    <m/>
    <n v="23786808"/>
    <n v="788896450"/>
    <n v="1730849"/>
    <n v="1090195123"/>
    <n v="0"/>
    <n v="11013778"/>
    <n v="1090195123"/>
    <n v="1101208901"/>
    <n v="18169918"/>
    <n v="0"/>
    <n v="183562"/>
    <n v="18169918"/>
    <n v="18353481"/>
    <n v="22.0486"/>
    <n v="12.8926"/>
    <n v="3645.13"/>
    <n v="2915.95"/>
    <n v="59443"/>
    <n v="16200"/>
    <n v="59.856776456916663"/>
    <n v="3.4155880166666666E-2"/>
    <n v="0"/>
    <n v="0"/>
    <n v="0"/>
    <n v="1379"/>
    <n v="14643"/>
    <n v="0"/>
    <x v="3"/>
    <x v="15"/>
  </r>
  <r>
    <s v="istree_exp6_rebuilding_time/step10197.txt"/>
    <x v="1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84509925088E+17"/>
    <n v="999994828"/>
    <n v="9.99984509925088E+17"/>
    <n v="999994828"/>
    <s v="success"/>
    <n v="7"/>
    <n v="89406675"/>
    <n v="1088713627"/>
    <n v="1178120302"/>
    <n v="999994828"/>
    <n v="13.177099999999999"/>
    <n v="0.91851000000000005"/>
    <n v="4.0099600000000004"/>
    <n v="24572719808"/>
    <s v="0 0 0 7865 48800"/>
    <s v="0 0 0 7865 48800"/>
    <m/>
    <n v="180902"/>
    <n v="2873124905342"/>
    <n v="29713205"/>
    <m/>
    <n v="106784572"/>
    <n v="3202824398"/>
    <n v="11597892"/>
    <n v="1991426550"/>
    <n v="0"/>
    <n v="20123541"/>
    <n v="1991426550"/>
    <n v="2011550091"/>
    <n v="33190442"/>
    <n v="0"/>
    <n v="335392"/>
    <n v="33190442"/>
    <n v="33525834"/>
    <n v="21.992999999999999"/>
    <n v="12.9156"/>
    <n v="3990.74"/>
    <n v="3321.61"/>
    <n v="59813"/>
    <n v="12894"/>
    <n v="59.85676886129167"/>
    <n v="6.9810834729166674E-2"/>
    <n v="0"/>
    <n v="0"/>
    <n v="0"/>
    <n v="7865"/>
    <n v="48800"/>
    <n v="0"/>
    <x v="3"/>
    <x v="15"/>
  </r>
  <r>
    <s v="istree_exp6_rebuilding_time/step10198.txt"/>
    <x v="1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1.00002709603194E+18"/>
    <n v="999999798"/>
    <n v="1.00002709603194E+18"/>
    <n v="999999798"/>
    <s v="success"/>
    <n v="7"/>
    <n v="95155570"/>
    <n v="1100314020"/>
    <n v="1195469590"/>
    <n v="999999798"/>
    <n v="12.5633"/>
    <n v="0.90883100000000006"/>
    <n v="4.0217099999999997"/>
    <n v="25220973232"/>
    <s v="0 0 0 86401 228222"/>
    <s v="0 0 0 86401 228222"/>
    <m/>
    <n v="99260"/>
    <n v="5746249845873"/>
    <n v="194841645"/>
    <m/>
    <n v="631185297"/>
    <n v="9058497818"/>
    <n v="95275090"/>
    <n v="4421461525"/>
    <n v="0"/>
    <n v="44668502"/>
    <n v="4421461525"/>
    <n v="4466130027"/>
    <n v="73691025"/>
    <n v="0"/>
    <n v="744475"/>
    <n v="73691025"/>
    <n v="74435500"/>
    <n v="22.039000000000001"/>
    <n v="13.757"/>
    <n v="3591.51"/>
    <n v="2872.63"/>
    <n v="60709"/>
    <n v="9665"/>
    <n v="59.856769227843749"/>
    <n v="0.1039562484375"/>
    <n v="0"/>
    <n v="0"/>
    <n v="0"/>
    <n v="86401"/>
    <n v="228222"/>
    <n v="0"/>
    <x v="3"/>
    <x v="15"/>
  </r>
  <r>
    <s v="istree_exp6_rebuilding_time/step10199.txt"/>
    <x v="1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9.9998735903638195E+17"/>
    <n v="1000000057"/>
    <n v="9.9998735903638195E+17"/>
    <n v="1000000057"/>
    <s v="success"/>
    <n v="7"/>
    <n v="100011550"/>
    <n v="1110185305"/>
    <n v="1210196855"/>
    <n v="1000000057"/>
    <n v="12.1006"/>
    <n v="0.90075099999999997"/>
    <n v="4.0317699999999999"/>
    <n v="25771218384"/>
    <s v="0 0 0 281093 489323"/>
    <s v="0 0 0 281093 489323"/>
    <m/>
    <n v="65778"/>
    <n v="8619374734283"/>
    <n v="521694253"/>
    <m/>
    <n v="1560523398"/>
    <n v="13203657290"/>
    <n v="305139992"/>
    <n v="6620847414"/>
    <n v="0"/>
    <n v="66885628"/>
    <n v="6620847414"/>
    <n v="6687733042"/>
    <n v="110347456"/>
    <n v="0"/>
    <n v="1114760"/>
    <n v="110347456"/>
    <n v="111462217"/>
    <n v="22.098199999999999"/>
    <n v="13.981"/>
    <n v="3596.75"/>
    <n v="2863.22"/>
    <n v="61560"/>
    <n v="9531"/>
    <n v="59.856768988076382"/>
    <n v="0.10827093703472222"/>
    <n v="0"/>
    <n v="0"/>
    <n v="0"/>
    <n v="281093"/>
    <n v="489323"/>
    <n v="0"/>
    <x v="3"/>
    <x v="15"/>
  </r>
  <r>
    <s v="istree_exp6_rebuilding_time/step10200.txt"/>
    <x v="1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0246542355E+18"/>
    <n v="999999939"/>
    <n v="1.00000246542355E+18"/>
    <n v="999999939"/>
    <s v="success"/>
    <n v="7"/>
    <n v="104140478"/>
    <n v="1118643515"/>
    <n v="1222783993"/>
    <n v="999999939"/>
    <n v="11.7417"/>
    <n v="0.89393999999999996"/>
    <n v="4.0404299999999997"/>
    <n v="26241121152"/>
    <s v="0 0 0 604488 793679"/>
    <s v="0 0 0 604488 793679"/>
    <m/>
    <n v="51146"/>
    <n v="11372785250338"/>
    <n v="1018007693"/>
    <m/>
    <n v="2991204716"/>
    <n v="15126376007"/>
    <n v="611443637"/>
    <n v="8643655635"/>
    <n v="0"/>
    <n v="87314546"/>
    <n v="8643655635"/>
    <n v="8730970181"/>
    <n v="144060927"/>
    <n v="0"/>
    <n v="1455242"/>
    <n v="144060927"/>
    <n v="145516169"/>
    <n v="22.182400000000001"/>
    <n v="14.1213"/>
    <n v="3633.42"/>
    <n v="2898.63"/>
    <n v="62234"/>
    <n v="9252"/>
    <n v="59.856764475463159"/>
    <n v="0.10393174764736843"/>
    <n v="0"/>
    <n v="0"/>
    <n v="0"/>
    <n v="604488"/>
    <n v="793679"/>
    <n v="0"/>
    <x v="3"/>
    <x v="15"/>
  </r>
  <r>
    <s v="istree_exp6_rebuilding_time/step10201.txt"/>
    <x v="1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971524667"/>
    <n v="998830"/>
    <n v="998971524667"/>
    <n v="998830"/>
    <s v="success"/>
    <n v="6"/>
    <n v="33009"/>
    <n v="1030843"/>
    <n v="1063852"/>
    <n v="998830"/>
    <n v="32.229100000000003"/>
    <n v="0.96894499999999995"/>
    <n v="3.0000100000000001"/>
    <n v="19134192"/>
    <s v="746 503469 7233888 8106773"/>
    <s v="560 502656 7233113 8106703"/>
    <m/>
    <n v="1060312"/>
    <n v="1437460367644"/>
    <n v="24868143868"/>
    <n v="432695319680"/>
    <n v="30042175551"/>
    <n v="11829204870"/>
    <n v="12635340291"/>
    <n v="2519673350"/>
    <n v="0"/>
    <n v="279963495"/>
    <n v="2519673350"/>
    <n v="2799636845"/>
    <n v="41994555"/>
    <n v="0"/>
    <n v="4666058"/>
    <n v="41994555"/>
    <n v="46660614"/>
    <n v="9.8558800000000009"/>
    <n v="0.38563399999999998"/>
    <n v="1429.95"/>
    <n v="339.33600000000001"/>
    <n v="1667"/>
    <n v="28"/>
    <n v="59.894181985166661"/>
    <n v="21.336257677500001"/>
    <n v="560"/>
    <n v="502656"/>
    <n v="7233113"/>
    <n v="8106703"/>
    <n v="0"/>
    <n v="0"/>
    <x v="4"/>
    <x v="16"/>
  </r>
  <r>
    <s v="istree_exp6_rebuilding_time/step10202.txt"/>
    <x v="1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881111638"/>
    <n v="1000504"/>
    <n v="1000881111638"/>
    <n v="1000504"/>
    <s v="success"/>
    <n v="7"/>
    <n v="64446"/>
    <n v="1098010"/>
    <n v="1162456"/>
    <n v="1000504"/>
    <n v="18.037700000000001"/>
    <n v="0.91119799999999995"/>
    <n v="3.0682100000000001"/>
    <n v="22783248"/>
    <s v="897 608628 5781071 8391193"/>
    <s v="616 608067 5779087 8391044"/>
    <m/>
    <n v="291414"/>
    <n v="2873124624627"/>
    <n v="44332789163"/>
    <n v="1439157703297"/>
    <n v="50263066542"/>
    <n v="21735012233"/>
    <n v="21479501534"/>
    <n v="2774958093"/>
    <n v="0"/>
    <n v="308338082"/>
    <n v="2774958093"/>
    <n v="3083296175"/>
    <n v="46249301"/>
    <n v="0"/>
    <n v="5138968"/>
    <n v="46249301"/>
    <n v="51388269"/>
    <n v="9.8473500000000005"/>
    <n v="0.47528599999999999"/>
    <n v="2587.06"/>
    <n v="504.93799999999999"/>
    <n v="2121"/>
    <n v="72"/>
    <n v="59.856763013062498"/>
    <n v="32.853501516020835"/>
    <n v="616"/>
    <n v="608067"/>
    <n v="5779087"/>
    <n v="8391044"/>
    <n v="0"/>
    <n v="0"/>
    <x v="4"/>
    <x v="16"/>
  </r>
  <r>
    <s v="istree_exp6_rebuilding_time/step10203.txt"/>
    <x v="1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1001081784793"/>
    <n v="1000715"/>
    <n v="1001081784793"/>
    <n v="1000715"/>
    <s v="success"/>
    <n v="6"/>
    <n v="33064"/>
    <n v="1032799"/>
    <n v="1065863"/>
    <n v="1000715"/>
    <n v="32.236400000000003"/>
    <n v="0.96893499999999999"/>
    <n v="3.0000599999999999"/>
    <n v="19169888"/>
    <s v="1178 1081487 1872914 7955450"/>
    <s v="689 1075553 1869879 7955075"/>
    <m/>
    <n v="85236"/>
    <n v="5752439389833"/>
    <n v="105913443844"/>
    <n v="3808154334685"/>
    <n v="80635989166"/>
    <n v="51001491015"/>
    <n v="25816638928"/>
    <n v="3098614363"/>
    <n v="0"/>
    <n v="344310568"/>
    <n v="3098614363"/>
    <n v="3442924931"/>
    <n v="51643572"/>
    <n v="0"/>
    <n v="5738509"/>
    <n v="51643572"/>
    <n v="57382082"/>
    <n v="10.374599999999999"/>
    <n v="1.4915799999999999"/>
    <n v="4645.67"/>
    <n v="786.23"/>
    <n v="2866"/>
    <n v="157"/>
    <n v="59.921243644093749"/>
    <n v="42.411686433729166"/>
    <n v="689"/>
    <n v="1075553"/>
    <n v="1869879"/>
    <n v="7955075"/>
    <n v="0"/>
    <n v="0"/>
    <x v="4"/>
    <x v="16"/>
  </r>
  <r>
    <s v="istree_exp6_rebuilding_time/step10204.txt"/>
    <x v="1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998915447025"/>
    <n v="999777"/>
    <n v="998915447025"/>
    <n v="999777"/>
    <s v="success"/>
    <n v="6"/>
    <n v="33043"/>
    <n v="1031844"/>
    <n v="1064887"/>
    <n v="999777"/>
    <n v="32.2273"/>
    <n v="0.96892299999999998"/>
    <n v="3.0000800000000001"/>
    <n v="19152928"/>
    <s v="1221 1967403 354621 5479686"/>
    <s v="675 1958055 353298 5479221"/>
    <m/>
    <n v="43688"/>
    <n v="8628254818760"/>
    <n v="155346699581"/>
    <n v="6155551325214"/>
    <n v="117056367029"/>
    <n v="366757008163"/>
    <n v="32208971956"/>
    <n v="3034804172"/>
    <n v="0"/>
    <n v="337191452"/>
    <n v="3034804172"/>
    <n v="3371995624"/>
    <n v="50580069"/>
    <n v="0"/>
    <n v="5619857"/>
    <n v="50580069"/>
    <n v="56199927"/>
    <n v="11.449"/>
    <n v="2.42441"/>
    <n v="7026.07"/>
    <n v="1006.62"/>
    <n v="3651"/>
    <n v="336"/>
    <n v="59.918436241388889"/>
    <n v="47.409169249604162"/>
    <n v="675"/>
    <n v="1958055"/>
    <n v="353298"/>
    <n v="5479221"/>
    <n v="0"/>
    <n v="0"/>
    <x v="4"/>
    <x v="16"/>
  </r>
  <r>
    <s v="istree_exp6_rebuilding_time/step10205.txt"/>
    <x v="1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962670999"/>
    <n v="1000048"/>
    <n v="999962670999"/>
    <n v="1000048"/>
    <s v="success"/>
    <n v="6"/>
    <n v="33082"/>
    <n v="1032170"/>
    <n v="1065252"/>
    <n v="1000048"/>
    <n v="32.200400000000002"/>
    <n v="0.96887900000000005"/>
    <n v="3.0000900000000001"/>
    <n v="19161264"/>
    <s v="1500 1975662 959357 7883939"/>
    <s v="841 1963768 955901 7883237"/>
    <m/>
    <n v="37766"/>
    <n v="11384498983660"/>
    <n v="202025877310"/>
    <n v="7817511189235"/>
    <n v="124397565862"/>
    <n v="855857350678"/>
    <n v="33954444162"/>
    <n v="3780065261"/>
    <n v="0"/>
    <n v="420043162"/>
    <n v="3780065261"/>
    <n v="4200108423"/>
    <n v="63001087"/>
    <n v="0"/>
    <n v="7000719"/>
    <n v="63001087"/>
    <n v="70001807"/>
    <n v="11.529"/>
    <n v="2.7733699999999999"/>
    <n v="7371.27"/>
    <n v="1131.69"/>
    <n v="3081"/>
    <n v="285"/>
    <n v="59.918415703473684"/>
    <n v="47.546033827615794"/>
    <n v="841"/>
    <n v="1963768"/>
    <n v="955901"/>
    <n v="7883237"/>
    <n v="0"/>
    <n v="0"/>
    <x v="4"/>
    <x v="16"/>
  </r>
  <r>
    <s v="istree_exp6_rebuilding_time/step10206.txt"/>
    <x v="1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05087505812"/>
    <n v="10001478"/>
    <n v="100005087505812"/>
    <n v="10001478"/>
    <s v="success"/>
    <n v="7"/>
    <n v="1625787"/>
    <n v="11443816"/>
    <n v="13069603"/>
    <n v="10001478"/>
    <n v="8.0389400000000002"/>
    <n v="0.87396399999999996"/>
    <n v="4"/>
    <n v="313164000"/>
    <s v="32 67040 1925047 17556211 58447"/>
    <s v="24 66957 1925006 17556176 58447"/>
    <m/>
    <n v="427206"/>
    <n v="1458382886812"/>
    <n v="31755218995"/>
    <n v="480454981609"/>
    <n v="37724945515"/>
    <n v="24289164387"/>
    <n v="11726924946"/>
    <n v="1079917886"/>
    <n v="0"/>
    <n v="119999363"/>
    <n v="1079917886"/>
    <n v="1199917249"/>
    <n v="17998631"/>
    <n v="0"/>
    <n v="1999989"/>
    <n v="17998631"/>
    <n v="19998620"/>
    <n v="17.985299999999999"/>
    <n v="7.1616"/>
    <n v="3375.95"/>
    <n v="1440.26"/>
    <n v="3394"/>
    <n v="180"/>
    <n v="60.765953617166666"/>
    <n v="24.414634810500001"/>
    <n v="24"/>
    <n v="66957"/>
    <n v="1925006"/>
    <n v="17556176"/>
    <n v="58447"/>
    <n v="0"/>
    <x v="5"/>
    <x v="17"/>
  </r>
  <r>
    <s v="istree_exp6_rebuilding_time/step10207.txt"/>
    <x v="1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6503265938"/>
    <n v="10001033"/>
    <n v="99996503265938"/>
    <n v="10001033"/>
    <s v="success"/>
    <n v="7"/>
    <n v="1905638"/>
    <n v="12036392"/>
    <n v="13942030"/>
    <n v="10001033"/>
    <n v="7.3162000000000003"/>
    <n v="0.83089999999999997"/>
    <n v="4.0556000000000001"/>
    <n v="345075728"/>
    <s v="42 93237 2053600 21808394 71093"/>
    <s v="30 93192 2053486 21808302 71093"/>
    <m/>
    <n v="133302"/>
    <n v="2873123845761"/>
    <n v="51846892619"/>
    <n v="1410622494397"/>
    <n v="65771191132"/>
    <n v="61374501469"/>
    <n v="20335701808"/>
    <n v="1379664261"/>
    <n v="0"/>
    <n v="153283997"/>
    <n v="1379664261"/>
    <n v="1532948258"/>
    <n v="22994404"/>
    <n v="0"/>
    <n v="2554733"/>
    <n v="22994404"/>
    <n v="25549137"/>
    <n v="18.1219"/>
    <n v="7.3168600000000001"/>
    <n v="5198.1000000000004"/>
    <n v="1757.97"/>
    <n v="3848"/>
    <n v="171"/>
    <n v="59.856746786687502"/>
    <n v="33.540641279687499"/>
    <n v="30"/>
    <n v="93192"/>
    <n v="2053486"/>
    <n v="21808302"/>
    <n v="71093"/>
    <n v="0"/>
    <x v="5"/>
    <x v="17"/>
  </r>
  <r>
    <s v="istree_exp6_rebuilding_time/step10208.txt"/>
    <x v="1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21154699254"/>
    <n v="10001327"/>
    <n v="100021154699254"/>
    <n v="10001327"/>
    <s v="success"/>
    <n v="7"/>
    <n v="1744275"/>
    <n v="11683230"/>
    <n v="13427505"/>
    <n v="10001327"/>
    <n v="7.6980399999999998"/>
    <n v="0.85604100000000005"/>
    <n v="4.0236999999999998"/>
    <n v="326474256"/>
    <s v="61 113818 1661084 24691398 72235"/>
    <s v="36 113812 1660853 24691182 72235"/>
    <m/>
    <n v="47894"/>
    <n v="5746891342925"/>
    <n v="62397368648"/>
    <n v="3670116681797"/>
    <n v="79208535528"/>
    <n v="453259537784"/>
    <n v="24631925588"/>
    <n v="1625099555"/>
    <n v="0"/>
    <n v="180563396"/>
    <n v="1625099555"/>
    <n v="1805662951"/>
    <n v="27084992"/>
    <n v="0"/>
    <n v="3009389"/>
    <n v="27084992"/>
    <n v="30094382"/>
    <n v="18.273900000000001"/>
    <n v="7.6790399999999996"/>
    <n v="8310.9599999999991"/>
    <n v="1646.88"/>
    <n v="4475"/>
    <n v="394"/>
    <n v="59.863451488802077"/>
    <n v="44.683479680677088"/>
    <n v="36"/>
    <n v="113812"/>
    <n v="1660853"/>
    <n v="24691182"/>
    <n v="72235"/>
    <n v="0"/>
    <x v="5"/>
    <x v="17"/>
  </r>
  <r>
    <s v="istree_exp6_rebuilding_time/step10209.txt"/>
    <x v="1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14437181817"/>
    <n v="10001491"/>
    <n v="100014437181817"/>
    <n v="10001491"/>
    <s v="success"/>
    <n v="7"/>
    <n v="1759387"/>
    <n v="11715793"/>
    <n v="13475180"/>
    <n v="10001491"/>
    <n v="7.6590199999999999"/>
    <n v="0.85367599999999999"/>
    <n v="4.0267200000000001"/>
    <n v="328204784"/>
    <s v="61 110706 927087 23454876 58626"/>
    <s v="35 110694 926928 23454591 58626"/>
    <m/>
    <n v="26906"/>
    <n v="8625487050625"/>
    <n v="60374946362"/>
    <n v="5962394246930"/>
    <n v="77977345777"/>
    <n v="1063956061527"/>
    <n v="25225548428"/>
    <n v="1580790837"/>
    <n v="0"/>
    <n v="175658729"/>
    <n v="1580790837"/>
    <n v="1756449566"/>
    <n v="26346513"/>
    <n v="0"/>
    <n v="2927645"/>
    <n v="26346513"/>
    <n v="29274159"/>
    <n v="18.392900000000001"/>
    <n v="7.9800199999999997"/>
    <n v="12117"/>
    <n v="1635.54"/>
    <n v="4701"/>
    <n v="382"/>
    <n v="59.899215629340283"/>
    <n v="49.930056590444444"/>
    <n v="35"/>
    <n v="110694"/>
    <n v="926928"/>
    <n v="23454591"/>
    <n v="58626"/>
    <n v="0"/>
    <x v="5"/>
    <x v="17"/>
  </r>
  <r>
    <s v="istree_exp6_rebuilding_time/step10210.txt"/>
    <x v="1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100003446081281"/>
    <n v="10000632"/>
    <n v="100003446081281"/>
    <n v="10000632"/>
    <s v="success"/>
    <n v="7"/>
    <n v="1625837"/>
    <n v="11443062"/>
    <n v="13068899"/>
    <n v="10000632"/>
    <n v="8.0382599999999993"/>
    <n v="0.87394700000000003"/>
    <n v="4.0000099999999996"/>
    <n v="313155936"/>
    <s v="64 117032 987102 24758881 61981"/>
    <s v="37 117024 986892 24758471 61981"/>
    <m/>
    <n v="20718"/>
    <n v="11426790891202"/>
    <n v="65636702103"/>
    <n v="7945645354952"/>
    <n v="83776943822"/>
    <n v="1780040392142"/>
    <n v="26349874278"/>
    <n v="1664369025"/>
    <n v="0"/>
    <n v="184959817"/>
    <n v="1664369025"/>
    <n v="1849328842"/>
    <n v="27739483"/>
    <n v="0"/>
    <n v="3082663"/>
    <n v="27739483"/>
    <n v="30822147"/>
    <n v="18.5016"/>
    <n v="8.1973099999999999"/>
    <n v="14590.7"/>
    <n v="1658.07"/>
    <n v="5129"/>
    <n v="254"/>
    <n v="60.141004690536839"/>
    <n v="52.11289088051052"/>
    <n v="37"/>
    <n v="117024"/>
    <n v="986892"/>
    <n v="24758471"/>
    <n v="61981"/>
    <n v="0"/>
    <x v="5"/>
    <x v="17"/>
  </r>
  <r>
    <s v="istree_exp6_rebuilding_time/step10211.txt"/>
    <x v="1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9939875372640"/>
    <n v="99997457"/>
    <n v="9999939875372640"/>
    <n v="99997457"/>
    <s v="success"/>
    <n v="7"/>
    <n v="11010004"/>
    <n v="109997470"/>
    <n v="121007474"/>
    <n v="99997457"/>
    <n v="10.9907"/>
    <n v="0.90908900000000004"/>
    <n v="4"/>
    <n v="2640759824"/>
    <s v="2 12679 994519 8431953 1382695"/>
    <s v="2 12671 994517 8431952 1382695"/>
    <m/>
    <n v="365694"/>
    <n v="1472863002980"/>
    <n v="24246324483"/>
    <n v="445478155641"/>
    <n v="31668177309"/>
    <n v="30640793403"/>
    <n v="10120893065"/>
    <n v="899695858"/>
    <n v="0"/>
    <n v="99967747"/>
    <n v="899695858"/>
    <n v="999663605"/>
    <n v="14994930"/>
    <n v="0"/>
    <n v="1666129"/>
    <n v="14994930"/>
    <n v="16661060"/>
    <n v="21.088999999999999"/>
    <n v="9.5813199999999998"/>
    <n v="4025.59"/>
    <n v="2029.49"/>
    <n v="9839"/>
    <n v="1563"/>
    <n v="61.36929179083333"/>
    <n v="22.589764329208332"/>
    <n v="2"/>
    <n v="12671"/>
    <n v="994517"/>
    <n v="8431952"/>
    <n v="1382695"/>
    <n v="0"/>
    <x v="6"/>
    <x v="18"/>
  </r>
  <r>
    <s v="istree_exp6_rebuilding_time/step10212.txt"/>
    <x v="1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916377322590"/>
    <n v="99999534"/>
    <n v="9999916377322590"/>
    <n v="99999534"/>
    <s v="success"/>
    <n v="7"/>
    <n v="11010016"/>
    <n v="109999562"/>
    <n v="121009578"/>
    <n v="99999534"/>
    <n v="10.9909"/>
    <n v="0.90908999999999995"/>
    <n v="4"/>
    <n v="2640794256"/>
    <s v="3 25737 1409842 12478984 2057767"/>
    <s v="3 25718 1409833 12478970 2057767"/>
    <m/>
    <n v="136174"/>
    <n v="3328235425580"/>
    <n v="57347611744"/>
    <n v="1399312719808"/>
    <n v="70302353247"/>
    <n v="181123222009"/>
    <n v="21064039109"/>
    <n v="1349986793"/>
    <n v="0"/>
    <n v="150012939"/>
    <n v="1349986793"/>
    <n v="1499999732"/>
    <n v="22499779"/>
    <n v="0"/>
    <n v="2500215"/>
    <n v="22499779"/>
    <n v="24999995"/>
    <n v="21.6053"/>
    <n v="9.8389500000000005"/>
    <n v="5924.31"/>
    <n v="2393.2800000000002"/>
    <n v="13305"/>
    <n v="1286"/>
    <n v="69.338238032916664"/>
    <n v="36.023957206604166"/>
    <n v="3"/>
    <n v="25718"/>
    <n v="1409833"/>
    <n v="12478970"/>
    <n v="2057767"/>
    <n v="0"/>
    <x v="6"/>
    <x v="18"/>
  </r>
  <r>
    <s v="istree_exp6_rebuilding_time/step10213.txt"/>
    <x v="1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225614139710"/>
    <n v="99993752"/>
    <n v="9999225614139710"/>
    <n v="99993752"/>
    <s v="success"/>
    <n v="7"/>
    <n v="14930477"/>
    <n v="118224669"/>
    <n v="133155146"/>
    <n v="99993752"/>
    <n v="8.9183500000000002"/>
    <n v="0.84579400000000005"/>
    <n v="4.0818700000000003"/>
    <n v="3090212224"/>
    <s v="5 29742 1202018 14067293 2443989"/>
    <s v="3 29739 1202008 14067280 2443988"/>
    <m/>
    <n v="43924"/>
    <n v="5754372403293"/>
    <n v="59801187228"/>
    <n v="2593198724257"/>
    <n v="73016836726"/>
    <n v="1086909530326"/>
    <n v="21005788492"/>
    <n v="1624166327"/>
    <n v="0"/>
    <n v="180466666"/>
    <n v="1624166327"/>
    <n v="1804632993"/>
    <n v="27069438"/>
    <n v="0"/>
    <n v="3007777"/>
    <n v="27069438"/>
    <n v="30077216"/>
    <n v="21.724"/>
    <n v="10.434699999999999"/>
    <n v="7374.65"/>
    <n v="2273.2800000000002"/>
    <n v="13243"/>
    <n v="1049"/>
    <n v="59.941379200968754"/>
    <n v="39.936792364885413"/>
    <n v="3"/>
    <n v="29739"/>
    <n v="1202008"/>
    <n v="14067280"/>
    <n v="2443988"/>
    <n v="0"/>
    <x v="6"/>
    <x v="18"/>
  </r>
  <r>
    <s v="istree_exp6_rebuilding_time/step10214.txt"/>
    <x v="1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397654149E+16"/>
    <n v="100006958"/>
    <n v="1.0000397654149E+16"/>
    <n v="100006958"/>
    <s v="success"/>
    <n v="7"/>
    <n v="13133817"/>
    <n v="114369889"/>
    <n v="127503706"/>
    <n v="100006958"/>
    <n v="9.7080500000000001"/>
    <n v="0.874417"/>
    <n v="4.0418099999999999"/>
    <n v="2882791200"/>
    <s v="3 34182 1372277 15503943 2634677"/>
    <s v="3 34181 1372250 15503918 2634677"/>
    <m/>
    <n v="33174"/>
    <n v="8648297880920"/>
    <n v="66702200653"/>
    <n v="3978462294301"/>
    <n v="84328176972"/>
    <n v="2394082936766"/>
    <n v="22680648405"/>
    <n v="1757109878"/>
    <n v="0"/>
    <n v="195240214"/>
    <n v="1757109878"/>
    <n v="1952350092"/>
    <n v="29285164"/>
    <n v="0"/>
    <n v="3254003"/>
    <n v="29285164"/>
    <n v="32539168"/>
    <n v="21.904299999999999"/>
    <n v="10.770799999999999"/>
    <n v="9315.99"/>
    <n v="2307.62"/>
    <n v="14446"/>
    <n v="1010"/>
    <n v="60.057624173055551"/>
    <n v="45.460112896506949"/>
    <n v="3"/>
    <n v="34181"/>
    <n v="1372250"/>
    <n v="15503918"/>
    <n v="2634677"/>
    <n v="0"/>
    <x v="6"/>
    <x v="18"/>
  </r>
  <r>
    <s v="istree_exp6_rebuilding_time/step10215.txt"/>
    <x v="1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1.00004069732314E+16"/>
    <n v="100004814"/>
    <n v="1.00004069732314E+16"/>
    <n v="100004814"/>
    <s v="success"/>
    <n v="7"/>
    <n v="12205384"/>
    <n v="112412327"/>
    <n v="124617711"/>
    <n v="100004814"/>
    <n v="10.210100000000001"/>
    <n v="0.889625"/>
    <n v="4.0229299999999997"/>
    <n v="2776009024"/>
    <s v="4 37390 1369040 15502345 2641301"/>
    <s v="3 37389 1369017 15502319 2641299"/>
    <m/>
    <n v="27212"/>
    <n v="11434860743803"/>
    <n v="70817393471"/>
    <n v="4982520452138"/>
    <n v="90559823392"/>
    <n v="4093052580965"/>
    <n v="22711886705"/>
    <n v="1766248198"/>
    <n v="0"/>
    <n v="196249984"/>
    <n v="1766248198"/>
    <n v="1962498182"/>
    <n v="29437469"/>
    <n v="0"/>
    <n v="3270833"/>
    <n v="29437469"/>
    <n v="32708303"/>
    <n v="22.149699999999999"/>
    <n v="11.018000000000001"/>
    <n v="10898.7"/>
    <n v="2335.33"/>
    <n v="14783"/>
    <n v="1122"/>
    <n v="60.183477598963158"/>
    <n v="48.735063877215794"/>
    <n v="3"/>
    <n v="37389"/>
    <n v="1369017"/>
    <n v="15502319"/>
    <n v="2641299"/>
    <n v="0"/>
    <x v="6"/>
    <x v="18"/>
  </r>
  <r>
    <s v="istree_exp6_rebuilding_time/step10216.txt"/>
    <x v="1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9271597468902E+17"/>
    <n v="1000000851"/>
    <n v="9.9999271597468902E+17"/>
    <n v="1000000851"/>
    <s v="success"/>
    <n v="7"/>
    <n v="107360503"/>
    <n v="1125273007"/>
    <n v="1232633510"/>
    <n v="1000000851"/>
    <n v="11.481299999999999"/>
    <n v="0.88867399999999996"/>
    <n v="4.0472599999999996"/>
    <n v="26609440800"/>
    <s v="0 0 0 1011561 1095802"/>
    <s v="0 0 0 1011561 1095802"/>
    <m/>
    <n v="387062"/>
    <n v="1436561753123"/>
    <n v="863513126"/>
    <m/>
    <n v="1754330819"/>
    <n v="2167639816"/>
    <n v="243449893"/>
    <n v="942224435"/>
    <n v="0"/>
    <n v="104706257"/>
    <n v="942224435"/>
    <n v="1046930692"/>
    <n v="15703740"/>
    <n v="0"/>
    <n v="1745104"/>
    <n v="15703740"/>
    <n v="17448844"/>
    <n v="22.9725"/>
    <n v="13.488099999999999"/>
    <n v="3827.83"/>
    <n v="3053.86"/>
    <n v="61793"/>
    <n v="16342"/>
    <n v="59.856739713458332"/>
    <n v="0.20953890225000002"/>
    <n v="0"/>
    <n v="0"/>
    <n v="0"/>
    <n v="1011561"/>
    <n v="1095802"/>
    <n v="0"/>
    <x v="7"/>
    <x v="19"/>
  </r>
  <r>
    <s v="istree_exp6_rebuilding_time/step10217.txt"/>
    <x v="1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743107842E+18"/>
    <n v="1000003551"/>
    <n v="1.00001743107842E+18"/>
    <n v="1000003551"/>
    <s v="success"/>
    <n v="7"/>
    <n v="119357749"/>
    <n v="1150616643"/>
    <n v="1269974392"/>
    <n v="1000003551"/>
    <n v="10.6401"/>
    <n v="0.86910200000000004"/>
    <n v="4.0731200000000003"/>
    <n v="27995119616"/>
    <s v="0 0 0 4901135 2907038"/>
    <s v="0 0 0 4901135 2907038"/>
    <m/>
    <n v="171578"/>
    <n v="2873122371635"/>
    <n v="5159814327"/>
    <n v="1935"/>
    <n v="9123829768"/>
    <n v="8937032667"/>
    <n v="1746098849"/>
    <n v="1700449784"/>
    <n v="0"/>
    <n v="188910749"/>
    <n v="1700449784"/>
    <n v="1889360533"/>
    <n v="28340829"/>
    <n v="0"/>
    <n v="3148512"/>
    <n v="28340829"/>
    <n v="31489342"/>
    <n v="23.1249"/>
    <n v="13.691000000000001"/>
    <n v="4241.1899999999996"/>
    <n v="3532.5"/>
    <n v="63668"/>
    <n v="12477"/>
    <n v="59.856716075729167"/>
    <n v="0.52014119887499999"/>
    <n v="0"/>
    <n v="0"/>
    <n v="0"/>
    <n v="4901135"/>
    <n v="2907038"/>
    <n v="0"/>
    <x v="7"/>
    <x v="19"/>
  </r>
  <r>
    <s v="istree_exp6_rebuilding_time/step10218.txt"/>
    <x v="1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1.00002294217712E+18"/>
    <n v="1000020505"/>
    <n v="1.00002294217712E+18"/>
    <n v="1000020505"/>
    <s v="success"/>
    <n v="7"/>
    <n v="126236313"/>
    <n v="1167283740"/>
    <n v="1293520053"/>
    <n v="1000020505"/>
    <n v="10.2468"/>
    <n v="0.856707"/>
    <n v="4.08927"/>
    <n v="28840012432"/>
    <s v="0 0 458438 25874938 7903168"/>
    <s v="0 0 458437 25874936 7903168"/>
    <m/>
    <n v="90408"/>
    <n v="5746243980191"/>
    <n v="32845881143"/>
    <n v="132797"/>
    <n v="46057605206"/>
    <n v="40851226553"/>
    <n v="11020666798"/>
    <n v="3605670030"/>
    <n v="0"/>
    <n v="400649057"/>
    <n v="3605670030"/>
    <n v="4006319087"/>
    <n v="60094500"/>
    <n v="0"/>
    <n v="6677484"/>
    <n v="60094500"/>
    <n v="66771984"/>
    <n v="23.6142"/>
    <n v="14.6927"/>
    <n v="3996.83"/>
    <n v="3226.35"/>
    <n v="66648"/>
    <n v="9909"/>
    <n v="59.856708126989588"/>
    <n v="1.36224492184375"/>
    <n v="0"/>
    <n v="0"/>
    <n v="458437"/>
    <n v="25874936"/>
    <n v="7903168"/>
    <n v="0"/>
    <x v="7"/>
    <x v="19"/>
  </r>
  <r>
    <s v="istree_exp6_rebuilding_time/step10220.txt"/>
    <x v="1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2824947297E+18"/>
    <n v="1000028809"/>
    <n v="1.00002824947297E+18"/>
    <n v="1000028809"/>
    <s v="success"/>
    <n v="7"/>
    <n v="84467750"/>
    <n v="1078835912"/>
    <n v="1163303662"/>
    <n v="1000028809"/>
    <n v="13.7722"/>
    <n v="0.926952"/>
    <n v="4"/>
    <n v="24018794576"/>
    <s v="1 31592 2148663 33461458 9430560"/>
    <s v="1 31591 2148658 33461448 9430560"/>
    <m/>
    <n v="28370"/>
    <n v="20658498222650"/>
    <n v="237054160896"/>
    <n v="12703335193255"/>
    <n v="236851219025"/>
    <n v="157104776661"/>
    <n v="87688730431"/>
    <n v="4499922141"/>
    <n v="0"/>
    <n v="499985401"/>
    <n v="4499922141"/>
    <n v="4999907542"/>
    <n v="74998702"/>
    <n v="0"/>
    <n v="8333090"/>
    <n v="74998702"/>
    <n v="83331792"/>
    <n v="25.125399999999999"/>
    <n v="15.988799999999999"/>
    <n v="11496.2"/>
    <n v="3540.49"/>
    <n v="105927"/>
    <n v="9105"/>
    <n v="108.72893801394737"/>
    <n v="70.642284632989472"/>
    <n v="1"/>
    <n v="31591"/>
    <n v="2148658"/>
    <n v="33461448"/>
    <n v="9430560"/>
    <n v="0"/>
    <x v="7"/>
    <x v="19"/>
  </r>
  <r>
    <s v="istree_exp6_rebuilding_time/step10221.txt"/>
    <x v="1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999732594353"/>
    <n v="1000040"/>
    <n v="999732594353"/>
    <n v="1000040"/>
    <s v="success"/>
    <n v="6"/>
    <n v="37164"/>
    <n v="1040358"/>
    <n v="1077522"/>
    <n v="1000040"/>
    <n v="28.9937"/>
    <n v="0.96124600000000004"/>
    <n v="3.0083199999999999"/>
    <n v="19619472"/>
    <s v="1972 904292 12995700 14566090"/>
    <s v="1006 900641 12992168 14565716"/>
    <m/>
    <n v="513028"/>
    <n v="1436566631784"/>
    <n v="45455977176"/>
    <n v="751243020295"/>
    <n v="51145316031"/>
    <n v="18195372396"/>
    <n v="22356607845"/>
    <n v="754460823"/>
    <n v="0"/>
    <n v="502991280"/>
    <n v="754460823"/>
    <n v="1257452103"/>
    <n v="12574347"/>
    <n v="0"/>
    <n v="8383188"/>
    <n v="12574347"/>
    <n v="20957535"/>
    <n v="14.834099999999999"/>
    <n v="1.2200599999999999"/>
    <n v="3177.17"/>
    <n v="589.34799999999996"/>
    <n v="1762"/>
    <n v="27"/>
    <n v="59.856942991000004"/>
    <n v="37.016512239291664"/>
    <n v="1006"/>
    <n v="900641"/>
    <n v="12992168"/>
    <n v="14565716"/>
    <n v="0"/>
    <n v="0"/>
    <x v="8"/>
    <x v="20"/>
  </r>
  <r>
    <s v="istree_exp6_rebuilding_time/step10222.txt"/>
    <x v="1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9114668191"/>
    <n v="999004"/>
    <n v="999114668191"/>
    <n v="999004"/>
    <s v="success"/>
    <n v="6"/>
    <n v="33013"/>
    <n v="1031023"/>
    <n v="1064036"/>
    <n v="999004"/>
    <n v="32.230800000000002"/>
    <n v="0.96894400000000003"/>
    <n v="3.0000200000000001"/>
    <n v="19137392"/>
    <s v="2256 890695 8451346 12261601"/>
    <s v="902 888607 8444952 12261001"/>
    <m/>
    <n v="119604"/>
    <n v="2873557368188"/>
    <n v="69698914522"/>
    <n v="2044947365350"/>
    <n v="70870267099"/>
    <n v="30124321564"/>
    <n v="30738675882"/>
    <n v="676411981"/>
    <n v="0"/>
    <n v="450976782"/>
    <n v="676411981"/>
    <n v="1127388763"/>
    <n v="11273533"/>
    <n v="0"/>
    <n v="7516279"/>
    <n v="11273533"/>
    <n v="18789812"/>
    <n v="14.9109"/>
    <n v="1.62504"/>
    <n v="7091.88"/>
    <n v="988.21"/>
    <n v="2260"/>
    <n v="30"/>
    <n v="59.865778503916665"/>
    <n v="46.799573842020834"/>
    <n v="902"/>
    <n v="888607"/>
    <n v="8444952"/>
    <n v="12261001"/>
    <n v="0"/>
    <n v="0"/>
    <x v="8"/>
    <x v="20"/>
  </r>
  <r>
    <s v="istree_exp6_rebuilding_time/step10223.txt"/>
    <x v="1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62405004"/>
    <n v="999585"/>
    <n v="999662405004"/>
    <n v="999585"/>
    <s v="success"/>
    <n v="6"/>
    <n v="53625"/>
    <n v="1074318"/>
    <n v="1127943"/>
    <n v="999585"/>
    <n v="21.033899999999999"/>
    <n v="0.93043699999999996"/>
    <n v="3.04339"/>
    <n v="21503024"/>
    <s v="1872 1195957 2069789 8790204"/>
    <s v="761 1184521 2064179 8789461"/>
    <m/>
    <n v="33016"/>
    <n v="5746289208138"/>
    <n v="134044382397"/>
    <n v="4420394437597"/>
    <n v="91419379093"/>
    <n v="296102125783"/>
    <n v="28412828217"/>
    <n v="570970890"/>
    <n v="0"/>
    <n v="380594893"/>
    <n v="570970890"/>
    <n v="951565783"/>
    <n v="9516181"/>
    <n v="0"/>
    <n v="6343248"/>
    <n v="9516181"/>
    <n v="15859429"/>
    <n v="17.2224"/>
    <n v="5.5101599999999999"/>
    <n v="16583.400000000001"/>
    <n v="2185.1799999999998"/>
    <n v="2965"/>
    <n v="187"/>
    <n v="59.857179251437493"/>
    <n v="51.774720344656252"/>
    <n v="761"/>
    <n v="1184521"/>
    <n v="2064179"/>
    <n v="8789461"/>
    <n v="0"/>
    <n v="0"/>
    <x v="8"/>
    <x v="20"/>
  </r>
  <r>
    <s v="istree_exp6_rebuilding_time/step10224.txt"/>
    <x v="1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0858312061"/>
    <n v="1000917"/>
    <n v="1000858312061"/>
    <n v="1000917"/>
    <s v="success"/>
    <n v="6"/>
    <n v="51616"/>
    <n v="1070430"/>
    <n v="1122046"/>
    <n v="1000917"/>
    <n v="21.738299999999999"/>
    <n v="0.93506100000000003"/>
    <n v="3.0386500000000001"/>
    <n v="21272704"/>
    <s v="1794 2065094 371339 5740191"/>
    <s v="707 2049022 369229 5739522"/>
    <m/>
    <n v="16354"/>
    <n v="8619450857154"/>
    <n v="190651352077"/>
    <n v="6703737424672"/>
    <n v="125324443594"/>
    <n v="740081584200"/>
    <n v="32653323170"/>
    <n v="530406397"/>
    <n v="0"/>
    <n v="353565151"/>
    <n v="530406397"/>
    <n v="883971548"/>
    <n v="8840106"/>
    <n v="0"/>
    <n v="5892752"/>
    <n v="8840106"/>
    <n v="14732859"/>
    <n v="20.720400000000001"/>
    <n v="8.8300999999999998"/>
    <n v="26076.2"/>
    <n v="2930.15"/>
    <n v="3685"/>
    <n v="341"/>
    <n v="59.857297619124992"/>
    <n v="54.114223109118058"/>
    <n v="707"/>
    <n v="2049022"/>
    <n v="369229"/>
    <n v="5739522"/>
    <n v="0"/>
    <n v="0"/>
    <x v="8"/>
    <x v="20"/>
  </r>
  <r>
    <s v="istree_exp6_rebuilding_time/step10225.txt"/>
    <x v="1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1000032891128"/>
    <n v="999707"/>
    <n v="1000032891128"/>
    <n v="999707"/>
    <s v="success"/>
    <n v="6"/>
    <n v="33053"/>
    <n v="1031807"/>
    <n v="1064860"/>
    <n v="999707"/>
    <n v="32.216700000000003"/>
    <n v="0.96889000000000003"/>
    <n v="3.0001000000000002"/>
    <n v="19153136"/>
    <s v="1429 1656160 805045 6610386"/>
    <s v="705 1645191 800620 6609418"/>
    <m/>
    <n v="10508"/>
    <n v="11374054234591"/>
    <n v="200115688398"/>
    <n v="9047524743522"/>
    <n v="119033070882"/>
    <n v="1076215448147"/>
    <n v="29402167572"/>
    <n v="528101058"/>
    <n v="0"/>
    <n v="352085960"/>
    <n v="528101058"/>
    <n v="880187018"/>
    <n v="8801684"/>
    <n v="0"/>
    <n v="5868099"/>
    <n v="8801684"/>
    <n v="14669783"/>
    <n v="20.805399999999999"/>
    <n v="9.6408799999999992"/>
    <n v="34487.800000000003"/>
    <n v="3464.91"/>
    <n v="4029"/>
    <n v="286"/>
    <n v="59.863443339952632"/>
    <n v="55.117321676426315"/>
    <n v="705"/>
    <n v="1645191"/>
    <n v="800620"/>
    <n v="6609418"/>
    <n v="0"/>
    <n v="0"/>
    <x v="8"/>
    <x v="20"/>
  </r>
  <r>
    <s v="istree_exp6_rebuilding_time/step10226.txt"/>
    <x v="1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56217637499"/>
    <n v="9997966"/>
    <n v="99956217637499"/>
    <n v="9997966"/>
    <s v="success"/>
    <n v="7"/>
    <n v="1874392"/>
    <n v="11957566"/>
    <n v="13831958"/>
    <n v="9997966"/>
    <n v="7.3794399999999998"/>
    <n v="0.83611999999999997"/>
    <n v="4.04983"/>
    <n v="341286704"/>
    <s v="65 114769 3286341 30206626 101520"/>
    <s v="41 114518 3286173 30206483 101520"/>
    <m/>
    <n v="198300"/>
    <n v="1436561391769"/>
    <n v="52281043734"/>
    <n v="817763672996"/>
    <n v="62700538263"/>
    <n v="54405094120"/>
    <n v="19594012421"/>
    <n v="310434075"/>
    <n v="0"/>
    <n v="206922345"/>
    <n v="310434075"/>
    <n v="517356420"/>
    <n v="5173901"/>
    <n v="0"/>
    <n v="3448705"/>
    <n v="5173901"/>
    <n v="8622607"/>
    <n v="24.185400000000001"/>
    <n v="10.442"/>
    <n v="7656.53"/>
    <n v="1940.5"/>
    <n v="3995"/>
    <n v="155"/>
    <n v="59.856724657041667"/>
    <n v="41.947681730583334"/>
    <n v="41"/>
    <n v="114518"/>
    <n v="3286173"/>
    <n v="30206483"/>
    <n v="101520"/>
    <n v="0"/>
    <x v="9"/>
    <x v="21"/>
  </r>
  <r>
    <s v="istree_exp6_rebuilding_time/step10227.txt"/>
    <x v="1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87160673720"/>
    <n v="9999281"/>
    <n v="99987160673720"/>
    <n v="9999281"/>
    <s v="success"/>
    <n v="7"/>
    <n v="1760955"/>
    <n v="11735642"/>
    <n v="13496597"/>
    <n v="9999281"/>
    <n v="7.6643600000000003"/>
    <n v="0.85204400000000002"/>
    <n v="4.0261300000000002"/>
    <n v="328669632"/>
    <s v="80 132100 2919722 30550912 99664"/>
    <s v="42 131922 2919422 30550579 99664"/>
    <m/>
    <n v="55392"/>
    <n v="2873200517143"/>
    <n v="70011119796"/>
    <n v="2011401947279"/>
    <n v="87680567214"/>
    <n v="150758710529"/>
    <n v="26989430739"/>
    <n v="321835075"/>
    <n v="0"/>
    <n v="214562376"/>
    <n v="321835075"/>
    <n v="536397451"/>
    <n v="5363917"/>
    <n v="0"/>
    <n v="3576039"/>
    <n v="5363917"/>
    <n v="8939957"/>
    <n v="24.799199999999999"/>
    <n v="10.996600000000001"/>
    <n v="14572.4"/>
    <n v="2486.87"/>
    <n v="4378"/>
    <n v="172"/>
    <n v="59.858344107145832"/>
    <n v="48.892536990770829"/>
    <n v="42"/>
    <n v="131922"/>
    <n v="2919422"/>
    <n v="30550579"/>
    <n v="99664"/>
    <n v="0"/>
    <x v="9"/>
    <x v="21"/>
  </r>
  <r>
    <s v="istree_exp6_rebuilding_time/step10228.txt"/>
    <x v="1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100009686859012"/>
    <n v="10001621"/>
    <n v="100009686859012"/>
    <n v="10001621"/>
    <s v="success"/>
    <n v="7"/>
    <n v="1863329"/>
    <n v="11952067"/>
    <n v="13815396"/>
    <n v="10001621"/>
    <n v="7.4143600000000003"/>
    <n v="0.83681099999999997"/>
    <n v="4.0467700000000004"/>
    <n v="340341936"/>
    <s v="102 120563 1783244 26593360 77700"/>
    <s v="38 120551 1783000 26592851 77699"/>
    <m/>
    <n v="26342"/>
    <n v="5747409095842"/>
    <n v="64330852930"/>
    <n v="4037676650955"/>
    <n v="85694667326"/>
    <n v="1012647747356"/>
    <n v="26074763227"/>
    <n v="290508162"/>
    <n v="0"/>
    <n v="193665394"/>
    <n v="290508162"/>
    <n v="484173556"/>
    <n v="4841802"/>
    <n v="0"/>
    <n v="3227756"/>
    <n v="4841802"/>
    <n v="8069559"/>
    <n v="25.5562"/>
    <n v="12.494199999999999"/>
    <n v="27916.3"/>
    <n v="2621.44"/>
    <n v="4629"/>
    <n v="214"/>
    <n v="59.868844748354171"/>
    <n v="54.441923768687502"/>
    <n v="38"/>
    <n v="120551"/>
    <n v="1783000"/>
    <n v="26592851"/>
    <n v="77699"/>
    <n v="0"/>
    <x v="9"/>
    <x v="21"/>
  </r>
  <r>
    <s v="istree_exp6_rebuilding_time/step10229.txt"/>
    <x v="1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32977638341"/>
    <n v="10004004"/>
    <n v="100032977638341"/>
    <n v="10004004"/>
    <s v="success"/>
    <n v="7"/>
    <n v="1625822"/>
    <n v="11446413"/>
    <n v="13072235"/>
    <n v="10004004"/>
    <n v="8.0403900000000004"/>
    <n v="0.87398600000000004"/>
    <n v="4.0000099999999996"/>
    <n v="313208352"/>
    <s v="86 117034 979069 24754312 62125"/>
    <s v="37 117024 978793 24753709 62125"/>
    <m/>
    <n v="16160"/>
    <n v="8712574099146"/>
    <n v="59829135896"/>
    <n v="6320651547173"/>
    <n v="80821458165"/>
    <n v="1714254812887"/>
    <n v="25857417838"/>
    <n v="277480800"/>
    <n v="0"/>
    <n v="184980125"/>
    <n v="277480800"/>
    <n v="462460925"/>
    <n v="4624680"/>
    <n v="0"/>
    <n v="3083002"/>
    <n v="4624680"/>
    <n v="7707682"/>
    <n v="25.8658"/>
    <n v="13.161799999999999"/>
    <n v="42500.6"/>
    <n v="2718.16"/>
    <n v="5126"/>
    <n v="302"/>
    <n v="60.503986799625004"/>
    <n v="56.954266471937494"/>
    <n v="37"/>
    <n v="117024"/>
    <n v="978793"/>
    <n v="24753709"/>
    <n v="62125"/>
    <n v="0"/>
    <x v="9"/>
    <x v="21"/>
  </r>
  <r>
    <s v="istree_exp6_rebuilding_time/step10230.txt"/>
    <x v="1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99929557558923"/>
    <n v="9995279"/>
    <n v="99929557558923"/>
    <n v="9995279"/>
    <s v="success"/>
    <n v="7"/>
    <n v="1625313"/>
    <n v="11437242"/>
    <n v="13062555"/>
    <n v="9995279"/>
    <n v="8.0369499999999992"/>
    <n v="0.87392400000000003"/>
    <n v="4.0000099999999996"/>
    <n v="313020896"/>
    <s v="81 117041 988537 24756371 62275"/>
    <s v="37 117025 988162 24755647 62274"/>
    <m/>
    <n v="11498"/>
    <n v="11493815510774"/>
    <n v="59636092652"/>
    <n v="8384550793871"/>
    <n v="84549534747"/>
    <n v="2421151516219"/>
    <n v="26027203697"/>
    <n v="277403916"/>
    <n v="0"/>
    <n v="184964323"/>
    <n v="277403916"/>
    <n v="462368239"/>
    <n v="4623398"/>
    <n v="0"/>
    <n v="3082738"/>
    <n v="4623398"/>
    <n v="7706137"/>
    <n v="26.1739"/>
    <n v="13.689299999999999"/>
    <n v="54698.1"/>
    <n v="2836.86"/>
    <n v="5555"/>
    <n v="392"/>
    <n v="60.493765846178952"/>
    <n v="57.767974427294739"/>
    <n v="37"/>
    <n v="117025"/>
    <n v="988162"/>
    <n v="24755647"/>
    <n v="62274"/>
    <n v="0"/>
    <x v="9"/>
    <x v="21"/>
  </r>
  <r>
    <s v="istree_exp6_rebuilding_time/step10231.txt"/>
    <x v="1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1.00009320444993E+16"/>
    <n v="100007642"/>
    <n v="1.00009320444993E+16"/>
    <n v="100007642"/>
    <s v="success"/>
    <n v="7"/>
    <n v="14356118"/>
    <n v="116896817"/>
    <n v="131252935"/>
    <n v="100007642"/>
    <n v="9.1426499999999997"/>
    <n v="0.85552099999999998"/>
    <n v="4.0661199999999997"/>
    <n v="3022556608"/>
    <s v="4 19136 1855055 16559109 2723403"/>
    <s v="3 19119 1855042 16559100 2723402"/>
    <m/>
    <n v="192504"/>
    <n v="1436561499760"/>
    <n v="41856670224"/>
    <n v="682624551583"/>
    <n v="53210088924"/>
    <n v="87020151481"/>
    <n v="16588924596"/>
    <n v="293735886"/>
    <n v="0"/>
    <n v="195838515"/>
    <n v="293735886"/>
    <n v="489574401"/>
    <n v="4895598"/>
    <n v="0"/>
    <n v="3263975"/>
    <n v="4895598"/>
    <n v="8159573"/>
    <n v="26.621200000000002"/>
    <n v="12.5215"/>
    <n v="7797.18"/>
    <n v="2685.65"/>
    <n v="12752"/>
    <n v="1532"/>
    <n v="59.856729156666667"/>
    <n v="36.720849450333333"/>
    <n v="3"/>
    <n v="19119"/>
    <n v="1855042"/>
    <n v="16559100"/>
    <n v="2723402"/>
    <n v="0"/>
    <x v="10"/>
    <x v="22"/>
  </r>
  <r>
    <s v="istree_exp6_rebuilding_time/step10232.txt"/>
    <x v="1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064832660850"/>
    <n v="99993930"/>
    <n v="9999064832660850"/>
    <n v="99993930"/>
    <s v="success"/>
    <n v="7"/>
    <n v="11010013"/>
    <n v="109993950"/>
    <n v="121003963"/>
    <n v="99993930"/>
    <n v="10.990399999999999"/>
    <n v="0.90908599999999995"/>
    <n v="4"/>
    <n v="2640704224"/>
    <s v="5 34400 1879981 16638336 2739714"/>
    <s v="4 34378 1879950 16638302 2739713"/>
    <m/>
    <n v="54762"/>
    <n v="3223542134416"/>
    <n v="74811427047"/>
    <n v="1970907045617"/>
    <n v="90534277622"/>
    <n v="417538366667"/>
    <n v="27178854852"/>
    <n v="299965430"/>
    <n v="0"/>
    <n v="199997371"/>
    <n v="299965430"/>
    <n v="499962801"/>
    <n v="4999423"/>
    <n v="0"/>
    <n v="3333289"/>
    <n v="4999423"/>
    <n v="8332713"/>
    <n v="29.690799999999999"/>
    <n v="13.6447"/>
    <n v="16416.400000000001"/>
    <n v="3459.83"/>
    <n v="13307"/>
    <n v="1287"/>
    <n v="67.157127800333328"/>
    <n v="53.770207745937505"/>
    <n v="4"/>
    <n v="34378"/>
    <n v="1879950"/>
    <n v="16638302"/>
    <n v="2739713"/>
    <n v="0"/>
    <x v="10"/>
    <x v="22"/>
  </r>
  <r>
    <s v="istree_exp6_rebuilding_time/step10233.txt"/>
    <x v="1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1.00000796614659E+16"/>
    <n v="100000707"/>
    <n v="1.00000796614659E+16"/>
    <n v="100000707"/>
    <s v="success"/>
    <n v="7"/>
    <n v="11011129"/>
    <n v="110001759"/>
    <n v="121012888"/>
    <n v="100000707"/>
    <n v="10.9901"/>
    <n v="0.90908299999999997"/>
    <n v="4"/>
    <n v="2640918448"/>
    <s v="10 39684 1578411 15990485 2689902"/>
    <s v="4 39673 1578383 15990440 2689901"/>
    <m/>
    <n v="28434"/>
    <n v="6613105947496"/>
    <n v="76121165375"/>
    <n v="3716257620482"/>
    <n v="101265555588"/>
    <n v="2041701257086"/>
    <n v="26324769210"/>
    <n v="300000716"/>
    <n v="0"/>
    <n v="200015828"/>
    <n v="300000716"/>
    <n v="500016544"/>
    <n v="5000011"/>
    <n v="0"/>
    <n v="3333597"/>
    <n v="5000011"/>
    <n v="8333609"/>
    <n v="30.891999999999999"/>
    <n v="15.5067"/>
    <n v="26758.5"/>
    <n v="3362.36"/>
    <n v="13687"/>
    <n v="1137"/>
    <n v="68.886520286416669"/>
    <n v="62.100732997302082"/>
    <n v="4"/>
    <n v="39673"/>
    <n v="1578383"/>
    <n v="15990440"/>
    <n v="2689901"/>
    <n v="0"/>
    <x v="10"/>
    <x v="22"/>
  </r>
  <r>
    <s v="istree_exp6_rebuilding_time/step10234.txt"/>
    <x v="1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1167818966E+16"/>
    <n v="100004663"/>
    <n v="1.0001167818966E+16"/>
    <n v="100004663"/>
    <s v="success"/>
    <n v="7"/>
    <n v="11997972"/>
    <n v="111970295"/>
    <n v="123968267"/>
    <n v="100004663"/>
    <n v="10.3324"/>
    <n v="0.89313600000000004"/>
    <n v="4.0187400000000002"/>
    <n v="2752064736"/>
    <s v="5 38203 1395168 15567732 2645349"/>
    <s v="3 38198 1395133 15567669 2645343"/>
    <m/>
    <n v="18454"/>
    <n v="8709589686127"/>
    <n v="68036094215"/>
    <n v="4183243916420"/>
    <n v="99467082493"/>
    <n v="3677982643738"/>
    <n v="23173566762"/>
    <n v="295133717"/>
    <n v="0"/>
    <n v="196752759"/>
    <n v="295133717"/>
    <n v="491886476"/>
    <n v="4918895"/>
    <n v="0"/>
    <n v="3279212"/>
    <n v="4918895"/>
    <n v="8198107"/>
    <n v="30.505299999999998"/>
    <n v="15.849600000000001"/>
    <n v="29862.5"/>
    <n v="3262.33"/>
    <n v="17281"/>
    <n v="1076"/>
    <n v="60.48326170921527"/>
    <n v="55.915995164083334"/>
    <n v="3"/>
    <n v="38198"/>
    <n v="1395133"/>
    <n v="15567669"/>
    <n v="2645343"/>
    <n v="0"/>
    <x v="10"/>
    <x v="22"/>
  </r>
  <r>
    <s v="istree_exp6_rebuilding_time/step10235.txt"/>
    <x v="1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9999401162648810"/>
    <n v="99988785"/>
    <n v="9999401162648810"/>
    <n v="99988785"/>
    <s v="success"/>
    <n v="7"/>
    <n v="12229477"/>
    <n v="112448550"/>
    <n v="124678027"/>
    <n v="99988785"/>
    <n v="10.194900000000001"/>
    <n v="0.88919599999999999"/>
    <n v="4.0234399999999999"/>
    <n v="2778548848"/>
    <s v="5 37295 1368793 15503327 2641276"/>
    <s v="3 37294 1368743 15503270 2641274"/>
    <m/>
    <n v="15746"/>
    <n v="11443147260213"/>
    <n v="65559815387"/>
    <n v="5477640600605"/>
    <n v="98441928052"/>
    <n v="5097906900727"/>
    <n v="22912469709"/>
    <n v="294318807"/>
    <n v="0"/>
    <n v="196224515"/>
    <n v="294318807"/>
    <n v="490543322"/>
    <n v="4905313"/>
    <n v="0"/>
    <n v="3270408"/>
    <n v="4905313"/>
    <n v="8175722"/>
    <n v="30.800999999999998"/>
    <n v="16.3094"/>
    <n v="36937.800000000003"/>
    <n v="3124.62"/>
    <n v="18622"/>
    <n v="1108"/>
    <n v="60.227090843226314"/>
    <n v="56.644535339368417"/>
    <n v="3"/>
    <n v="37294"/>
    <n v="1368743"/>
    <n v="15503270"/>
    <n v="2641274"/>
    <n v="0"/>
    <x v="10"/>
    <x v="22"/>
  </r>
  <r>
    <s v="istree_exp6_rebuilding_time/step10236.txt"/>
    <x v="1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8703035652698E+17"/>
    <n v="1000006436"/>
    <n v="9.9998703035652698E+17"/>
    <n v="1000006436"/>
    <s v="success"/>
    <n v="7"/>
    <n v="127924598"/>
    <n v="1170326839"/>
    <n v="1298251437"/>
    <n v="1000006436"/>
    <n v="10.1486"/>
    <n v="0.85446800000000001"/>
    <n v="4.0927499999999997"/>
    <n v="29026353712"/>
    <s v="0 0 123019 21294104 7005028"/>
    <s v="0 0 123019 21294103 7005028"/>
    <m/>
    <n v="332812"/>
    <n v="1436561587159"/>
    <n v="17448741044"/>
    <n v="38878"/>
    <n v="20523237945"/>
    <n v="21441411828"/>
    <n v="3782280290"/>
    <n v="540485176"/>
    <n v="0"/>
    <n v="360318118"/>
    <n v="540485176"/>
    <n v="900803294"/>
    <n v="9008086"/>
    <n v="0"/>
    <n v="6005301"/>
    <n v="9008086"/>
    <n v="15013388"/>
    <n v="26.130299999999998"/>
    <n v="15.374599999999999"/>
    <n v="4431.59"/>
    <n v="3507.51"/>
    <n v="62809"/>
    <n v="16385"/>
    <n v="59.856732798291667"/>
    <n v="2.6331545827083334"/>
    <n v="0"/>
    <n v="0"/>
    <n v="123019"/>
    <n v="21294103"/>
    <n v="7005028"/>
    <n v="0"/>
    <x v="11"/>
    <x v="23"/>
  </r>
  <r>
    <s v="istree_exp6_rebuilding_time/step10238.txt"/>
    <x v="1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7242203762406E+17"/>
    <n v="999979829"/>
    <n v="9.9997242203762406E+17"/>
    <n v="999979829"/>
    <s v="success"/>
    <n v="7"/>
    <n v="84465061"/>
    <n v="1078784391"/>
    <n v="1163249452"/>
    <n v="999979829"/>
    <n v="13.772"/>
    <n v="0.92695099999999997"/>
    <n v="4"/>
    <n v="24017755120"/>
    <s v="2 30936 2314126 33881941 9507224"/>
    <s v="1 30919 2314115 33881921 9507223"/>
    <m/>
    <n v="28278"/>
    <n v="9400301816456"/>
    <n v="171749872904"/>
    <n v="6641085578270"/>
    <n v="369198214901"/>
    <n v="128475243818"/>
    <n v="78760303218"/>
    <n v="750028312"/>
    <n v="0"/>
    <n v="500037433"/>
    <n v="750028312"/>
    <n v="1250065745"/>
    <n v="12500471"/>
    <n v="0"/>
    <n v="8333957"/>
    <n v="12500471"/>
    <n v="20834429"/>
    <n v="32.338500000000003"/>
    <n v="20.093800000000002"/>
    <n v="20542.8"/>
    <n v="4452.75"/>
    <n v="89213"/>
    <n v="9862"/>
    <n v="97.919810588083337"/>
    <n v="76.971554303239586"/>
    <n v="1"/>
    <n v="30919"/>
    <n v="2314115"/>
    <n v="33881921"/>
    <n v="9507223"/>
    <n v="0"/>
    <x v="11"/>
    <x v="23"/>
  </r>
  <r>
    <s v="istree_exp6_rebuilding_time/step10239.txt"/>
    <x v="1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170114832E+17"/>
    <n v="999985953"/>
    <n v="9.9998170114832E+17"/>
    <n v="999985953"/>
    <s v="success"/>
    <n v="7"/>
    <n v="84465076"/>
    <n v="1078790544"/>
    <n v="1163255620"/>
    <n v="999985953"/>
    <n v="13.772"/>
    <n v="0.92695099999999997"/>
    <n v="4"/>
    <n v="24017854768"/>
    <s v="5 31576 2161883 33497680 9437935"/>
    <s v="1 31574 2161862 33497659 9437934"/>
    <m/>
    <n v="12740"/>
    <n v="12611717797306"/>
    <n v="173363841591"/>
    <n v="9951392126321"/>
    <n v="218356401196"/>
    <n v="143144225543"/>
    <n v="78049821949"/>
    <n v="750063904"/>
    <n v="0"/>
    <n v="500030955"/>
    <n v="750063904"/>
    <n v="1250094859"/>
    <n v="12501065"/>
    <n v="0"/>
    <n v="8333849"/>
    <n v="12501065"/>
    <n v="20834914"/>
    <n v="32.459000000000003"/>
    <n v="20.531500000000001"/>
    <n v="28037.8"/>
    <n v="4543.93"/>
    <n v="121334"/>
    <n v="9267"/>
    <n v="87.581373592402784"/>
    <n v="73.363239004166672"/>
    <n v="1"/>
    <n v="31574"/>
    <n v="2161862"/>
    <n v="33497659"/>
    <n v="9437934"/>
    <n v="0"/>
    <x v="11"/>
    <x v="23"/>
  </r>
  <r>
    <s v="istree_exp6_rebuilding_time/step10240.txt"/>
    <x v="1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1008700942E+18"/>
    <n v="1000006169"/>
    <n v="1.00001008700942E+18"/>
    <n v="1000006169"/>
    <s v="success"/>
    <n v="7"/>
    <n v="84465084"/>
    <n v="1078810788"/>
    <n v="1163275872"/>
    <n v="1000006169"/>
    <n v="13.7723"/>
    <n v="0.926952"/>
    <n v="4"/>
    <n v="24018179312"/>
    <s v="2 31575 2148804 33458555 9430886"/>
    <s v="1 31573 2148775 33458529 9430882"/>
    <m/>
    <n v="7690"/>
    <n v="15999557996427"/>
    <n v="177633739397"/>
    <n v="13248504904157"/>
    <n v="231853260072"/>
    <n v="164162724340"/>
    <n v="77606169819"/>
    <n v="749982580"/>
    <n v="0"/>
    <n v="500015966"/>
    <n v="749982580"/>
    <n v="1249998546"/>
    <n v="12499709"/>
    <n v="0"/>
    <n v="8333599"/>
    <n v="12499709"/>
    <n v="20833309"/>
    <n v="32.7151"/>
    <n v="20.827200000000001"/>
    <n v="35580.400000000001"/>
    <n v="4683.6499999999996"/>
    <n v="121928"/>
    <n v="9296"/>
    <n v="84.208199981194738"/>
    <n v="73.156635777815794"/>
    <n v="1"/>
    <n v="31573"/>
    <n v="2148775"/>
    <n v="33458529"/>
    <n v="9430882"/>
    <n v="0"/>
    <x v="11"/>
    <x v="23"/>
  </r>
  <r>
    <s v="istree_exp6_rebuilding_time/step10241.txt"/>
    <x v="0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8956720870"/>
    <n v="999039"/>
    <n v="998956720870"/>
    <n v="999039"/>
    <s v="success"/>
    <n v="6"/>
    <n v="64230"/>
    <n v="1094634"/>
    <n v="1158864"/>
    <n v="999039"/>
    <n v="18.042400000000001"/>
    <n v="0.91266899999999995"/>
    <n v="3.06562"/>
    <n v="22685504"/>
    <s v="99 85322 1227459 1375496"/>
    <s v="95 85300 1227436 1375493"/>
    <n v="7856"/>
    <n v="1761710"/>
    <n v="1436561616868"/>
    <n v="4203986384"/>
    <n v="38557453"/>
    <n v="5674174248"/>
    <n v="6677648299"/>
    <n v="2110895733"/>
    <n v="4715589865"/>
    <n v="0"/>
    <n v="47628151"/>
    <n v="4715589865"/>
    <n v="4763218016"/>
    <n v="78593164"/>
    <n v="0"/>
    <n v="793802"/>
    <n v="78593164"/>
    <n v="79386966"/>
    <n v="8.5346499999999992"/>
    <n v="0.10168000000000001"/>
    <n v="842.86800000000005"/>
    <n v="282.375"/>
    <n v="1187"/>
    <n v="27"/>
    <n v="59.856734036166671"/>
    <n v="0.77938592154166664"/>
    <n v="95"/>
    <n v="85300"/>
    <n v="1227436"/>
    <n v="1375493"/>
    <n v="0"/>
    <n v="0"/>
    <x v="0"/>
    <x v="0"/>
  </r>
  <r>
    <s v="istree_exp6_rebuilding_time/step10242.txt"/>
    <x v="0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056192379"/>
    <n v="999069"/>
    <n v="999056192379"/>
    <n v="999069"/>
    <s v="success"/>
    <n v="6"/>
    <n v="82409"/>
    <n v="1134183"/>
    <n v="1216592"/>
    <n v="999069"/>
    <n v="14.7629"/>
    <n v="0.88087099999999996"/>
    <n v="3.1078899999999998"/>
    <n v="24839264"/>
    <s v="157 144160 1371877 1996313"/>
    <s v="146 144149 1371785 1996309"/>
    <n v="33885"/>
    <n v="665590"/>
    <n v="2873123237381"/>
    <n v="10423744773"/>
    <n v="236907652"/>
    <n v="13734168298"/>
    <n v="12421933245"/>
    <n v="5214704022"/>
    <n v="7256765289"/>
    <n v="0"/>
    <n v="73305498"/>
    <n v="7256765289"/>
    <n v="7330070787"/>
    <n v="120946088"/>
    <n v="0"/>
    <n v="1221758"/>
    <n v="120946088"/>
    <n v="122167846"/>
    <n v="8.4623200000000001"/>
    <n v="0.10956299999999999"/>
    <n v="1088.1600000000001"/>
    <n v="392.58699999999999"/>
    <n v="1216"/>
    <n v="69"/>
    <n v="59.856734112104164"/>
    <n v="0.87565537479166666"/>
    <n v="146"/>
    <n v="144149"/>
    <n v="1371785"/>
    <n v="1996309"/>
    <n v="0"/>
    <n v="0"/>
    <x v="0"/>
    <x v="0"/>
  </r>
  <r>
    <s v="istree_exp6_rebuilding_time/step10243.txt"/>
    <x v="0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8689891484"/>
    <n v="999653"/>
    <n v="998689891484"/>
    <n v="999653"/>
    <s v="success"/>
    <n v="6"/>
    <n v="60364"/>
    <n v="1087467"/>
    <n v="1147831"/>
    <n v="999653"/>
    <n v="19.0152"/>
    <n v="0.91924899999999998"/>
    <n v="3.0571999999999999"/>
    <n v="22255488"/>
    <s v="300 428167 741434 3150618"/>
    <s v="273 427804 741232 3150590"/>
    <n v="169495"/>
    <n v="312656"/>
    <n v="5746240546332"/>
    <n v="35615100994"/>
    <n v="1117619929"/>
    <n v="46974703182"/>
    <n v="31193948845"/>
    <n v="41350490689"/>
    <n v="13519184844"/>
    <n v="0"/>
    <n v="136545507"/>
    <n v="13519184844"/>
    <n v="13655730351"/>
    <n v="225319747"/>
    <n v="0"/>
    <n v="2275758"/>
    <n v="225319747"/>
    <n v="227595505"/>
    <n v="8.5190400000000004"/>
    <n v="0.249918"/>
    <n v="1169.94"/>
    <n v="447.57499999999999"/>
    <n v="1281"/>
    <n v="142"/>
    <n v="59.856672357625001"/>
    <n v="1.6276235795729166"/>
    <n v="273"/>
    <n v="427804"/>
    <n v="741232"/>
    <n v="3150590"/>
    <n v="0"/>
    <n v="0"/>
    <x v="0"/>
    <x v="0"/>
  </r>
  <r>
    <s v="istree_exp6_rebuilding_time/step10244.txt"/>
    <x v="0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686981912"/>
    <n v="999940"/>
    <n v="999686981912"/>
    <n v="999940"/>
    <s v="success"/>
    <n v="6"/>
    <n v="51655"/>
    <n v="1069674"/>
    <n v="1121329"/>
    <n v="999940"/>
    <n v="21.707999999999998"/>
    <n v="0.93480799999999997"/>
    <n v="3.0387200000000001"/>
    <n v="21262256"/>
    <s v="428 1129415 202652 3144989"/>
    <s v="387 1128520 202517 3144945"/>
    <n v="421689"/>
    <n v="198638"/>
    <n v="8619359561131"/>
    <n v="69581019834"/>
    <n v="3353374596"/>
    <n v="102348145315"/>
    <n v="32781979141"/>
    <n v="122393721499"/>
    <n v="19168396680"/>
    <n v="0"/>
    <n v="193614778"/>
    <n v="19168396680"/>
    <n v="19362011458"/>
    <n v="319473278"/>
    <n v="0"/>
    <n v="3226912"/>
    <n v="319473278"/>
    <n v="322700190"/>
    <n v="8.6367100000000008"/>
    <n v="0.35739399999999999"/>
    <n v="1224.02"/>
    <n v="491.50700000000001"/>
    <n v="1370"/>
    <n v="249"/>
    <n v="59.856663618965271"/>
    <n v="2.2948488915625003"/>
    <n v="387"/>
    <n v="1128520"/>
    <n v="202517"/>
    <n v="3144945"/>
    <n v="0"/>
    <n v="0"/>
    <x v="0"/>
    <x v="0"/>
  </r>
  <r>
    <s v="istree_exp6_rebuilding_time/step10245.txt"/>
    <x v="0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9990265294"/>
    <n v="1000053"/>
    <n v="999990265294"/>
    <n v="1000053"/>
    <s v="success"/>
    <n v="6"/>
    <n v="54554"/>
    <n v="1075952"/>
    <n v="1130506"/>
    <n v="1000053"/>
    <n v="20.7227"/>
    <n v="0.92945900000000004"/>
    <n v="3.0451100000000002"/>
    <n v="21602224"/>
    <s v="541 1139619 553353 4555440"/>
    <s v="485 1138499 553018 4555380"/>
    <n v="611690"/>
    <n v="168574"/>
    <n v="11372767578153"/>
    <n v="84626303523"/>
    <n v="6335494886"/>
    <n v="147876551938"/>
    <n v="42851856181"/>
    <n v="236156762308"/>
    <n v="24025415244"/>
    <n v="0"/>
    <n v="242669643"/>
    <n v="24025415244"/>
    <n v="24268084887"/>
    <n v="400423587"/>
    <n v="0"/>
    <n v="4044494"/>
    <n v="400423587"/>
    <n v="404468081"/>
    <n v="8.7142700000000008"/>
    <n v="0.415854"/>
    <n v="1287.28"/>
    <n v="542.54600000000005"/>
    <n v="1434"/>
    <n v="277"/>
    <n v="59.85667146396316"/>
    <n v="2.7255103622947368"/>
    <n v="485"/>
    <n v="1138499"/>
    <n v="553018"/>
    <n v="4555380"/>
    <n v="0"/>
    <n v="0"/>
    <x v="0"/>
    <x v="0"/>
  </r>
  <r>
    <s v="istree_exp6_rebuilding_time/step10246.txt"/>
    <x v="0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05099869592"/>
    <n v="9999638"/>
    <n v="100005099869592"/>
    <n v="9999638"/>
    <s v="success"/>
    <n v="7"/>
    <n v="1794651"/>
    <n v="11786390"/>
    <n v="13581041"/>
    <n v="9999638"/>
    <n v="7.5675100000000004"/>
    <n v="0.84840499999999996"/>
    <n v="4.0337899999999998"/>
    <n v="332156880"/>
    <s v="4 11187 320848 2993890 9731"/>
    <s v="4 11185 320848 2993890 9731"/>
    <n v="756"/>
    <n v="754422"/>
    <n v="1436560152562"/>
    <n v="5910779704"/>
    <n v="12920867"/>
    <n v="8359954011"/>
    <n v="6474250303"/>
    <n v="2636773361"/>
    <n v="2074259255"/>
    <n v="0"/>
    <n v="20954327"/>
    <n v="2074259255"/>
    <n v="2095213582"/>
    <n v="34570987"/>
    <n v="0"/>
    <n v="349238"/>
    <n v="34570987"/>
    <n v="34920226"/>
    <n v="16.137499999999999"/>
    <n v="5.9023700000000003"/>
    <n v="1913.42"/>
    <n v="1233.73"/>
    <n v="2434"/>
    <n v="154"/>
    <n v="59.856673023416668"/>
    <n v="0.97477826025000003"/>
    <n v="4"/>
    <n v="11185"/>
    <n v="320848"/>
    <n v="2993890"/>
    <n v="9731"/>
    <n v="0"/>
    <x v="1"/>
    <x v="1"/>
  </r>
  <r>
    <s v="istree_exp6_rebuilding_time/step10247.txt"/>
    <x v="0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99972890585059"/>
    <n v="9996760"/>
    <n v="99972890585059"/>
    <n v="9996760"/>
    <s v="success"/>
    <n v="7"/>
    <n v="1822159"/>
    <n v="11843697"/>
    <n v="13665856"/>
    <n v="9996760"/>
    <n v="7.4998199999999997"/>
    <n v="0.84405699999999995"/>
    <n v="4.0394199999999998"/>
    <n v="335276448"/>
    <s v="8 21724 474996 5079391 16424"/>
    <s v="7 21722 474990 5079384 16424"/>
    <n v="4072"/>
    <n v="312818"/>
    <n v="2873120482467"/>
    <n v="13456971676"/>
    <n v="104136508"/>
    <n v="20982658987"/>
    <n v="16027470421"/>
    <n v="6439396228"/>
    <n v="3583882378"/>
    <n v="0"/>
    <n v="36207657"/>
    <n v="3583882378"/>
    <n v="3620090035"/>
    <n v="59731372"/>
    <n v="0"/>
    <n v="603460"/>
    <n v="59731372"/>
    <n v="60334833"/>
    <n v="16.1709"/>
    <n v="6.0054800000000004"/>
    <n v="2207.84"/>
    <n v="1512.43"/>
    <n v="2469"/>
    <n v="177"/>
    <n v="59.856676718062495"/>
    <n v="1.1877215379166668"/>
    <n v="7"/>
    <n v="21722"/>
    <n v="474990"/>
    <n v="5079384"/>
    <n v="16424"/>
    <n v="0"/>
    <x v="1"/>
    <x v="1"/>
  </r>
  <r>
    <s v="istree_exp6_rebuilding_time/step10248.txt"/>
    <x v="0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09021724834"/>
    <n v="10002054"/>
    <n v="100009021724834"/>
    <n v="10002054"/>
    <s v="success"/>
    <n v="7"/>
    <n v="1898634"/>
    <n v="12015142"/>
    <n v="13913776"/>
    <n v="10002054"/>
    <n v="7.3283100000000001"/>
    <n v="0.83245400000000003"/>
    <n v="4.0546699999999998"/>
    <n v="344159616"/>
    <s v="19 47426 694490 10590963 30635"/>
    <s v="15 47425 694475 10590950 30635"/>
    <n v="17889"/>
    <n v="165110"/>
    <n v="5746241639724"/>
    <n v="29584965037"/>
    <n v="1183048681"/>
    <n v="55180909819"/>
    <n v="54204112593"/>
    <n v="14378157346"/>
    <n v="7664212342"/>
    <n v="0"/>
    <n v="77406623"/>
    <n v="7664212342"/>
    <n v="7741618965"/>
    <n v="127736872"/>
    <n v="0"/>
    <n v="1290110"/>
    <n v="127736872"/>
    <n v="129026982"/>
    <n v="16.2913"/>
    <n v="6.4340200000000003"/>
    <n v="2046.1"/>
    <n v="1292.55"/>
    <n v="2549"/>
    <n v="253"/>
    <n v="59.856683747125004"/>
    <n v="1.6096999320416667"/>
    <n v="15"/>
    <n v="47425"/>
    <n v="694475"/>
    <n v="10590950"/>
    <n v="30635"/>
    <n v="0"/>
    <x v="1"/>
    <x v="1"/>
  </r>
  <r>
    <s v="istree_exp6_rebuilding_time/step10249.txt"/>
    <x v="0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15618005208"/>
    <n v="10001816"/>
    <n v="100015618005208"/>
    <n v="10001816"/>
    <s v="success"/>
    <n v="7"/>
    <n v="1734229"/>
    <n v="11669344"/>
    <n v="13403573"/>
    <n v="10001816"/>
    <n v="7.7288399999999999"/>
    <n v="0.85710200000000003"/>
    <n v="4.0222899999999999"/>
    <n v="325451088"/>
    <s v="23 72614 607195 15280773 38220"/>
    <s v="22 72614 607163 15280738 38220"/>
    <n v="39295"/>
    <n v="111506"/>
    <n v="8619364202177"/>
    <n v="44455867531"/>
    <n v="2702134612"/>
    <n v="81761170495"/>
    <n v="90643337957"/>
    <n v="22197733922"/>
    <n v="11293834147"/>
    <n v="0"/>
    <n v="114087781"/>
    <n v="11293834147"/>
    <n v="11407921928"/>
    <n v="188230569"/>
    <n v="0"/>
    <n v="1901463"/>
    <n v="188230569"/>
    <n v="190132032"/>
    <n v="16.355899999999998"/>
    <n v="6.5817300000000003"/>
    <n v="2084.25"/>
    <n v="1315.32"/>
    <n v="2640"/>
    <n v="384"/>
    <n v="59.85669584845138"/>
    <n v="1.678890586923611"/>
    <n v="22"/>
    <n v="72614"/>
    <n v="607163"/>
    <n v="15280738"/>
    <n v="38220"/>
    <n v="0"/>
    <x v="1"/>
    <x v="1"/>
  </r>
  <r>
    <s v="istree_exp6_rebuilding_time/step10250.txt"/>
    <x v="0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0561019166"/>
    <n v="9998999"/>
    <n v="100000561019166"/>
    <n v="9998999"/>
    <s v="success"/>
    <n v="7"/>
    <n v="1763131"/>
    <n v="11726437"/>
    <n v="13489568"/>
    <n v="9998999"/>
    <n v="7.6509200000000002"/>
    <n v="0.85268900000000003"/>
    <n v="4.0282600000000004"/>
    <n v="328675856"/>
    <s v="30 94868 799293 19989843 50364"/>
    <s v="29 94865 799237 19989780 50364"/>
    <n v="73050"/>
    <n v="91808"/>
    <n v="11372772541994"/>
    <n v="60753571381"/>
    <n v="7083303170"/>
    <n v="118281272168"/>
    <n v="133192766013"/>
    <n v="46424302453"/>
    <n v="14788505010"/>
    <n v="0"/>
    <n v="149364987"/>
    <n v="14788505010"/>
    <n v="14937869997"/>
    <n v="246475083"/>
    <n v="0"/>
    <n v="2489416"/>
    <n v="246475083"/>
    <n v="248964499"/>
    <n v="16.450500000000002"/>
    <n v="6.66221"/>
    <n v="2097.6"/>
    <n v="1324.65"/>
    <n v="2736"/>
    <n v="420"/>
    <n v="59.856697589442106"/>
    <n v="1.9249221851842107"/>
    <n v="29"/>
    <n v="94865"/>
    <n v="799237"/>
    <n v="19989780"/>
    <n v="50364"/>
    <n v="0"/>
    <x v="1"/>
    <x v="1"/>
  </r>
  <r>
    <s v="istree_exp6_rebuilding_time/step10251.txt"/>
    <x v="0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0337798686E+16"/>
    <n v="99999272"/>
    <n v="1.00000337798686E+16"/>
    <n v="99999272"/>
    <s v="success"/>
    <n v="7"/>
    <n v="14120040"/>
    <n v="116400394"/>
    <n v="130520434"/>
    <n v="99999272"/>
    <n v="9.2436299999999996"/>
    <n v="0.859097"/>
    <n v="4.0643900000000004"/>
    <n v="2994446160"/>
    <s v="0 0 11 602772 200516"/>
    <s v="0 0 11 602772 200516"/>
    <m/>
    <n v="631734"/>
    <n v="1436560629978"/>
    <n v="291794183"/>
    <m/>
    <n v="814808511"/>
    <n v="1552157534"/>
    <n v="115459514"/>
    <n v="1698765724"/>
    <n v="0"/>
    <n v="17160805"/>
    <n v="1698765724"/>
    <n v="1715926529"/>
    <n v="28312762"/>
    <n v="0"/>
    <n v="286013"/>
    <n v="28312762"/>
    <n v="28598775"/>
    <n v="18.8965"/>
    <n v="8.2720900000000004"/>
    <n v="2339.9299999999998"/>
    <n v="1745.14"/>
    <n v="7484"/>
    <n v="1558"/>
    <n v="59.856692915749996"/>
    <n v="0.11559248925"/>
    <n v="0"/>
    <n v="0"/>
    <n v="11"/>
    <n v="602772"/>
    <n v="200516"/>
    <n v="0"/>
    <x v="2"/>
    <x v="2"/>
  </r>
  <r>
    <s v="istree_exp6_rebuilding_time/step10252.txt"/>
    <x v="0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0739754531E+16"/>
    <n v="100001940"/>
    <n v="1.00000739754531E+16"/>
    <n v="100001940"/>
    <s v="success"/>
    <n v="7"/>
    <n v="14927302"/>
    <n v="118216822"/>
    <n v="133144124"/>
    <n v="100001940"/>
    <n v="8.9194999999999993"/>
    <n v="0.84592000000000001"/>
    <n v="4.0817899999999998"/>
    <n v="3089810080"/>
    <s v="0 0 14904 2030564 421134"/>
    <s v="0 0 14904 2030563 421134"/>
    <m/>
    <n v="272222"/>
    <n v="2873121392573"/>
    <n v="1455945862"/>
    <m/>
    <n v="3541741542"/>
    <n v="5545412711"/>
    <n v="586874941"/>
    <n v="2983314494"/>
    <n v="0"/>
    <n v="30141556"/>
    <n v="2983314494"/>
    <n v="3013456050"/>
    <n v="49721908"/>
    <n v="0"/>
    <n v="502359"/>
    <n v="49721908"/>
    <n v="50224267"/>
    <n v="19.051200000000001"/>
    <n v="8.3641400000000008"/>
    <n v="2663.11"/>
    <n v="1982.83"/>
    <n v="7814"/>
    <n v="1298"/>
    <n v="59.856695678604162"/>
    <n v="0.23187448033333333"/>
    <n v="0"/>
    <n v="0"/>
    <n v="14904"/>
    <n v="2030563"/>
    <n v="421134"/>
    <n v="0"/>
    <x v="2"/>
    <x v="2"/>
  </r>
  <r>
    <s v="istree_exp6_rebuilding_time/step10253.txt"/>
    <x v="0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948849121800"/>
    <n v="99999482"/>
    <n v="9999948849121800"/>
    <n v="99999482"/>
    <s v="success"/>
    <n v="7"/>
    <n v="12991704"/>
    <n v="114018938"/>
    <n v="127010642"/>
    <n v="99999482"/>
    <n v="9.7762899999999995"/>
    <n v="0.87704300000000002"/>
    <n v="4.0405899999999999"/>
    <n v="2864681552"/>
    <s v="1 9910 395029 4120621 747436"/>
    <s v="1 9910 395029 4120620 747435"/>
    <n v="2629"/>
    <n v="122558"/>
    <n v="5746258060820"/>
    <n v="19421094035"/>
    <n v="445135391"/>
    <n v="48532476279"/>
    <n v="43588279282"/>
    <n v="8923951928"/>
    <n v="5851188671"/>
    <n v="0"/>
    <n v="59095717"/>
    <n v="5851188671"/>
    <n v="5910284388"/>
    <n v="97519811"/>
    <n v="0"/>
    <n v="984928"/>
    <n v="97519811"/>
    <n v="98504739"/>
    <n v="19.3201"/>
    <n v="9.2985100000000003"/>
    <n v="2687.58"/>
    <n v="1952.48"/>
    <n v="11321"/>
    <n v="1075"/>
    <n v="59.856854800208332"/>
    <n v="1.2594889261979165"/>
    <n v="1"/>
    <n v="9910"/>
    <n v="395029"/>
    <n v="4120620"/>
    <n v="747435"/>
    <n v="0"/>
    <x v="2"/>
    <x v="2"/>
  </r>
  <r>
    <s v="istree_exp6_rebuilding_time/step10254.txt"/>
    <x v="0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4925632637E+16"/>
    <n v="100004015"/>
    <n v="1.00004925632637E+16"/>
    <n v="100004015"/>
    <s v="success"/>
    <n v="7"/>
    <n v="14867166"/>
    <n v="118113906"/>
    <n v="132981072"/>
    <n v="100004015"/>
    <n v="8.9446100000000008"/>
    <n v="0.84667400000000004"/>
    <n v="4.0797800000000004"/>
    <n v="3083515040"/>
    <s v="1 9993 445143 6826002 1195548"/>
    <s v="1 9993 445139 6826000 1195547"/>
    <n v="3149"/>
    <n v="81012"/>
    <n v="8619365842043"/>
    <n v="22507783019"/>
    <n v="278892810"/>
    <n v="80359945823"/>
    <n v="52899645914"/>
    <n v="11449316490"/>
    <n v="8612995865"/>
    <n v="0"/>
    <n v="87004229"/>
    <n v="8612995865"/>
    <n v="8700000094"/>
    <n v="143549931"/>
    <n v="0"/>
    <n v="1450070"/>
    <n v="143549931"/>
    <n v="145000001"/>
    <n v="19.350000000000001"/>
    <n v="9.5077099999999994"/>
    <n v="2732.81"/>
    <n v="1977.79"/>
    <n v="13333"/>
    <n v="1230"/>
    <n v="59.856707236409726"/>
    <n v="1.1631637781666668"/>
    <n v="1"/>
    <n v="9993"/>
    <n v="445139"/>
    <n v="6826000"/>
    <n v="1195547"/>
    <n v="0"/>
    <x v="2"/>
    <x v="2"/>
  </r>
  <r>
    <s v="istree_exp6_rebuilding_time/step10255.txt"/>
    <x v="0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13690824703E+16"/>
    <n v="100000961"/>
    <n v="1.00013690824703E+16"/>
    <n v="100000961"/>
    <s v="success"/>
    <n v="7"/>
    <n v="13564747"/>
    <n v="115219246"/>
    <n v="128783993"/>
    <n v="100000961"/>
    <n v="9.4940200000000008"/>
    <n v="0.867919"/>
    <n v="4.0525900000000004"/>
    <n v="2930351152"/>
    <s v="2 20000 688042 8063576 1458996"/>
    <s v="2 20000 688036 8063574 1458996"/>
    <n v="9118"/>
    <n v="58258"/>
    <n v="11372774778906"/>
    <n v="41700356652"/>
    <n v="1047701452"/>
    <n v="177249116617"/>
    <n v="85908401268"/>
    <n v="23528625172"/>
    <n v="11155698011"/>
    <n v="0"/>
    <n v="112681156"/>
    <n v="11155698011"/>
    <n v="11268379167"/>
    <n v="185928300"/>
    <n v="0"/>
    <n v="1878019"/>
    <n v="185928300"/>
    <n v="187806319"/>
    <n v="19.39"/>
    <n v="9.6228999999999996"/>
    <n v="2761.64"/>
    <n v="2003.89"/>
    <n v="13889"/>
    <n v="1114"/>
    <n v="59.856709362663153"/>
    <n v="1.7338642166368419"/>
    <n v="2"/>
    <n v="20000"/>
    <n v="688036"/>
    <n v="8063574"/>
    <n v="1458996"/>
    <n v="0"/>
    <x v="2"/>
    <x v="2"/>
  </r>
  <r>
    <s v="istree_exp6_rebuilding_time/step10256.txt"/>
    <x v="0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9.9999870628993306E+17"/>
    <n v="1000002782"/>
    <n v="9.9999870628993306E+17"/>
    <n v="1000002782"/>
    <s v="success"/>
    <n v="7"/>
    <n v="87198442"/>
    <n v="1084278870"/>
    <n v="1171477312"/>
    <n v="1000002782"/>
    <n v="13.4346"/>
    <n v="0.92227499999999996"/>
    <n v="4.00549"/>
    <n v="24324573920"/>
    <s v="0 0 0 1334 14789"/>
    <s v="0 0 0 1334 14789"/>
    <m/>
    <n v="405002"/>
    <n v="1436560951167"/>
    <n v="5470113"/>
    <m/>
    <n v="24084345"/>
    <n v="701803981"/>
    <n v="1836513"/>
    <n v="1091797229"/>
    <n v="0"/>
    <n v="11027215"/>
    <n v="1091797229"/>
    <n v="1102824444"/>
    <n v="18196620"/>
    <n v="0"/>
    <n v="183786"/>
    <n v="18196620"/>
    <n v="18380407"/>
    <n v="21.992100000000001"/>
    <n v="12.884600000000001"/>
    <n v="3640.08"/>
    <n v="2914.51"/>
    <n v="59444"/>
    <n v="15919"/>
    <n v="59.856706298624999"/>
    <n v="3.0549789666666664E-2"/>
    <n v="0"/>
    <n v="0"/>
    <n v="0"/>
    <n v="1334"/>
    <n v="14789"/>
    <n v="0"/>
    <x v="3"/>
    <x v="3"/>
  </r>
  <r>
    <s v="istree_exp6_rebuilding_time/step10257.txt"/>
    <x v="0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1.0000048625807601E+18"/>
    <n v="1000002998"/>
    <n v="1.0000048625807601E+18"/>
    <n v="1000002998"/>
    <s v="success"/>
    <n v="7"/>
    <n v="89406048"/>
    <n v="1088712080"/>
    <n v="1178118128"/>
    <n v="1000002998"/>
    <n v="13.177199999999999"/>
    <n v="0.91851899999999997"/>
    <n v="4.0099499999999999"/>
    <n v="24572646496"/>
    <s v="0 0 0 7956 48987"/>
    <s v="0 0 0 7956 48987"/>
    <m/>
    <n v="180686"/>
    <n v="2873122100817"/>
    <n v="28706725"/>
    <m/>
    <n v="109623790"/>
    <n v="3274819911"/>
    <n v="10939457"/>
    <n v="1989650110"/>
    <n v="0"/>
    <n v="20098317"/>
    <n v="1989650110"/>
    <n v="2009748427"/>
    <n v="33160835"/>
    <n v="0"/>
    <n v="334971"/>
    <n v="33160835"/>
    <n v="33495807"/>
    <n v="22.023299999999999"/>
    <n v="12.939500000000001"/>
    <n v="3994.82"/>
    <n v="3329.37"/>
    <n v="59814"/>
    <n v="11842"/>
    <n v="59.856710433687503"/>
    <n v="7.1335205895833337E-2"/>
    <n v="0"/>
    <n v="0"/>
    <n v="0"/>
    <n v="7956"/>
    <n v="48987"/>
    <n v="0"/>
    <x v="3"/>
    <x v="3"/>
  </r>
  <r>
    <s v="istree_exp6_rebuilding_time/step10258.txt"/>
    <x v="0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941306618496E+17"/>
    <n v="1000003227"/>
    <n v="9.9997941306618496E+17"/>
    <n v="1000003227"/>
    <s v="success"/>
    <n v="7"/>
    <n v="95110110"/>
    <n v="1100221495"/>
    <n v="1195331605"/>
    <n v="1000003227"/>
    <n v="12.5679"/>
    <n v="0.90891100000000002"/>
    <n v="4.0216200000000004"/>
    <n v="25215855888"/>
    <s v="0 0 0 84913 226492"/>
    <s v="0 0 0 84913 226492"/>
    <m/>
    <n v="98860"/>
    <n v="5746244409329"/>
    <n v="183028048"/>
    <m/>
    <n v="658746573"/>
    <n v="9967845341"/>
    <n v="100055428"/>
    <n v="4402711417"/>
    <n v="0"/>
    <n v="44471921"/>
    <n v="4402711417"/>
    <n v="4447183338"/>
    <n v="73378523"/>
    <n v="0"/>
    <n v="741198"/>
    <n v="73378523"/>
    <n v="74119722"/>
    <n v="22.0944"/>
    <n v="13.7751"/>
    <n v="3606.4"/>
    <n v="2883.68"/>
    <n v="60702"/>
    <n v="10124"/>
    <n v="59.856712597177079"/>
    <n v="0.11364245197916667"/>
    <n v="0"/>
    <n v="0"/>
    <n v="0"/>
    <n v="84913"/>
    <n v="226492"/>
    <n v="0"/>
    <x v="3"/>
    <x v="3"/>
  </r>
  <r>
    <s v="istree_exp6_rebuilding_time/step10259.txt"/>
    <x v="0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814672975E+18"/>
    <n v="1000001457"/>
    <n v="1.00000814672975E+18"/>
    <n v="1000001457"/>
    <s v="success"/>
    <n v="7"/>
    <n v="99949819"/>
    <n v="1110058105"/>
    <n v="1210007924"/>
    <n v="1000001457"/>
    <n v="12.106199999999999"/>
    <n v="0.90085499999999996"/>
    <n v="4.03165"/>
    <n v="25764212048"/>
    <s v="0 0 0 278325 485157"/>
    <s v="0 0 0 278325 485157"/>
    <m/>
    <n v="65394"/>
    <n v="8619367291237"/>
    <n v="493299927"/>
    <m/>
    <n v="1637866049"/>
    <n v="12313867865"/>
    <n v="290703063"/>
    <n v="6592460741"/>
    <n v="0"/>
    <n v="66600431"/>
    <n v="6592460741"/>
    <n v="6659061172"/>
    <n v="109874345"/>
    <n v="0"/>
    <n v="1110007"/>
    <n v="109874345"/>
    <n v="110984352"/>
    <n v="22.1768"/>
    <n v="14.011900000000001"/>
    <n v="3612.12"/>
    <n v="2880.8"/>
    <n v="61551"/>
    <n v="9378"/>
    <n v="59.856717300256946"/>
    <n v="0.10233150627777778"/>
    <n v="0"/>
    <n v="0"/>
    <n v="0"/>
    <n v="278325"/>
    <n v="485157"/>
    <n v="0"/>
    <x v="3"/>
    <x v="3"/>
  </r>
  <r>
    <s v="istree_exp6_rebuilding_time/step10260.txt"/>
    <x v="0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7710319081894E+17"/>
    <n v="999990057"/>
    <n v="9.9997710319081894E+17"/>
    <n v="999990057"/>
    <s v="success"/>
    <n v="7"/>
    <n v="104084761"/>
    <n v="1118530492"/>
    <n v="1222615253"/>
    <n v="999990057"/>
    <n v="11.7463"/>
    <n v="0.89402099999999995"/>
    <n v="4.0403099999999998"/>
    <n v="26234762480"/>
    <s v="0 0 0 599573 789150"/>
    <s v="0 0 0 599573 789150"/>
    <m/>
    <n v="51146"/>
    <n v="11372776257601"/>
    <n v="984529466"/>
    <m/>
    <n v="3074285834"/>
    <n v="15184275238"/>
    <n v="588462904"/>
    <n v="8614545542"/>
    <n v="0"/>
    <n v="87021089"/>
    <n v="8614545542"/>
    <n v="8701566631"/>
    <n v="143575759"/>
    <n v="0"/>
    <n v="1450351"/>
    <n v="143575759"/>
    <n v="145026110"/>
    <n v="22.1721"/>
    <n v="14.1355"/>
    <n v="3646.23"/>
    <n v="2905.29"/>
    <n v="62223"/>
    <n v="9522"/>
    <n v="59.856717145268426"/>
    <n v="0.1043765970631579"/>
    <n v="0"/>
    <n v="0"/>
    <n v="0"/>
    <n v="599573"/>
    <n v="789150"/>
    <n v="0"/>
    <x v="3"/>
    <x v="3"/>
  </r>
  <r>
    <s v="istree_exp6_rebuilding_time/step10261.txt"/>
    <x v="0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984853738"/>
    <n v="1000021"/>
    <n v="1000984853738"/>
    <n v="1000021"/>
    <s v="success"/>
    <n v="6"/>
    <n v="61256"/>
    <n v="1089230"/>
    <n v="1150486"/>
    <n v="1000021"/>
    <n v="18.781600000000001"/>
    <n v="0.918099"/>
    <n v="3.0591200000000001"/>
    <n v="22356624"/>
    <s v="1051 698263 10038131 11248669"/>
    <s v="777 697154 10036997 11248587"/>
    <n v="179459"/>
    <n v="1475724"/>
    <n v="1436561163176"/>
    <n v="35138604792"/>
    <n v="316847376"/>
    <n v="41370315332"/>
    <n v="32734933227"/>
    <n v="16671609715"/>
    <n v="3497352480"/>
    <n v="0"/>
    <n v="388582834"/>
    <n v="3497352480"/>
    <n v="3885935314"/>
    <n v="58289208"/>
    <n v="0"/>
    <n v="6476380"/>
    <n v="58289208"/>
    <n v="64765588"/>
    <n v="10.2318"/>
    <n v="0.36218899999999998"/>
    <n v="1032.8800000000001"/>
    <n v="368.74099999999999"/>
    <n v="1207"/>
    <n v="31"/>
    <n v="59.856715132333335"/>
    <n v="5.2596796017500003"/>
    <n v="777"/>
    <n v="697154"/>
    <n v="10036997"/>
    <n v="11248587"/>
    <n v="0"/>
    <n v="0"/>
    <x v="4"/>
    <x v="4"/>
  </r>
  <r>
    <s v="istree_exp6_rebuilding_time/step10262.txt"/>
    <x v="0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999408976944"/>
    <n v="999428"/>
    <n v="999408976944"/>
    <n v="999428"/>
    <s v="success"/>
    <n v="6"/>
    <n v="72849"/>
    <n v="1113477"/>
    <n v="1186326"/>
    <n v="999428"/>
    <n v="16.284700000000001"/>
    <n v="0.89757399999999998"/>
    <n v="3.0850599999999999"/>
    <n v="23700864"/>
    <s v="1732 1139152 10813025 15697634"/>
    <s v="1154 1138088 10809267 15697319"/>
    <n v="751334"/>
    <n v="546506"/>
    <n v="2873122366932"/>
    <n v="88077659573"/>
    <n v="1540944170"/>
    <n v="104548770306"/>
    <n v="56755165758"/>
    <n v="40649745296"/>
    <n v="5193066929"/>
    <n v="0"/>
    <n v="577023172"/>
    <n v="5193066929"/>
    <n v="5770090101"/>
    <n v="86551115"/>
    <n v="0"/>
    <n v="9617052"/>
    <n v="86551115"/>
    <n v="96168168"/>
    <n v="10.3856"/>
    <n v="0.469835"/>
    <n v="1380.06"/>
    <n v="593.18700000000001"/>
    <n v="1254"/>
    <n v="39"/>
    <n v="59.856715977750007"/>
    <n v="6.0744226063125"/>
    <n v="1154"/>
    <n v="1138088"/>
    <n v="10809267"/>
    <n v="15697319"/>
    <n v="0"/>
    <n v="0"/>
    <x v="4"/>
    <x v="4"/>
  </r>
  <r>
    <s v="istree_exp6_rebuilding_time/step10263.txt"/>
    <x v="0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937083175"/>
    <n v="999934"/>
    <n v="999937083175"/>
    <n v="999934"/>
    <s v="success"/>
    <n v="6"/>
    <n v="66733"/>
    <n v="1100807"/>
    <n v="1167540"/>
    <n v="999934"/>
    <n v="17.495699999999999"/>
    <n v="0.90836399999999995"/>
    <n v="3.0714899999999998"/>
    <n v="22995040"/>
    <s v="2979 2761504 4780110 20317944"/>
    <s v="1759 2747337 4772576 20317157"/>
    <n v="3737587"/>
    <n v="218094"/>
    <n v="5746244973989"/>
    <n v="268125244934"/>
    <n v="9242380954"/>
    <n v="332752446229"/>
    <n v="146102762796"/>
    <n v="261118063193"/>
    <n v="7912675286"/>
    <n v="0"/>
    <n v="879179401"/>
    <n v="7912675286"/>
    <n v="8791854687"/>
    <n v="131877921"/>
    <n v="0"/>
    <n v="14652990"/>
    <n v="131877921"/>
    <n v="146530911"/>
    <n v="11.1381"/>
    <n v="1.6150500000000001"/>
    <n v="1823.43"/>
    <n v="996.10400000000004"/>
    <n v="1366"/>
    <n v="251"/>
    <n v="59.856718479052084"/>
    <n v="10.597301021937501"/>
    <n v="1759"/>
    <n v="2747337"/>
    <n v="4772576"/>
    <n v="20317157"/>
    <n v="0"/>
    <n v="0"/>
    <x v="4"/>
    <x v="4"/>
  </r>
  <r>
    <s v="istree_exp6_rebuilding_time/step10264.txt"/>
    <x v="0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0291221975"/>
    <n v="1000330"/>
    <n v="1000291221975"/>
    <n v="1000330"/>
    <s v="success"/>
    <n v="6"/>
    <n v="51282"/>
    <n v="1069516"/>
    <n v="1120798"/>
    <n v="1000330"/>
    <n v="21.855599999999999"/>
    <n v="0.935311"/>
    <n v="3.0379499999999999"/>
    <n v="21230720"/>
    <s v="3766 6312317 1136405 17568465"/>
    <s v="2164 6282860 1132142 17567251"/>
    <n v="10098916"/>
    <n v="124326"/>
    <n v="8619368450253"/>
    <n v="530389361459"/>
    <n v="24383963118"/>
    <n v="701657193135"/>
    <n v="179269921091"/>
    <n v="637195847762"/>
    <n v="9733195814"/>
    <n v="0"/>
    <n v="1081496159"/>
    <n v="9733195814"/>
    <n v="10814691973"/>
    <n v="162219930"/>
    <n v="0"/>
    <n v="18024935"/>
    <n v="162219930"/>
    <n v="180244866"/>
    <n v="12.3416"/>
    <n v="2.7103999999999999"/>
    <n v="2220.98"/>
    <n v="1359.05"/>
    <n v="1515"/>
    <n v="320"/>
    <n v="59.856725348979161"/>
    <n v="14.395113101145833"/>
    <n v="2164"/>
    <n v="6282860"/>
    <n v="1132142"/>
    <n v="17567251"/>
    <n v="0"/>
    <n v="0"/>
    <x v="4"/>
    <x v="4"/>
  </r>
  <r>
    <s v="istree_exp6_rebuilding_time/step10265.txt"/>
    <x v="0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0687280568"/>
    <n v="999993"/>
    <n v="1000687280568"/>
    <n v="999993"/>
    <s v="success"/>
    <n v="6"/>
    <n v="54070"/>
    <n v="1074380"/>
    <n v="1128450"/>
    <n v="999993"/>
    <n v="20.870200000000001"/>
    <n v="0.93076300000000001"/>
    <n v="3.0439099999999999"/>
    <n v="21534736"/>
    <s v="4618 5987449 2908339 23903045"/>
    <s v="2549 5952740 2897670 23901136"/>
    <n v="13241255"/>
    <n v="86036"/>
    <n v="11372777853259"/>
    <n v="652757608340"/>
    <n v="36919756518"/>
    <n v="953349037923"/>
    <n v="236868645854"/>
    <n v="1137163386128"/>
    <n v="11461297265"/>
    <n v="0"/>
    <n v="1273450189"/>
    <n v="11461297265"/>
    <n v="12734747454"/>
    <n v="191021621"/>
    <n v="0"/>
    <n v="21224169"/>
    <n v="191021621"/>
    <n v="212245790"/>
    <n v="12.6098"/>
    <n v="3.1173500000000001"/>
    <n v="2489.89"/>
    <n v="1616.31"/>
    <n v="1651"/>
    <n v="345"/>
    <n v="59.856725543468421"/>
    <n v="15.879254919805264"/>
    <n v="2549"/>
    <n v="5952740"/>
    <n v="2897670"/>
    <n v="23901136"/>
    <n v="0"/>
    <n v="0"/>
    <x v="4"/>
    <x v="4"/>
  </r>
  <r>
    <s v="istree_exp6_rebuilding_time/step10266.txt"/>
    <x v="0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82725323013"/>
    <n v="9998491"/>
    <n v="99982725323013"/>
    <n v="9998491"/>
    <s v="success"/>
    <n v="7"/>
    <n v="1898240"/>
    <n v="12011703"/>
    <n v="13909943"/>
    <n v="9998491"/>
    <n v="7.3278100000000004"/>
    <n v="0.83239600000000002"/>
    <n v="4.0546699999999998"/>
    <n v="344073152"/>
    <s v="42 94872 2726901 25190705 84430"/>
    <s v="34 94773 2726840 25190659 84430"/>
    <n v="25769"/>
    <n v="613384"/>
    <n v="1436561244616"/>
    <n v="50870159651"/>
    <n v="207984199"/>
    <n v="58928256445"/>
    <n v="38967164936"/>
    <n v="22943909470"/>
    <n v="1551856058"/>
    <n v="0"/>
    <n v="172430257"/>
    <n v="1551856058"/>
    <n v="1724286315"/>
    <n v="25864267"/>
    <n v="0"/>
    <n v="2873837"/>
    <n v="25864267"/>
    <n v="28738105"/>
    <n v="18.505500000000001"/>
    <n v="7.3171799999999996"/>
    <n v="2305.62"/>
    <n v="1497.01"/>
    <n v="2439"/>
    <n v="154"/>
    <n v="59.856718525666672"/>
    <n v="7.1632281125416668"/>
    <n v="34"/>
    <n v="94773"/>
    <n v="2726840"/>
    <n v="25190659"/>
    <n v="84430"/>
    <n v="0"/>
    <x v="5"/>
    <x v="5"/>
  </r>
  <r>
    <s v="istree_exp6_rebuilding_time/step10267.txt"/>
    <x v="0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4787316387"/>
    <n v="10002505"/>
    <n v="99994787316387"/>
    <n v="10002505"/>
    <s v="success"/>
    <n v="7"/>
    <n v="1903773"/>
    <n v="12034904"/>
    <n v="13938677"/>
    <n v="10002505"/>
    <n v="7.3216099999999997"/>
    <n v="0.831125"/>
    <n v="4.0550499999999996"/>
    <n v="344904880"/>
    <s v="78 180264 3958995 41739617 135543"/>
    <s v="58 180162 3958757 41739423 135543"/>
    <n v="113556"/>
    <n v="256794"/>
    <n v="2873122468455"/>
    <n v="111304384954"/>
    <n v="1024717165"/>
    <n v="143797683267"/>
    <n v="86044865088"/>
    <n v="52561961640"/>
    <n v="2639941206"/>
    <n v="0"/>
    <n v="293340226"/>
    <n v="2639941206"/>
    <n v="2933281432"/>
    <n v="43999020"/>
    <n v="0"/>
    <n v="4889003"/>
    <n v="43999020"/>
    <n v="48888023"/>
    <n v="18.7605"/>
    <n v="7.5007400000000004"/>
    <n v="2706.86"/>
    <n v="1851.85"/>
    <n v="2488"/>
    <n v="159"/>
    <n v="59.856718092812507"/>
    <n v="8.2236169190416657"/>
    <n v="58"/>
    <n v="180162"/>
    <n v="3958757"/>
    <n v="41739423"/>
    <n v="135543"/>
    <n v="0"/>
    <x v="5"/>
    <x v="5"/>
  </r>
  <r>
    <s v="istree_exp6_rebuilding_time/step10268.txt"/>
    <x v="0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00206278370"/>
    <n v="9998781"/>
    <n v="100000206278370"/>
    <n v="9998781"/>
    <s v="success"/>
    <n v="7"/>
    <n v="1905109"/>
    <n v="12027469"/>
    <n v="13932578"/>
    <n v="9998781"/>
    <n v="7.3132700000000002"/>
    <n v="0.83132899999999998"/>
    <n v="4.05593"/>
    <n v="344879264"/>
    <s v="187 366802 5355224 79854360 232612"/>
    <s v="116 366750 5354333 79853608 232611"/>
    <n v="471620"/>
    <n v="133178"/>
    <n v="5746245230506"/>
    <n v="221416746201"/>
    <n v="4906099769"/>
    <n v="325906255153"/>
    <n v="289308636390"/>
    <n v="109488254613"/>
    <n v="5243872688"/>
    <n v="0"/>
    <n v="582700274"/>
    <n v="5243872688"/>
    <n v="5826572962"/>
    <n v="87397878"/>
    <n v="0"/>
    <n v="9711671"/>
    <n v="87397878"/>
    <n v="97109549"/>
    <n v="18.990500000000001"/>
    <n v="7.9494800000000003"/>
    <n v="2717.69"/>
    <n v="1822.65"/>
    <n v="2612"/>
    <n v="219"/>
    <n v="59.856721151104161"/>
    <n v="9.9065207513125006"/>
    <n v="116"/>
    <n v="366750"/>
    <n v="5354333"/>
    <n v="79853608"/>
    <n v="232611"/>
    <n v="0"/>
    <x v="5"/>
    <x v="5"/>
  </r>
  <r>
    <s v="istree_exp6_rebuilding_time/step10269.txt"/>
    <x v="0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26169697482"/>
    <n v="10002621"/>
    <n v="100026169697482"/>
    <n v="10002621"/>
    <s v="success"/>
    <n v="7"/>
    <n v="1819933"/>
    <n v="11847652"/>
    <n v="13667585"/>
    <n v="10002621"/>
    <n v="7.5099400000000003"/>
    <n v="0.84426999999999996"/>
    <n v="4.0396000000000001"/>
    <n v="335162432"/>
    <s v="276 531452 4450927 112384600 281774"/>
    <s v="167 531373 4449485 112383105 281768"/>
    <n v="989592"/>
    <n v="88320"/>
    <n v="8619367414481"/>
    <n v="319690351170"/>
    <n v="8673661124"/>
    <n v="481352525431"/>
    <n v="511012731791"/>
    <n v="169598140677"/>
    <n v="7559256966"/>
    <n v="0"/>
    <n v="839888873"/>
    <n v="7559256966"/>
    <n v="8399145839"/>
    <n v="125987616"/>
    <n v="0"/>
    <n v="13998147"/>
    <n v="125987616"/>
    <n v="139985763"/>
    <n v="19.121600000000001"/>
    <n v="8.2679600000000004"/>
    <n v="2822.05"/>
    <n v="1911.41"/>
    <n v="2775"/>
    <n v="318"/>
    <n v="59.856718156118049"/>
    <n v="10.349495904118056"/>
    <n v="167"/>
    <n v="531373"/>
    <n v="4449485"/>
    <n v="112383105"/>
    <n v="281768"/>
    <n v="0"/>
    <x v="5"/>
    <x v="5"/>
  </r>
  <r>
    <s v="istree_exp6_rebuilding_time/step10270.txt"/>
    <x v="0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77374080090"/>
    <n v="9997072"/>
    <n v="99977374080090"/>
    <n v="9997072"/>
    <s v="success"/>
    <n v="7"/>
    <n v="1625319"/>
    <n v="11439042"/>
    <n v="13064361"/>
    <n v="9997072"/>
    <n v="8.0380299999999991"/>
    <n v="0.87394300000000003"/>
    <n v="4.0000099999999996"/>
    <n v="313050176"/>
    <s v="347 657959 5547036 139198715 347675"/>
    <s v="208 657865 5544675 139196237 347670"/>
    <n v="1634640"/>
    <n v="67648"/>
    <n v="11373258998331"/>
    <n v="418539368697"/>
    <n v="16184840703"/>
    <n v="672314597747"/>
    <n v="772359703589"/>
    <n v="238372451667"/>
    <n v="9358255191"/>
    <n v="0"/>
    <n v="1039847250"/>
    <n v="9358255191"/>
    <n v="10398102441"/>
    <n v="155970919"/>
    <n v="0"/>
    <n v="17330787"/>
    <n v="155970919"/>
    <n v="173301707"/>
    <n v="19.340199999999999"/>
    <n v="8.5379100000000001"/>
    <n v="2996.53"/>
    <n v="2058.2800000000002"/>
    <n v="2875"/>
    <n v="461"/>
    <n v="59.859257885952637"/>
    <n v="11.146162960015788"/>
    <n v="208"/>
    <n v="657865"/>
    <n v="5544675"/>
    <n v="139196237"/>
    <n v="347670"/>
    <n v="0"/>
    <x v="5"/>
    <x v="5"/>
  </r>
  <r>
    <s v="istree_exp6_rebuilding_time/step10271.txt"/>
    <x v="0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08043475473E+16"/>
    <n v="100005027"/>
    <n v="1.00008043475473E+16"/>
    <n v="100005027"/>
    <s v="success"/>
    <n v="7"/>
    <n v="14401895"/>
    <n v="117018096"/>
    <n v="131419991"/>
    <n v="100005027"/>
    <n v="9.1251899999999999"/>
    <n v="0.85461200000000004"/>
    <n v="4.06731"/>
    <n v="3028085024"/>
    <s v="2 12695 1332552 12276115 2026881"/>
    <s v="2 12682 1332543 12276114 2026881"/>
    <n v="2190"/>
    <n v="529278"/>
    <n v="1436561204554"/>
    <n v="28806433894"/>
    <n v="30061818"/>
    <n v="38088003065"/>
    <n v="29622233469"/>
    <n v="12067310574"/>
    <n v="1306476884"/>
    <n v="0"/>
    <n v="145147230"/>
    <n v="1306476884"/>
    <n v="1451624114"/>
    <n v="21774614"/>
    <n v="0"/>
    <n v="2419120"/>
    <n v="21774614"/>
    <n v="24193735"/>
    <n v="20.8751"/>
    <n v="9.4337499999999999"/>
    <n v="2740.67"/>
    <n v="2019.45"/>
    <n v="9947"/>
    <n v="1546"/>
    <n v="59.856716856416661"/>
    <n v="4.5255851174999995"/>
    <n v="2"/>
    <n v="12682"/>
    <n v="1332543"/>
    <n v="12276114"/>
    <n v="2026881"/>
    <n v="0"/>
    <x v="6"/>
    <x v="6"/>
  </r>
  <r>
    <s v="istree_exp6_rebuilding_time/step10272.txt"/>
    <x v="0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1.00001997056742E+16"/>
    <n v="100005832"/>
    <n v="1.00001997056742E+16"/>
    <n v="100005832"/>
    <s v="success"/>
    <n v="7"/>
    <n v="14587693"/>
    <n v="117471012"/>
    <n v="132058705"/>
    <n v="100005832"/>
    <n v="9.0527499999999996"/>
    <n v="0.85132300000000005"/>
    <n v="4.0723900000000004"/>
    <n v="3050581952"/>
    <s v="4 34412 2115970 20183619 3346393"/>
    <s v="4 34382 2115957 20183607 3346391"/>
    <n v="13887"/>
    <n v="211716"/>
    <n v="2873122484433"/>
    <n v="82467453250"/>
    <n v="202911077"/>
    <n v="109921797673"/>
    <n v="76774538521"/>
    <n v="35055913053"/>
    <n v="2180350645"/>
    <n v="0"/>
    <n v="242269897"/>
    <n v="2180350645"/>
    <n v="2422620542"/>
    <n v="36339177"/>
    <n v="0"/>
    <n v="4037831"/>
    <n v="36339177"/>
    <n v="40377009"/>
    <n v="21.513500000000001"/>
    <n v="9.8269199999999994"/>
    <n v="3249.05"/>
    <n v="2428.6799999999998"/>
    <n v="13517"/>
    <n v="1290"/>
    <n v="59.856718425687497"/>
    <n v="6.3421377827916672"/>
    <n v="4"/>
    <n v="34382"/>
    <n v="2115957"/>
    <n v="20183607"/>
    <n v="3346391"/>
    <n v="0"/>
    <x v="6"/>
    <x v="6"/>
  </r>
  <r>
    <s v="istree_exp6_rebuilding_time/step10273.txt"/>
    <x v="0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670858946940"/>
    <n v="99994181"/>
    <n v="9999670858946940"/>
    <n v="99994181"/>
    <s v="success"/>
    <n v="7"/>
    <n v="11938474"/>
    <n v="111860409"/>
    <n v="123798883"/>
    <n v="99994181"/>
    <n v="10.3697"/>
    <n v="0.89391900000000002"/>
    <n v="4.0187999999999997"/>
    <n v="2745094832"/>
    <s v="11 89170 3553086 35998887 6070697"/>
    <s v="9 89145 3553009 35998846 6070692"/>
    <n v="84364"/>
    <n v="82008"/>
    <n v="5746297984293"/>
    <n v="182918131988"/>
    <n v="1626985054"/>
    <n v="325904356122"/>
    <n v="256941459497"/>
    <n v="85380296244"/>
    <n v="4084711170"/>
    <n v="0"/>
    <n v="453861092"/>
    <n v="4084711170"/>
    <n v="4538572262"/>
    <n v="68078519"/>
    <n v="0"/>
    <n v="7564351"/>
    <n v="68078519"/>
    <n v="75642871"/>
    <n v="22.0976"/>
    <n v="10.8492"/>
    <n v="3355.8"/>
    <n v="2483.31"/>
    <n v="13208"/>
    <n v="1220"/>
    <n v="59.857270669718751"/>
    <n v="8.8830336344270844"/>
    <n v="9"/>
    <n v="89145"/>
    <n v="3553009"/>
    <n v="35998846"/>
    <n v="6070692"/>
    <n v="0"/>
    <x v="6"/>
    <x v="6"/>
  </r>
  <r>
    <s v="istree_exp6_rebuilding_time/step10274.txt"/>
    <x v="0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2201800542E+16"/>
    <n v="100000466"/>
    <n v="1.00002201800542E+16"/>
    <n v="100000466"/>
    <s v="success"/>
    <n v="7"/>
    <n v="11544789"/>
    <n v="111072222"/>
    <n v="122617011"/>
    <n v="100000466"/>
    <n v="10.621"/>
    <n v="0.90031899999999998"/>
    <n v="4.0107499999999998"/>
    <n v="2700824256"/>
    <s v="18 129966 4549064 50694909 8666697"/>
    <s v="13 129963 4548904 50694820 8666691"/>
    <n v="175893"/>
    <n v="48674"/>
    <n v="8619527614925"/>
    <n v="266005441240"/>
    <n v="5300049169"/>
    <n v="578300031468"/>
    <n v="483769676469"/>
    <n v="135219224784"/>
    <n v="5869608429"/>
    <n v="0"/>
    <n v="652165818"/>
    <n v="5869608429"/>
    <n v="6521774247"/>
    <n v="97826807"/>
    <n v="0"/>
    <n v="10869430"/>
    <n v="97826807"/>
    <n v="108696237"/>
    <n v="22.247699999999998"/>
    <n v="11.186199999999999"/>
    <n v="3431.86"/>
    <n v="2545.41"/>
    <n v="14034"/>
    <n v="1166"/>
    <n v="59.85783065920139"/>
    <n v="10.198572382847223"/>
    <n v="13"/>
    <n v="129963"/>
    <n v="4548904"/>
    <n v="50694820"/>
    <n v="8666691"/>
    <n v="0"/>
    <x v="6"/>
    <x v="6"/>
  </r>
  <r>
    <s v="istree_exp6_rebuilding_time/step10275.txt"/>
    <x v="0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595126894270"/>
    <n v="100003369"/>
    <n v="9999595126894270"/>
    <n v="100003369"/>
    <s v="success"/>
    <n v="7"/>
    <n v="14913202"/>
    <n v="118185412"/>
    <n v="133098614"/>
    <n v="100003369"/>
    <n v="8.9248899999999995"/>
    <n v="0.84615700000000005"/>
    <n v="4.0815000000000001"/>
    <n v="3088108736"/>
    <s v="28 159990 5516394 64125490 11065008"/>
    <s v="16 159976 5516130 64125335 11064996"/>
    <n v="271971"/>
    <n v="34340"/>
    <n v="11373222645064"/>
    <n v="337823711414"/>
    <n v="12108002339"/>
    <n v="823949260513"/>
    <n v="723682470506"/>
    <n v="183931493236"/>
    <n v="7464618983"/>
    <n v="0"/>
    <n v="829431775"/>
    <n v="7464618983"/>
    <n v="8294050758"/>
    <n v="124410316"/>
    <n v="0"/>
    <n v="13823862"/>
    <n v="124410316"/>
    <n v="138234179"/>
    <n v="22.266500000000001"/>
    <n v="11.3538"/>
    <n v="3512.79"/>
    <n v="2629.62"/>
    <n v="14308"/>
    <n v="1144"/>
    <n v="59.859066552968414"/>
    <n v="10.955236515831579"/>
    <n v="16"/>
    <n v="159976"/>
    <n v="5516130"/>
    <n v="64125335"/>
    <n v="11064996"/>
    <n v="0"/>
    <x v="6"/>
    <x v="6"/>
  </r>
  <r>
    <s v="istree_exp6_rebuilding_time/step10276.txt"/>
    <x v="0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1.00002197258095E+18"/>
    <n v="1000003626"/>
    <n v="1.00002197258095E+18"/>
    <n v="1000003626"/>
    <s v="success"/>
    <n v="7"/>
    <n v="107438223"/>
    <n v="1125452151"/>
    <n v="1232890374"/>
    <n v="1000003626"/>
    <n v="11.475300000000001"/>
    <n v="0.88853499999999996"/>
    <n v="4.0473999999999997"/>
    <n v="26618050048"/>
    <s v="0 0 0 1020749 1102434"/>
    <s v="0 0 0 1020749 1102434"/>
    <m/>
    <n v="388406"/>
    <n v="1436563520940"/>
    <n v="867282399"/>
    <m/>
    <n v="1760520834"/>
    <n v="2111020848"/>
    <n v="255562258"/>
    <n v="945729721"/>
    <n v="0"/>
    <n v="105064311"/>
    <n v="945729721"/>
    <n v="1050794032"/>
    <n v="15762162"/>
    <n v="0"/>
    <n v="1751071"/>
    <n v="15762162"/>
    <n v="17513233"/>
    <n v="22.930900000000001"/>
    <n v="13.508800000000001"/>
    <n v="3814.33"/>
    <n v="3044.16"/>
    <n v="61803"/>
    <n v="16546"/>
    <n v="59.8568133725"/>
    <n v="0.20809943079166668"/>
    <n v="0"/>
    <n v="0"/>
    <n v="0"/>
    <n v="1020749"/>
    <n v="1102434"/>
    <n v="0"/>
    <x v="7"/>
    <x v="7"/>
  </r>
  <r>
    <s v="istree_exp6_rebuilding_time/step10277.txt"/>
    <x v="0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9761702464102E+17"/>
    <n v="999991176"/>
    <n v="9.9999761702464102E+17"/>
    <n v="999991176"/>
    <s v="success"/>
    <n v="7"/>
    <n v="119359960"/>
    <n v="1150604373"/>
    <n v="1269964333"/>
    <n v="999991176"/>
    <n v="10.639799999999999"/>
    <n v="0.86910100000000001"/>
    <n v="4.0731400000000004"/>
    <n v="27995435024"/>
    <s v="0 0 0 4907540 2907374"/>
    <s v="0 0 0 4907540 2907374"/>
    <m/>
    <n v="171586"/>
    <n v="2873126301033"/>
    <n v="5138571996"/>
    <m/>
    <n v="9112750155"/>
    <n v="9196083163"/>
    <n v="1741489249"/>
    <n v="1701338973"/>
    <n v="0"/>
    <n v="189013226"/>
    <n v="1701338973"/>
    <n v="1890352199"/>
    <n v="28355649"/>
    <n v="0"/>
    <n v="3150220"/>
    <n v="28355649"/>
    <n v="31505869"/>
    <n v="23.1645"/>
    <n v="13.7094"/>
    <n v="4239.6899999999996"/>
    <n v="3533.69"/>
    <n v="63672"/>
    <n v="12554"/>
    <n v="59.856797938187498"/>
    <n v="0.52476863672916674"/>
    <n v="0"/>
    <n v="0"/>
    <n v="0"/>
    <n v="4907540"/>
    <n v="2907374"/>
    <n v="0"/>
    <x v="7"/>
    <x v="7"/>
  </r>
  <r>
    <s v="istree_exp6_rebuilding_time/step10278.txt"/>
    <x v="0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8397807577894E+17"/>
    <n v="999995161"/>
    <n v="9.9998397807577894E+17"/>
    <n v="999995161"/>
    <s v="success"/>
    <n v="7"/>
    <n v="126481582"/>
    <n v="1167766879"/>
    <n v="1294248461"/>
    <n v="999995161"/>
    <n v="10.232699999999999"/>
    <n v="0.85633099999999995"/>
    <n v="4.0897699999999997"/>
    <n v="28867387568"/>
    <s v="0 0 417915 25508025 7834827"/>
    <s v="0 0 417915 25508020 7834827"/>
    <n v="14"/>
    <n v="89686"/>
    <n v="5746252186245"/>
    <n v="31488380338"/>
    <n v="20756"/>
    <n v="45497033176"/>
    <n v="40747339190"/>
    <n v="11239674828"/>
    <n v="3575779019"/>
    <n v="0"/>
    <n v="397373330"/>
    <n v="3575779019"/>
    <n v="3973152349"/>
    <n v="59596316"/>
    <n v="0"/>
    <n v="6622888"/>
    <n v="59596316"/>
    <n v="66219205"/>
    <n v="23.625499999999999"/>
    <n v="14.6854"/>
    <n v="4030.8"/>
    <n v="3262.13"/>
    <n v="66638"/>
    <n v="9676"/>
    <n v="59.856793606718753"/>
    <n v="1.3434630030000001"/>
    <n v="0"/>
    <n v="0"/>
    <n v="417915"/>
    <n v="25508020"/>
    <n v="7834827"/>
    <n v="0"/>
    <x v="7"/>
    <x v="7"/>
  </r>
  <r>
    <s v="istree_exp6_rebuilding_time/step10279.txt"/>
    <x v="0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1.00005445699961E+18"/>
    <n v="1000023353"/>
    <n v="1.00005445699961E+18"/>
    <n v="1000023353"/>
    <s v="success"/>
    <n v="7"/>
    <n v="89142354"/>
    <n v="1088197338"/>
    <n v="1177339692"/>
    <n v="1000023353"/>
    <n v="13.2074"/>
    <n v="0.91897200000000001"/>
    <n v="4.0094099999999999"/>
    <n v="24543238400"/>
    <s v="1 31584 2161503 33496669 9481828"/>
    <s v="1 31583 2161491 33496663 9481828"/>
    <n v="25521"/>
    <n v="48484"/>
    <n v="8621736547242"/>
    <n v="187234226123"/>
    <n v="3129003459"/>
    <n v="699214191331"/>
    <n v="204600217170"/>
    <n v="106541863018"/>
    <n v="4671236151"/>
    <n v="0"/>
    <n v="519027777"/>
    <n v="4671236151"/>
    <n v="5190263928"/>
    <n v="77853935"/>
    <n v="0"/>
    <n v="8650462"/>
    <n v="77853935"/>
    <n v="86504398"/>
    <n v="25.143000000000001"/>
    <n v="15.882999999999999"/>
    <n v="4326.33"/>
    <n v="3487.82"/>
    <n v="103140"/>
    <n v="9083"/>
    <n v="59.873170466958335"/>
    <n v="8.3383298687569454"/>
    <n v="1"/>
    <n v="31583"/>
    <n v="2161491"/>
    <n v="33496663"/>
    <n v="9481828"/>
    <n v="0"/>
    <x v="7"/>
    <x v="7"/>
  </r>
  <r>
    <s v="istree_exp6_rebuilding_time/step10280.txt"/>
    <x v="0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3471679518E+18"/>
    <n v="1000010319"/>
    <n v="1.00003471679518E+18"/>
    <n v="1000010319"/>
    <s v="success"/>
    <n v="7"/>
    <n v="116975072"/>
    <n v="1145494549"/>
    <n v="1262469621"/>
    <n v="1000010319"/>
    <n v="10.7926"/>
    <n v="0.87299400000000005"/>
    <n v="4.0679100000000004"/>
    <n v="27717543696"/>
    <s v="3 31594 2149505 37101730 11861609"/>
    <s v="1 31592 2149488 37101717 11861609"/>
    <n v="33989"/>
    <n v="35068"/>
    <n v="11372788794649"/>
    <n v="239409107972"/>
    <n v="4011734946"/>
    <n v="737926253083"/>
    <n v="233737160725"/>
    <n v="320880452295"/>
    <n v="6013968705"/>
    <n v="0"/>
    <n v="668204499"/>
    <n v="6013968705"/>
    <n v="6682173204"/>
    <n v="100232811"/>
    <n v="0"/>
    <n v="11136741"/>
    <n v="100232811"/>
    <n v="111369553"/>
    <n v="24.862400000000001"/>
    <n v="15.7202"/>
    <n v="4481.21"/>
    <n v="3619.93"/>
    <n v="120122"/>
    <n v="9100"/>
    <n v="59.856783129731575"/>
    <n v="8.0840247843210538"/>
    <n v="1"/>
    <n v="31592"/>
    <n v="2149488"/>
    <n v="37101717"/>
    <n v="11861609"/>
    <n v="0"/>
    <x v="7"/>
    <x v="7"/>
  </r>
  <r>
    <s v="istree_exp6_rebuilding_time/step10281.txt"/>
    <x v="0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0751882144"/>
    <n v="1000525"/>
    <n v="1000751882144"/>
    <n v="1000525"/>
    <s v="success"/>
    <n v="6"/>
    <n v="34540"/>
    <n v="1035543"/>
    <n v="1070083"/>
    <n v="1000525"/>
    <n v="30.981000000000002"/>
    <n v="0.96618400000000004"/>
    <n v="3.0030199999999998"/>
    <n v="19331952"/>
    <s v="3952 1826124 26239004 29416207"/>
    <s v="2031 1818973 26231587 29415584"/>
    <n v="910928"/>
    <n v="1034816"/>
    <n v="1436567694044"/>
    <n v="93662503601"/>
    <n v="1083499720"/>
    <n v="108870940705"/>
    <n v="79161552395"/>
    <n v="44119291935"/>
    <n v="1523143056"/>
    <n v="0"/>
    <n v="1015417959"/>
    <n v="1523143056"/>
    <n v="2538561015"/>
    <n v="25385717"/>
    <n v="0"/>
    <n v="16923632"/>
    <n v="25385717"/>
    <n v="42309350"/>
    <n v="15.706"/>
    <n v="1.05277"/>
    <n v="1580.39"/>
    <n v="623.63300000000004"/>
    <n v="1238"/>
    <n v="26"/>
    <n v="59.856987251833338"/>
    <n v="13.6207411815"/>
    <n v="2031"/>
    <n v="1818973"/>
    <n v="26231587"/>
    <n v="29415584"/>
    <n v="0"/>
    <n v="0"/>
    <x v="8"/>
    <x v="8"/>
  </r>
  <r>
    <s v="istree_exp6_rebuilding_time/step10282.txt"/>
    <x v="0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9069891071"/>
    <n v="999794"/>
    <n v="999069891071"/>
    <n v="999794"/>
    <s v="success"/>
    <n v="6"/>
    <n v="64689"/>
    <n v="1097998"/>
    <n v="1162687"/>
    <n v="999794"/>
    <n v="17.973500000000001"/>
    <n v="0.91056099999999995"/>
    <n v="3.0689299999999999"/>
    <n v="22804176"/>
    <s v="7459 2859831 27141031 39396966"/>
    <s v="2895 2853345 27119166 39395139"/>
    <n v="3699297"/>
    <n v="376956"/>
    <n v="2873125435062"/>
    <n v="244172007272"/>
    <n v="5082643721"/>
    <n v="271409830259"/>
    <n v="151916803045"/>
    <n v="102624104945"/>
    <n v="2171260326"/>
    <n v="0"/>
    <n v="1447544518"/>
    <n v="2171260326"/>
    <n v="3618804844"/>
    <n v="36187672"/>
    <n v="0"/>
    <n v="24125741"/>
    <n v="36187672"/>
    <n v="60313414"/>
    <n v="16.207100000000001"/>
    <n v="1.5250600000000001"/>
    <n v="2171.7399999999998"/>
    <n v="1030.9100000000001"/>
    <n v="1305"/>
    <n v="34"/>
    <n v="59.856779897125001"/>
    <n v="16.150112275874999"/>
    <n v="2895"/>
    <n v="2853345"/>
    <n v="27119166"/>
    <n v="39395139"/>
    <n v="0"/>
    <n v="0"/>
    <x v="8"/>
    <x v="8"/>
  </r>
  <r>
    <s v="istree_exp6_rebuilding_time/step10283.txt"/>
    <x v="0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1000940500385"/>
    <n v="1000085"/>
    <n v="1000940500385"/>
    <n v="1000085"/>
    <s v="success"/>
    <n v="6"/>
    <n v="33064"/>
    <n v="1032161"/>
    <n v="1065225"/>
    <n v="1000085"/>
    <n v="32.217100000000002"/>
    <n v="0.96892299999999998"/>
    <n v="3.0000599999999999"/>
    <n v="19159680"/>
    <s v="9395 5530222 9580612 40669133"/>
    <s v="3521 5475430 9549903 40665248"/>
    <n v="14907051"/>
    <n v="125264"/>
    <n v="5746329050091"/>
    <n v="692934436104"/>
    <n v="26367424603"/>
    <n v="746680537388"/>
    <n v="311107296621"/>
    <n v="500258101499"/>
    <n v="2639542055"/>
    <n v="0"/>
    <n v="1759631784"/>
    <n v="2639542055"/>
    <n v="4399173839"/>
    <n v="43992367"/>
    <n v="0"/>
    <n v="29327196"/>
    <n v="43992367"/>
    <n v="73319563"/>
    <n v="19.4437"/>
    <n v="6.0476099999999997"/>
    <n v="3643.95"/>
    <n v="2400.65"/>
    <n v="1444"/>
    <n v="147"/>
    <n v="59.857594271781245"/>
    <n v="23.722372877239582"/>
    <n v="3521"/>
    <n v="5475430"/>
    <n v="9549903"/>
    <n v="40665248"/>
    <n v="0"/>
    <n v="0"/>
    <x v="8"/>
    <x v="8"/>
  </r>
  <r>
    <s v="istree_exp6_rebuilding_time/step10284.txt"/>
    <x v="0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1014493145"/>
    <n v="1000598"/>
    <n v="1001014493145"/>
    <n v="1000598"/>
    <s v="success"/>
    <n v="6"/>
    <n v="51500"/>
    <n v="1069931"/>
    <n v="1121431"/>
    <n v="1000598"/>
    <n v="21.775400000000001"/>
    <n v="0.935199"/>
    <n v="3.0383599999999999"/>
    <n v="21255104"/>
    <s v="10417 11159440 2009961 31013346"/>
    <s v="3822 11061944 1995621 31009004"/>
    <n v="36441618"/>
    <n v="61780"/>
    <n v="8619377502633"/>
    <n v="1357364580848"/>
    <n v="67560451955"/>
    <n v="1498301735384"/>
    <n v="398545139417"/>
    <n v="1075121543161"/>
    <n v="2865109205"/>
    <n v="0"/>
    <n v="1910009327"/>
    <n v="2865109205"/>
    <n v="4775118532"/>
    <n v="47751820"/>
    <n v="0"/>
    <n v="31833488"/>
    <n v="47751820"/>
    <n v="79585308"/>
    <n v="24.331"/>
    <n v="10.456799999999999"/>
    <n v="5035.9799999999996"/>
    <n v="3562.43"/>
    <n v="1658"/>
    <n v="297"/>
    <n v="59.856788212729171"/>
    <n v="30.533982296979168"/>
    <n v="3822"/>
    <n v="11061944"/>
    <n v="1995621"/>
    <n v="31009004"/>
    <n v="0"/>
    <n v="0"/>
    <x v="8"/>
    <x v="8"/>
  </r>
  <r>
    <s v="istree_exp6_rebuilding_time/step10285.txt"/>
    <x v="0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838569426"/>
    <n v="999639"/>
    <n v="999838569426"/>
    <n v="999639"/>
    <s v="success"/>
    <n v="6"/>
    <n v="53637"/>
    <n v="1073589"/>
    <n v="1127226"/>
    <n v="999639"/>
    <n v="21.015799999999999"/>
    <n v="0.93111900000000003"/>
    <n v="3.0431300000000001"/>
    <n v="21489472"/>
    <s v="12998 10344119 5026867 41257567"/>
    <s v="4399 10227464 4991053 41250458"/>
    <n v="49215151"/>
    <n v="40356"/>
    <n v="11372784126947"/>
    <n v="1752142798368"/>
    <n v="103056428700"/>
    <n v="2013691568466"/>
    <n v="538307990962"/>
    <n v="1883353270573"/>
    <n v="3296284470"/>
    <n v="0"/>
    <n v="2197509953"/>
    <n v="3296284470"/>
    <n v="5493794423"/>
    <n v="54938074"/>
    <n v="0"/>
    <n v="36625165"/>
    <n v="54938074"/>
    <n v="91563240"/>
    <n v="24.843800000000002"/>
    <n v="11.6854"/>
    <n v="5773.2"/>
    <n v="4271.91"/>
    <n v="1855"/>
    <n v="203"/>
    <n v="59.856758562878944"/>
    <n v="33.108168721415787"/>
    <n v="4399"/>
    <n v="10227464"/>
    <n v="4991053"/>
    <n v="41250458"/>
    <n v="0"/>
    <n v="0"/>
    <x v="8"/>
    <x v="8"/>
  </r>
  <r>
    <s v="istree_exp6_rebuilding_time/step10286.txt"/>
    <x v="0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1811743005"/>
    <n v="9997007"/>
    <n v="99971811743005"/>
    <n v="9997007"/>
    <s v="success"/>
    <n v="7"/>
    <n v="1805798"/>
    <n v="11809080"/>
    <n v="13614878"/>
    <n v="9997007"/>
    <n v="7.5395399999999997"/>
    <n v="0.846553"/>
    <n v="4.0360300000000002"/>
    <n v="333412208"/>
    <s v="149 262977 7537272 68849613 232384"/>
    <s v="94 262411 7536889 68849303 232384"/>
    <n v="128204"/>
    <n v="447300"/>
    <n v="1436562186559"/>
    <n v="137450156414"/>
    <n v="608003080"/>
    <n v="155499178930"/>
    <n v="91038185112"/>
    <n v="64653845249"/>
    <n v="706669827"/>
    <n v="0"/>
    <n v="471098384"/>
    <n v="706669827"/>
    <n v="1177768211"/>
    <n v="11777830"/>
    <n v="0"/>
    <n v="7851639"/>
    <n v="11777830"/>
    <n v="19629470"/>
    <n v="25.9267"/>
    <n v="11.072800000000001"/>
    <n v="3380.54"/>
    <n v="2133.34"/>
    <n v="2449"/>
    <n v="155"/>
    <n v="59.856757773291669"/>
    <n v="18.718723699375001"/>
    <n v="94"/>
    <n v="262411"/>
    <n v="7536889"/>
    <n v="68849303"/>
    <n v="232384"/>
    <n v="0"/>
    <x v="9"/>
    <x v="9"/>
  </r>
  <r>
    <s v="istree_exp6_rebuilding_time/step10287.txt"/>
    <x v="0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06379189101"/>
    <n v="10000728"/>
    <n v="100006379189101"/>
    <n v="10000728"/>
    <s v="success"/>
    <n v="7"/>
    <n v="1760129"/>
    <n v="11716464"/>
    <n v="13476593"/>
    <n v="10000728"/>
    <n v="7.6565899999999996"/>
    <n v="0.85356200000000004"/>
    <n v="4.0268699999999997"/>
    <n v="328274896"/>
    <s v="346 475442 10390589 108818209 355149"/>
    <s v="153 474881 10389084 108816905 355147"/>
    <n v="522699"/>
    <n v="187974"/>
    <n v="2873124149651"/>
    <n v="282830561200"/>
    <n v="2777077066"/>
    <n v="362929921785"/>
    <n v="203729978625"/>
    <n v="138265446845"/>
    <n v="1148479566"/>
    <n v="0"/>
    <n v="765654699"/>
    <n v="1148479566"/>
    <n v="1914134265"/>
    <n v="19141326"/>
    <n v="0"/>
    <n v="12760911"/>
    <n v="19141326"/>
    <n v="31902237"/>
    <n v="26.703900000000001"/>
    <n v="11.6851"/>
    <n v="4154.71"/>
    <n v="2778.04"/>
    <n v="2509"/>
    <n v="192"/>
    <n v="59.85675311772917"/>
    <n v="20.636103865020832"/>
    <n v="153"/>
    <n v="474881"/>
    <n v="10389084"/>
    <n v="108816905"/>
    <n v="355147"/>
    <n v="0"/>
    <x v="9"/>
    <x v="9"/>
  </r>
  <r>
    <s v="istree_exp6_rebuilding_time/step10288.txt"/>
    <x v="0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3625214232"/>
    <n v="9998868"/>
    <n v="99993625214232"/>
    <n v="9998868"/>
    <s v="success"/>
    <n v="7"/>
    <n v="1648296"/>
    <n v="11486223"/>
    <n v="13134519"/>
    <n v="9998868"/>
    <n v="7.96854"/>
    <n v="0.87051000000000001"/>
    <n v="4.0045000000000002"/>
    <n v="315643232"/>
    <s v="821 850724 12404856 184336921 535964"/>
    <s v="269 850485 12400332 184332402 535960"/>
    <n v="1899382"/>
    <n v="89926"/>
    <n v="5746905841949"/>
    <n v="503936014625"/>
    <n v="11638404616"/>
    <n v="746916980704"/>
    <n v="692836254769"/>
    <n v="257025035380"/>
    <n v="2017668770"/>
    <n v="0"/>
    <n v="1345110046"/>
    <n v="2017668770"/>
    <n v="3362778816"/>
    <n v="33627812"/>
    <n v="0"/>
    <n v="22418500"/>
    <n v="33627812"/>
    <n v="56046313"/>
    <n v="27.544499999999999"/>
    <n v="13.542299999999999"/>
    <n v="4687.54"/>
    <n v="3217.24"/>
    <n v="2651"/>
    <n v="249"/>
    <n v="59.863602520302088"/>
    <n v="23.045340521812502"/>
    <n v="269"/>
    <n v="850485"/>
    <n v="12400332"/>
    <n v="184332402"/>
    <n v="535960"/>
    <n v="0"/>
    <x v="9"/>
    <x v="9"/>
  </r>
  <r>
    <s v="istree_exp6_rebuilding_time/step10289.txt"/>
    <x v="0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00423251442"/>
    <n v="10000032"/>
    <n v="100000423251442"/>
    <n v="10000032"/>
    <s v="success"/>
    <n v="7"/>
    <n v="1625817"/>
    <n v="11442433"/>
    <n v="13068250"/>
    <n v="10000032"/>
    <n v="8.03796"/>
    <n v="0.87394300000000003"/>
    <n v="4.0000099999999996"/>
    <n v="313144272"/>
    <s v="1311 1199045 10029546 253535170 633989"/>
    <s v="379 1198695 10022849 253525974 633980"/>
    <n v="3871628"/>
    <n v="58438"/>
    <n v="8619920246538"/>
    <n v="716301634320"/>
    <n v="24174233347"/>
    <n v="1093149850045"/>
    <n v="1271591176630"/>
    <n v="386804251548"/>
    <n v="2842045400"/>
    <n v="0"/>
    <n v="1894763192"/>
    <n v="2842045400"/>
    <n v="4736808592"/>
    <n v="47367423"/>
    <n v="0"/>
    <n v="31579386"/>
    <n v="47367423"/>
    <n v="78946809"/>
    <n v="27.874199999999998"/>
    <n v="14.3817"/>
    <n v="4955.96"/>
    <n v="3412.7"/>
    <n v="2833"/>
    <n v="339"/>
    <n v="59.860557267625005"/>
    <n v="24.250146846458332"/>
    <n v="379"/>
    <n v="1198695"/>
    <n v="10022849"/>
    <n v="253525974"/>
    <n v="633980"/>
    <n v="0"/>
    <x v="9"/>
    <x v="9"/>
  </r>
  <r>
    <s v="istree_exp6_rebuilding_time/step10290.txt"/>
    <x v="0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99992563418855"/>
    <n v="9998108"/>
    <n v="99992563418855"/>
    <n v="9998108"/>
    <s v="success"/>
    <n v="7"/>
    <n v="1868780"/>
    <n v="11957516"/>
    <n v="13826296"/>
    <n v="9998108"/>
    <n v="7.3985700000000003"/>
    <n v="0.83613599999999999"/>
    <n v="4.0484"/>
    <n v="340858032"/>
    <s v="1623 1452733 12253295 307645879 772377"/>
    <s v="459 1452244 12242540 307631227 772359"/>
    <n v="6118632"/>
    <n v="43854"/>
    <n v="11372783609520"/>
    <n v="920833910713"/>
    <n v="41490409716"/>
    <n v="1491502817841"/>
    <n v="2054309815174"/>
    <n v="506058584289"/>
    <n v="3447252391"/>
    <n v="0"/>
    <n v="2298065119"/>
    <n v="3447252391"/>
    <n v="5745317510"/>
    <n v="57454206"/>
    <n v="0"/>
    <n v="38301085"/>
    <n v="57454206"/>
    <n v="95755291"/>
    <n v="28.503"/>
    <n v="15.151199999999999"/>
    <n v="5360.43"/>
    <n v="3655.99"/>
    <n v="2957"/>
    <n v="404"/>
    <n v="59.856755839578945"/>
    <n v="26.390502830173681"/>
    <n v="459"/>
    <n v="1452244"/>
    <n v="12242540"/>
    <n v="307631227"/>
    <n v="772359"/>
    <n v="0"/>
    <x v="9"/>
    <x v="9"/>
  </r>
  <r>
    <s v="istree_exp6_rebuilding_time/step10291.txt"/>
    <x v="0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96213695930"/>
    <n v="99992584"/>
    <n v="9999596213695930"/>
    <n v="99992584"/>
    <s v="success"/>
    <n v="7"/>
    <n v="14648287"/>
    <n v="117594496"/>
    <n v="132242783"/>
    <n v="99992584"/>
    <n v="9.0278700000000001"/>
    <n v="0.85031699999999999"/>
    <n v="4.0742000000000003"/>
    <n v="3057777248"/>
    <s v="10 44549 3681015 32936249 5432739"/>
    <s v="7 44485 3680988 32936232 5432738"/>
    <n v="13614"/>
    <n v="354986"/>
    <n v="1436561976994"/>
    <n v="93845490505"/>
    <n v="164373166"/>
    <n v="123625764355"/>
    <n v="89953015290"/>
    <n v="43305100379"/>
    <n v="586773611"/>
    <n v="0"/>
    <n v="391151520"/>
    <n v="586773611"/>
    <n v="977925131"/>
    <n v="9779560"/>
    <n v="0"/>
    <n v="6519192"/>
    <n v="9779560"/>
    <n v="16298752"/>
    <n v="27.576599999999999"/>
    <n v="13.3118"/>
    <n v="3947.9"/>
    <n v="2841.34"/>
    <n v="12596"/>
    <n v="1547"/>
    <n v="59.856749041416663"/>
    <n v="14.620572653958334"/>
    <n v="7"/>
    <n v="44485"/>
    <n v="3680988"/>
    <n v="32936232"/>
    <n v="5432738"/>
    <n v="0"/>
    <x v="10"/>
    <x v="10"/>
  </r>
  <r>
    <s v="istree_exp6_rebuilding_time/step10292.txt"/>
    <x v="0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335334398860"/>
    <n v="99993211"/>
    <n v="9999335334398860"/>
    <n v="99993211"/>
    <s v="success"/>
    <n v="7"/>
    <n v="14229807"/>
    <n v="116638690"/>
    <n v="130868497"/>
    <n v="99993211"/>
    <n v="9.19679"/>
    <n v="0.85729"/>
    <n v="4.06677"/>
    <n v="3007228928"/>
    <s v="25 102992 5641078 50613555 8444026"/>
    <s v="12 102819 5640979 50613462 8444020"/>
    <n v="67664"/>
    <n v="129006"/>
    <n v="2873123698653"/>
    <n v="234513786450"/>
    <n v="1136069480"/>
    <n v="309530590676"/>
    <n v="216253009334"/>
    <n v="104959778504"/>
    <n v="927189442"/>
    <n v="0"/>
    <n v="618230098"/>
    <n v="927189442"/>
    <n v="1545419540"/>
    <n v="15453157"/>
    <n v="0"/>
    <n v="10303834"/>
    <n v="15453157"/>
    <n v="25756992"/>
    <n v="29.636900000000001"/>
    <n v="14.321899999999999"/>
    <n v="4935.41"/>
    <n v="3632.62"/>
    <n v="13098"/>
    <n v="1285"/>
    <n v="59.856743721937498"/>
    <n v="18.049859050916666"/>
    <n v="12"/>
    <n v="102819"/>
    <n v="5640979"/>
    <n v="50613462"/>
    <n v="8444020"/>
    <n v="0"/>
    <x v="10"/>
    <x v="10"/>
  </r>
  <r>
    <s v="istree_exp6_rebuilding_time/step10293.txt"/>
    <x v="0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1.00006209554846E+16"/>
    <n v="100006202"/>
    <n v="1.00006209554846E+16"/>
    <n v="100006202"/>
    <s v="success"/>
    <n v="7"/>
    <n v="14937086"/>
    <n v="118263189"/>
    <n v="133200275"/>
    <n v="100006202"/>
    <n v="8.9174199999999999"/>
    <n v="0.84562400000000004"/>
    <n v="4.08169"/>
    <n v="3091530816"/>
    <s v="55 218092 8730809 90564766 15282176"/>
    <s v="22 217977 8730384 90564488 15282160"/>
    <n v="329586"/>
    <n v="56128"/>
    <n v="5746633034485"/>
    <n v="437479763638"/>
    <n v="8459090917"/>
    <n v="697962100509"/>
    <n v="682416687743"/>
    <n v="210610575738"/>
    <n v="1701575627"/>
    <n v="0"/>
    <n v="1134445100"/>
    <n v="1701575627"/>
    <n v="2836020727"/>
    <n v="28359593"/>
    <n v="0"/>
    <n v="18907418"/>
    <n v="28359593"/>
    <n v="47267012"/>
    <n v="30.656600000000001"/>
    <n v="16.0352"/>
    <n v="5255.01"/>
    <n v="3839.89"/>
    <n v="13784"/>
    <n v="1197"/>
    <n v="59.860760775885417"/>
    <n v="21.218002276510415"/>
    <n v="22"/>
    <n v="217977"/>
    <n v="8730384"/>
    <n v="90564488"/>
    <n v="15282160"/>
    <n v="0"/>
    <x v="10"/>
    <x v="10"/>
  </r>
  <r>
    <s v="istree_exp6_rebuilding_time/step10294.txt"/>
    <x v="0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648308489100"/>
    <n v="99986192"/>
    <n v="9998648308489100"/>
    <n v="99986192"/>
    <s v="success"/>
    <n v="7"/>
    <n v="14715118"/>
    <n v="117750702"/>
    <n v="132465820"/>
    <n v="99986192"/>
    <n v="9.0020199999999999"/>
    <n v="0.84913499999999997"/>
    <n v="4.0758099999999997"/>
    <n v="3065373680"/>
    <s v="88 309924 11000587 124211052 21242080"/>
    <s v="31 309882 10999763 124210464 21242043"/>
    <n v="654444"/>
    <n v="34114"/>
    <n v="8620489335499"/>
    <n v="619933320924"/>
    <n v="24369592422"/>
    <n v="1107091295661"/>
    <n v="1228565870198"/>
    <n v="322228177833"/>
    <n v="2385271917"/>
    <n v="0"/>
    <n v="1590136799"/>
    <n v="2385271917"/>
    <n v="3975408716"/>
    <n v="39754531"/>
    <n v="0"/>
    <n v="26502279"/>
    <n v="39754531"/>
    <n v="66256811"/>
    <n v="30.9328"/>
    <n v="16.8962"/>
    <n v="5504.54"/>
    <n v="4041.06"/>
    <n v="14207"/>
    <n v="1087"/>
    <n v="59.864509274298612"/>
    <n v="22.931862896097222"/>
    <n v="31"/>
    <n v="309882"/>
    <n v="10999763"/>
    <n v="124210464"/>
    <n v="21242043"/>
    <n v="0"/>
    <x v="10"/>
    <x v="10"/>
  </r>
  <r>
    <s v="istree_exp6_rebuilding_time/step10295.txt"/>
    <x v="0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3921832749E+16"/>
    <n v="100006215"/>
    <n v="1.00003921832749E+16"/>
    <n v="100006215"/>
    <s v="success"/>
    <n v="7"/>
    <n v="14016164"/>
    <n v="116183873"/>
    <n v="130200037"/>
    <n v="100006215"/>
    <n v="9.2892799999999998"/>
    <n v="0.86075800000000002"/>
    <n v="4.0621700000000001"/>
    <n v="2982523520"/>
    <s v="151 389939 13378194 152137635 26172198"/>
    <s v="39 389893 13376926 152136676 26172107"/>
    <n v="1048544"/>
    <n v="24242"/>
    <n v="11372782404438"/>
    <n v="798727091922"/>
    <n v="43128680993"/>
    <n v="1537675380302"/>
    <n v="1869998858744"/>
    <n v="437514481620"/>
    <n v="2949452344"/>
    <n v="0"/>
    <n v="1966297715"/>
    <n v="2949452344"/>
    <n v="4915750059"/>
    <n v="49157539"/>
    <n v="0"/>
    <n v="32771628"/>
    <n v="49157539"/>
    <n v="81929167"/>
    <n v="31.297899999999998"/>
    <n v="17.496600000000001"/>
    <n v="5782.73"/>
    <n v="4263.0600000000004"/>
    <n v="14455"/>
    <n v="1134"/>
    <n v="59.856749497042102"/>
    <n v="24.668655229373684"/>
    <n v="39"/>
    <n v="389893"/>
    <n v="13376926"/>
    <n v="152136676"/>
    <n v="26172107"/>
    <n v="0"/>
    <x v="10"/>
    <x v="10"/>
  </r>
  <r>
    <s v="istree_exp6_rebuilding_time/step10296.txt"/>
    <x v="0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6623373140595E+17"/>
    <n v="999988432"/>
    <n v="9.9996623373140595E+17"/>
    <n v="999988432"/>
    <s v="success"/>
    <n v="7"/>
    <n v="128005166"/>
    <n v="1170533389"/>
    <n v="1298538555"/>
    <n v="999988432"/>
    <n v="10.144399999999999"/>
    <n v="0.85430200000000001"/>
    <n v="4.0928500000000003"/>
    <n v="29034284912"/>
    <s v="0 0 111735 21012551 6954085"/>
    <s v="0 0 111735 21012550 6954085"/>
    <n v="2"/>
    <n v="336268"/>
    <n v="1436561808440"/>
    <n v="17203434107"/>
    <n v="2272"/>
    <n v="23821289017"/>
    <n v="21466632534"/>
    <n v="3784900196"/>
    <n v="536885704"/>
    <n v="0"/>
    <n v="357948908"/>
    <n v="536885704"/>
    <n v="894834612"/>
    <n v="8948095"/>
    <n v="0"/>
    <n v="5965815"/>
    <n v="8948095"/>
    <n v="14913910"/>
    <n v="26.0517"/>
    <n v="15.3462"/>
    <n v="4403.7700000000004"/>
    <n v="3493.89"/>
    <n v="62803"/>
    <n v="16517"/>
    <n v="59.856742018333335"/>
    <n v="2.7615107552500002"/>
    <n v="0"/>
    <n v="0"/>
    <n v="111735"/>
    <n v="21012550"/>
    <n v="6954085"/>
    <n v="0"/>
    <x v="11"/>
    <x v="11"/>
  </r>
  <r>
    <s v="istree_exp6_rebuilding_time/step10297.txt"/>
    <x v="0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1015412062E+18"/>
    <n v="1000008217"/>
    <n v="1.00001015412062E+18"/>
    <n v="1000008217"/>
    <s v="success"/>
    <n v="7"/>
    <n v="87792081"/>
    <n v="1085474358"/>
    <n v="1173266439"/>
    <n v="1000008217"/>
    <n v="13.364100000000001"/>
    <n v="0.92126399999999997"/>
    <n v="4.0066899999999999"/>
    <n v="24391315536"/>
    <s v="2 26304 2534912 34442915 9625948"/>
    <s v="1 26284 2534905 34442907 9625947"/>
    <n v="10913"/>
    <n v="115686"/>
    <n v="2873123562158"/>
    <n v="176744441139"/>
    <n v="293030958"/>
    <n v="267913738525"/>
    <n v="123650661444"/>
    <n v="88981138300"/>
    <n v="770089962"/>
    <n v="0"/>
    <n v="513409888"/>
    <n v="770089962"/>
    <n v="1283499850"/>
    <n v="12834832"/>
    <n v="0"/>
    <n v="8556831"/>
    <n v="12834832"/>
    <n v="21391664"/>
    <n v="31.8476"/>
    <n v="19.1282"/>
    <n v="6043.54"/>
    <n v="4887.9799999999996"/>
    <n v="85034"/>
    <n v="12556"/>
    <n v="59.856740878291667"/>
    <n v="13.699646049291667"/>
    <n v="1"/>
    <n v="26284"/>
    <n v="2534905"/>
    <n v="34442907"/>
    <n v="9625947"/>
    <n v="0"/>
    <x v="11"/>
    <x v="11"/>
  </r>
  <r>
    <s v="istree_exp6_rebuilding_time/step10298.txt"/>
    <x v="0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1.00000039469559E+18"/>
    <n v="999997767"/>
    <n v="1.00000039469559E+18"/>
    <n v="999997767"/>
    <s v="success"/>
    <n v="7"/>
    <n v="84465055"/>
    <n v="1078802328"/>
    <n v="1163267383"/>
    <n v="999997767"/>
    <n v="13.7722"/>
    <n v="0.926952"/>
    <n v="4"/>
    <n v="24018041632"/>
    <s v="7 61924 4628829 67777000 19005822"/>
    <s v="2 61899 4628795 67776976 19005817"/>
    <n v="54990"/>
    <n v="53562"/>
    <n v="5945629711491"/>
    <n v="375212863819"/>
    <n v="3794086867"/>
    <n v="916468100096"/>
    <n v="379085643230"/>
    <n v="201476624729"/>
    <n v="1500084237"/>
    <n v="0"/>
    <n v="1000003653"/>
    <n v="1500084237"/>
    <n v="2500087890"/>
    <n v="25001403"/>
    <n v="0"/>
    <n v="16666727"/>
    <n v="25001403"/>
    <n v="41668131"/>
    <n v="33.186399999999999"/>
    <n v="20.9512"/>
    <n v="5934.75"/>
    <n v="4683.4399999999996"/>
    <n v="87516"/>
    <n v="10014"/>
    <n v="61.933642828031253"/>
    <n v="19.542055403552084"/>
    <n v="2"/>
    <n v="61899"/>
    <n v="4628795"/>
    <n v="67776976"/>
    <n v="19005817"/>
    <n v="0"/>
    <x v="11"/>
    <x v="11"/>
  </r>
  <r>
    <s v="istree_exp6_rebuilding_time/step10299.txt"/>
    <x v="0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0285765222E+18"/>
    <n v="1000004999"/>
    <n v="1.00000285765222E+18"/>
    <n v="1000004999"/>
    <s v="success"/>
    <n v="7"/>
    <n v="105408479"/>
    <n v="1123331576"/>
    <n v="1228740055"/>
    <n v="1000004999"/>
    <n v="11.6569"/>
    <n v="0.89021399999999995"/>
    <n v="4.0446900000000001"/>
    <n v="26436819248"/>
    <s v="4 75019 6381055 100167042 28200785"/>
    <s v="2 75018 6380987 100166990 28200782"/>
    <n v="96745"/>
    <n v="34160"/>
    <n v="8619743336020"/>
    <n v="474509417267"/>
    <n v="4349875280"/>
    <n v="1182638838279"/>
    <n v="562269642950"/>
    <n v="250504098234"/>
    <n v="2217304391"/>
    <n v="0"/>
    <n v="1478263890"/>
    <n v="2217304391"/>
    <n v="3695568281"/>
    <n v="36955073"/>
    <n v="0"/>
    <n v="24637731"/>
    <n v="36955073"/>
    <n v="61592804"/>
    <n v="32.049700000000001"/>
    <n v="20.5825"/>
    <n v="5895.01"/>
    <n v="4678.54"/>
    <n v="120322"/>
    <n v="9291"/>
    <n v="59.859328722361106"/>
    <n v="17.182443555624999"/>
    <n v="2"/>
    <n v="75018"/>
    <n v="6380987"/>
    <n v="100166990"/>
    <n v="28200782"/>
    <n v="0"/>
    <x v="11"/>
    <x v="11"/>
  </r>
  <r>
    <s v="istree_exp6_rebuilding_time/step10300.txt"/>
    <x v="0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4182128977E+18"/>
    <n v="1000019642"/>
    <n v="1.00004182128977E+18"/>
    <n v="1000019642"/>
    <s v="success"/>
    <n v="7"/>
    <n v="122991040"/>
    <n v="1158576903"/>
    <n v="1281567943"/>
    <n v="1000019642"/>
    <n v="10.42"/>
    <n v="0.86314500000000005"/>
    <n v="4.0811799999999998"/>
    <n v="28422430368"/>
    <s v="7 94772 6451164 108188624 32129639"/>
    <s v="3 94762 6451075 108188557 32129639"/>
    <n v="154856"/>
    <n v="22856"/>
    <n v="11375261948225"/>
    <n v="609078530489"/>
    <n v="10531824029"/>
    <n v="2009558440910"/>
    <n v="867910331335"/>
    <n v="475069418641"/>
    <n v="2592379069"/>
    <n v="0"/>
    <n v="1728193858"/>
    <n v="2592379069"/>
    <n v="4320572927"/>
    <n v="43206317"/>
    <n v="0"/>
    <n v="28803230"/>
    <n v="43206317"/>
    <n v="72009548"/>
    <n v="33.002600000000001"/>
    <n v="21.424499999999998"/>
    <n v="6275.8"/>
    <n v="4997.21"/>
    <n v="120687"/>
    <n v="9149"/>
    <n v="59.869799727499995"/>
    <n v="20.906044975810527"/>
    <n v="3"/>
    <n v="94762"/>
    <n v="6451075"/>
    <n v="108188557"/>
    <n v="32129639"/>
    <n v="0"/>
    <x v="11"/>
    <x v="11"/>
  </r>
  <r>
    <s v="istree_exp6_rebuilding_time/step10301.txt"/>
    <x v="1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1012342372"/>
    <n v="1001027"/>
    <n v="1001012342372"/>
    <n v="1001027"/>
    <s v="success"/>
    <n v="6"/>
    <n v="68021"/>
    <n v="1104115"/>
    <n v="1172136"/>
    <n v="1001027"/>
    <n v="17.231999999999999"/>
    <n v="0.90663300000000002"/>
    <n v="3.07376"/>
    <n v="23149056"/>
    <s v="97 81722 1176620 1320580"/>
    <s v="91 81704 1176598 1320579"/>
    <m/>
    <n v="1688248"/>
    <n v="1436561758219"/>
    <n v="3976538243"/>
    <n v="82737454793"/>
    <n v="5915125353"/>
    <n v="5225674522"/>
    <n v="2182809116"/>
    <n v="4521191401"/>
    <n v="0"/>
    <n v="45662965"/>
    <n v="4521191401"/>
    <n v="4566854366"/>
    <n v="75353190"/>
    <n v="0"/>
    <n v="761049"/>
    <n v="75353190"/>
    <n v="76114239"/>
    <n v="8.39649"/>
    <n v="9.3694700000000006E-2"/>
    <n v="878.22500000000002"/>
    <n v="262.73399999999998"/>
    <n v="1394"/>
    <n v="27"/>
    <n v="59.856739925791665"/>
    <n v="4.1682334177916669"/>
    <n v="91"/>
    <n v="81704"/>
    <n v="1176598"/>
    <n v="1320579"/>
    <n v="0"/>
    <n v="0"/>
    <x v="0"/>
    <x v="12"/>
  </r>
  <r>
    <s v="istree_exp6_rebuilding_time/step10302.txt"/>
    <x v="1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958084548"/>
    <n v="999376"/>
    <n v="999958084548"/>
    <n v="999376"/>
    <s v="success"/>
    <n v="6"/>
    <n v="46002"/>
    <n v="1057746"/>
    <n v="1103748"/>
    <n v="999376"/>
    <n v="23.993500000000001"/>
    <n v="0.94481700000000002"/>
    <n v="3.0265399999999998"/>
    <n v="20609712"/>
    <s v="142 130314 1237177 1794245"/>
    <s v="132 130297 1237107 1794238"/>
    <m/>
    <n v="598736"/>
    <n v="2873123540316"/>
    <n v="9518146002"/>
    <n v="354012142161"/>
    <n v="12780178346"/>
    <n v="10492372178"/>
    <n v="4893078450"/>
    <n v="6536243267"/>
    <n v="0"/>
    <n v="66032780"/>
    <n v="6536243267"/>
    <n v="6602276047"/>
    <n v="108937387"/>
    <n v="0"/>
    <n v="1100546"/>
    <n v="108937387"/>
    <n v="110037934"/>
    <n v="8.2397600000000004"/>
    <n v="0.10332"/>
    <n v="1206.69"/>
    <n v="361.07600000000002"/>
    <n v="1610"/>
    <n v="72"/>
    <n v="59.856740423249995"/>
    <n v="8.1603316070208329"/>
    <n v="132"/>
    <n v="130297"/>
    <n v="1237107"/>
    <n v="1794238"/>
    <n v="0"/>
    <n v="0"/>
    <x v="0"/>
    <x v="12"/>
  </r>
  <r>
    <s v="istree_exp6_rebuilding_time/step10303.txt"/>
    <x v="1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482217111"/>
    <n v="1000477"/>
    <n v="1000482217111"/>
    <n v="1000477"/>
    <s v="success"/>
    <n v="6"/>
    <n v="49096"/>
    <n v="1064960"/>
    <n v="1114056"/>
    <n v="1000477"/>
    <n v="22.691400000000002"/>
    <n v="0.93945000000000001"/>
    <n v="3.03288"/>
    <n v="20975216"/>
    <s v="243 349258 606102 2577282"/>
    <s v="223 348971 605949 2577260"/>
    <m/>
    <n v="254542"/>
    <n v="5746246999393"/>
    <n v="29368139698"/>
    <n v="1275224476785"/>
    <n v="28105741118"/>
    <n v="16775652753"/>
    <n v="8654567056"/>
    <n v="11037789114"/>
    <n v="0"/>
    <n v="111493027"/>
    <n v="11037789114"/>
    <n v="11149282141"/>
    <n v="183963151"/>
    <n v="0"/>
    <n v="1858217"/>
    <n v="183963151"/>
    <n v="185821369"/>
    <n v="8.2273800000000001"/>
    <n v="0.233765"/>
    <n v="1430.95"/>
    <n v="384.404"/>
    <n v="2156"/>
    <n v="144"/>
    <n v="59.856739577010416"/>
    <n v="14.147172681354165"/>
    <n v="223"/>
    <n v="348971"/>
    <n v="605949"/>
    <n v="2577260"/>
    <n v="0"/>
    <n v="0"/>
    <x v="0"/>
    <x v="12"/>
  </r>
  <r>
    <s v="istree_exp6_rebuilding_time/step10304.txt"/>
    <x v="1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331822658"/>
    <n v="999492"/>
    <n v="999331822658"/>
    <n v="999492"/>
    <s v="success"/>
    <n v="6"/>
    <n v="51780"/>
    <n v="1069679"/>
    <n v="1121459"/>
    <n v="999492"/>
    <n v="21.658100000000001"/>
    <n v="0.93438500000000002"/>
    <n v="3.0390199999999998"/>
    <n v="21273504"/>
    <s v="321 840699 151797 2340977"/>
    <s v="288 840001 151681 2340946"/>
    <m/>
    <n v="147190"/>
    <n v="8619371299576"/>
    <n v="52052922973"/>
    <n v="2664967495593"/>
    <n v="50873859313"/>
    <n v="21742945852"/>
    <n v="14410119725"/>
    <n v="14271094185"/>
    <n v="0"/>
    <n v="144149617"/>
    <n v="14271094185"/>
    <n v="14415243802"/>
    <n v="237851569"/>
    <n v="0"/>
    <n v="2402493"/>
    <n v="237851569"/>
    <n v="240254063"/>
    <n v="8.4849300000000003"/>
    <n v="0.33541799999999999"/>
    <n v="1638.5"/>
    <n v="399.65199999999999"/>
    <n v="2806"/>
    <n v="275"/>
    <n v="59.856745135944443"/>
    <n v="19.472550996222221"/>
    <n v="288"/>
    <n v="840001"/>
    <n v="151681"/>
    <n v="2340946"/>
    <n v="0"/>
    <n v="0"/>
    <x v="0"/>
    <x v="12"/>
  </r>
  <r>
    <s v="istree_exp6_rebuilding_time/step10305.txt"/>
    <x v="1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8975814283"/>
    <n v="999535"/>
    <n v="998975814283"/>
    <n v="999535"/>
    <s v="success"/>
    <n v="6"/>
    <n v="33062"/>
    <n v="1031633"/>
    <n v="1064695"/>
    <n v="999535"/>
    <n v="32.203000000000003"/>
    <n v="0.96888600000000002"/>
    <n v="3.0001199999999999"/>
    <n v="19151072"/>
    <s v="404 849044 414446 3398891"/>
    <s v="362 848163 414156 3398832"/>
    <m/>
    <n v="122834"/>
    <n v="11377250561648"/>
    <n v="64090220903"/>
    <n v="3829887662140"/>
    <n v="55419272113"/>
    <n v="28997996611"/>
    <n v="15744614161"/>
    <n v="17899260242"/>
    <n v="0"/>
    <n v="180792358"/>
    <n v="17899260242"/>
    <n v="18080052600"/>
    <n v="298321004"/>
    <n v="0"/>
    <n v="3013205"/>
    <n v="298321004"/>
    <n v="301334210"/>
    <n v="8.5460399999999996"/>
    <n v="0.39063100000000001"/>
    <n v="1728.75"/>
    <n v="410.815"/>
    <n v="2576"/>
    <n v="331"/>
    <n v="59.880266113936841"/>
    <n v="21.021788241726316"/>
    <n v="362"/>
    <n v="848163"/>
    <n v="414156"/>
    <n v="3398832"/>
    <n v="0"/>
    <n v="0"/>
    <x v="0"/>
    <x v="12"/>
  </r>
  <r>
    <s v="istree_exp6_rebuilding_time/step10306.txt"/>
    <x v="1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26059555963"/>
    <n v="10002264"/>
    <n v="100026059555963"/>
    <n v="10002264"/>
    <s v="success"/>
    <n v="7"/>
    <n v="1625788"/>
    <n v="11444602"/>
    <n v="13070390"/>
    <n v="10002264"/>
    <n v="8.0394199999999998"/>
    <n v="0.87397199999999997"/>
    <n v="4"/>
    <n v="313176656"/>
    <s v="4 11148 320776 2927348 9840"/>
    <s v="4 11148 320774 2927348 9840"/>
    <m/>
    <n v="718268"/>
    <n v="1450065889221"/>
    <n v="5458711164"/>
    <n v="84146579528"/>
    <n v="7803304406"/>
    <n v="5006959101"/>
    <n v="2092784072"/>
    <n v="1980459061"/>
    <n v="0"/>
    <n v="20003263"/>
    <n v="1980459061"/>
    <n v="2000462324"/>
    <n v="33007651"/>
    <n v="0"/>
    <n v="333387"/>
    <n v="33007651"/>
    <n v="33341038"/>
    <n v="16.1402"/>
    <n v="5.8921599999999996"/>
    <n v="2024.08"/>
    <n v="1226.81"/>
    <n v="2673"/>
    <n v="157"/>
    <n v="60.419412050874996"/>
    <n v="4.3545140946250003"/>
    <n v="4"/>
    <n v="11148"/>
    <n v="320774"/>
    <n v="2927348"/>
    <n v="9840"/>
    <n v="0"/>
    <x v="1"/>
    <x v="13"/>
  </r>
  <r>
    <s v="istree_exp6_rebuilding_time/step10307.txt"/>
    <x v="1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3493402096"/>
    <n v="9999931"/>
    <n v="100003493402096"/>
    <n v="9999931"/>
    <s v="success"/>
    <n v="7"/>
    <n v="1906741"/>
    <n v="12036004"/>
    <n v="13942745"/>
    <n v="9999931"/>
    <n v="7.3123399999999998"/>
    <n v="0.83083499999999999"/>
    <n v="4.0560400000000003"/>
    <n v="345152976"/>
    <s v="6 18636 416619 4689474 14958"/>
    <s v="6 18634 416615 4689473 14958"/>
    <m/>
    <n v="285762"/>
    <n v="2873122348743"/>
    <n v="10924656951"/>
    <n v="286720125310"/>
    <n v="16313602108"/>
    <n v="11312845367"/>
    <n v="4567526653"/>
    <n v="3265735859"/>
    <n v="0"/>
    <n v="32992358"/>
    <n v="3265735859"/>
    <n v="3298728217"/>
    <n v="54428930"/>
    <n v="0"/>
    <n v="549872"/>
    <n v="54428930"/>
    <n v="54978803"/>
    <n v="16.023599999999998"/>
    <n v="5.98055"/>
    <n v="2430.27"/>
    <n v="1490.59"/>
    <n v="2795"/>
    <n v="197"/>
    <n v="59.856715598812507"/>
    <n v="6.8716407581041672"/>
    <n v="6"/>
    <n v="18634"/>
    <n v="416615"/>
    <n v="4689473"/>
    <n v="14958"/>
    <n v="0"/>
    <x v="1"/>
    <x v="13"/>
  </r>
  <r>
    <s v="istree_exp6_rebuilding_time/step10308.txt"/>
    <x v="1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3549916151"/>
    <n v="9998430"/>
    <n v="99993549916151"/>
    <n v="9998430"/>
    <s v="success"/>
    <n v="7"/>
    <n v="1907508"/>
    <n v="12034634"/>
    <n v="13942142"/>
    <n v="9998430"/>
    <n v="7.3090900000000003"/>
    <n v="0.83080500000000002"/>
    <n v="4.0562800000000001"/>
    <n v="345193776"/>
    <s v="13 37951 562965 8658422 25246"/>
    <s v="12 37951 562954 8658406 25246"/>
    <m/>
    <n v="134412"/>
    <n v="5746245106532"/>
    <n v="22670485016"/>
    <n v="1196625817578"/>
    <n v="32890205471"/>
    <n v="36505314051"/>
    <n v="9383665015"/>
    <n v="6242369096"/>
    <n v="0"/>
    <n v="63052315"/>
    <n v="6242369096"/>
    <n v="6305421411"/>
    <n v="104039484"/>
    <n v="0"/>
    <n v="1050871"/>
    <n v="104039484"/>
    <n v="105090356"/>
    <n v="16.007300000000001"/>
    <n v="6.3816300000000004"/>
    <n v="2528.44"/>
    <n v="1244.32"/>
    <n v="3205"/>
    <n v="261"/>
    <n v="59.856719859708335"/>
    <n v="13.521619657614584"/>
    <n v="12"/>
    <n v="37951"/>
    <n v="562954"/>
    <n v="8658406"/>
    <n v="25246"/>
    <n v="0"/>
    <x v="1"/>
    <x v="13"/>
  </r>
  <r>
    <s v="istree_exp6_rebuilding_time/step10309.txt"/>
    <x v="1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25296836097"/>
    <n v="10001569"/>
    <n v="100025296836097"/>
    <n v="10001569"/>
    <s v="success"/>
    <n v="7"/>
    <n v="1903141"/>
    <n v="12025925"/>
    <n v="13929066"/>
    <n v="10001569"/>
    <n v="7.3189900000000003"/>
    <n v="0.83166700000000005"/>
    <n v="4.0555199999999996"/>
    <n v="344697264"/>
    <s v="16 50616 427932 11058431 27875"/>
    <s v="16 50614 427904 11058406 27875"/>
    <m/>
    <n v="80568"/>
    <n v="8619559684362"/>
    <n v="30531586661"/>
    <n v="2530173039114"/>
    <n v="41093799353"/>
    <n v="79377712760"/>
    <n v="12865145424"/>
    <n v="8179888230"/>
    <n v="0"/>
    <n v="82628030"/>
    <n v="8179888230"/>
    <n v="8262516260"/>
    <n v="136331470"/>
    <n v="0"/>
    <n v="1377133"/>
    <n v="136331470"/>
    <n v="137708604"/>
    <n v="16.038900000000002"/>
    <n v="6.5147700000000004"/>
    <n v="2877.43"/>
    <n v="1251.6400000000001"/>
    <n v="3540"/>
    <n v="334"/>
    <n v="59.858053363625004"/>
    <n v="18.708620022999998"/>
    <n v="16"/>
    <n v="50614"/>
    <n v="427904"/>
    <n v="11058406"/>
    <n v="27875"/>
    <n v="0"/>
    <x v="1"/>
    <x v="13"/>
  </r>
  <r>
    <s v="istree_exp6_rebuilding_time/step10310.txt"/>
    <x v="1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99978300069347"/>
    <n v="9998134"/>
    <n v="99978300069347"/>
    <n v="9998134"/>
    <s v="success"/>
    <n v="7"/>
    <n v="1625308"/>
    <n v="11440100"/>
    <n v="13065408"/>
    <n v="9998134"/>
    <n v="8.0387299999999993"/>
    <n v="0.87395500000000004"/>
    <n v="4.0000099999999996"/>
    <n v="313066224"/>
    <s v="22 63262 532504 13387841 33596"/>
    <s v="20 63262 532473 13387798 33596"/>
    <m/>
    <n v="61830"/>
    <n v="11550447343113"/>
    <n v="39866109824"/>
    <n v="4143596353646"/>
    <n v="50661341173"/>
    <n v="103077646733"/>
    <n v="16170285530"/>
    <n v="9899018534"/>
    <n v="0"/>
    <n v="99993112"/>
    <n v="9899018534"/>
    <n v="9999011646"/>
    <n v="164983642"/>
    <n v="0"/>
    <n v="1666551"/>
    <n v="164983642"/>
    <n v="166650194"/>
    <n v="16.0794"/>
    <n v="6.60114"/>
    <n v="3181.26"/>
    <n v="1247.5"/>
    <n v="4011"/>
    <n v="410"/>
    <n v="60.79182812164737"/>
    <n v="22.912482825821051"/>
    <n v="20"/>
    <n v="63262"/>
    <n v="532473"/>
    <n v="13387798"/>
    <n v="33596"/>
    <n v="0"/>
    <x v="1"/>
    <x v="13"/>
  </r>
  <r>
    <s v="istree_exp6_rebuilding_time/step10311.txt"/>
    <x v="1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2344933926E+16"/>
    <n v="99998372"/>
    <n v="1.00002344933926E+16"/>
    <n v="99998372"/>
    <s v="success"/>
    <n v="7"/>
    <n v="14120248"/>
    <n v="116401197"/>
    <n v="130521445"/>
    <n v="99998372"/>
    <n v="9.2435700000000001"/>
    <n v="0.85908399999999996"/>
    <n v="4.0644"/>
    <n v="2994488272"/>
    <s v="0 0 5 604696 201201"/>
    <s v="0 0 5 604696 201201"/>
    <m/>
    <n v="632360"/>
    <n v="1436561319395"/>
    <n v="286570121"/>
    <m/>
    <n v="816209436"/>
    <n v="1732168353"/>
    <n v="117104171"/>
    <n v="1700508218"/>
    <n v="0"/>
    <n v="17173310"/>
    <n v="1700508218"/>
    <n v="1717681528"/>
    <n v="28341803"/>
    <n v="0"/>
    <n v="286221"/>
    <n v="28341803"/>
    <n v="28628025"/>
    <n v="18.925599999999999"/>
    <n v="8.2611100000000004"/>
    <n v="2337.5700000000002"/>
    <n v="1746.85"/>
    <n v="7484"/>
    <n v="1573"/>
    <n v="59.856721641458336"/>
    <n v="0.12300217004166668"/>
    <n v="0"/>
    <n v="0"/>
    <n v="5"/>
    <n v="604696"/>
    <n v="201201"/>
    <n v="0"/>
    <x v="2"/>
    <x v="14"/>
  </r>
  <r>
    <s v="istree_exp6_rebuilding_time/step10312.txt"/>
    <x v="1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1589098589E+16"/>
    <n v="99994309"/>
    <n v="1.00001589098589E+16"/>
    <n v="99994309"/>
    <s v="success"/>
    <n v="7"/>
    <n v="14926803"/>
    <n v="118211751"/>
    <n v="133138554"/>
    <n v="99994309"/>
    <n v="8.9194300000000002"/>
    <n v="0.84589099999999995"/>
    <n v="4.0818000000000003"/>
    <n v="3089732304"/>
    <s v="0 0 15088 2039490 422061"/>
    <s v="0 0 15088 2039490 422061"/>
    <m/>
    <n v="272504"/>
    <n v="2873122856883"/>
    <n v="1454818455"/>
    <n v="1688"/>
    <n v="3523764711"/>
    <n v="5554809015"/>
    <n v="602014811"/>
    <n v="2989770438"/>
    <n v="0"/>
    <n v="30211154"/>
    <n v="2989770438"/>
    <n v="3019981592"/>
    <n v="49829507"/>
    <n v="0"/>
    <n v="503519"/>
    <n v="49829507"/>
    <n v="50333026"/>
    <n v="19.038699999999999"/>
    <n v="8.36998"/>
    <n v="2657.25"/>
    <n v="1984.68"/>
    <n v="7815"/>
    <n v="1287"/>
    <n v="59.856726185062506"/>
    <n v="0.23198768083333332"/>
    <n v="0"/>
    <n v="0"/>
    <n v="15088"/>
    <n v="2039490"/>
    <n v="422061"/>
    <n v="0"/>
    <x v="2"/>
    <x v="14"/>
  </r>
  <r>
    <s v="istree_exp6_rebuilding_time/step10313.txt"/>
    <x v="1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823223602580"/>
    <n v="99994796"/>
    <n v="9999823223602580"/>
    <n v="99994796"/>
    <s v="success"/>
    <n v="7"/>
    <n v="11199011"/>
    <n v="110373323"/>
    <n v="121572334"/>
    <n v="99994796"/>
    <n v="10.855600000000001"/>
    <n v="0.90596900000000002"/>
    <n v="4.0037900000000004"/>
    <n v="2661905360"/>
    <s v="1 9927 395128 3999531 673322"/>
    <s v="1 9927 395127 3999531 673322"/>
    <m/>
    <n v="106510"/>
    <n v="5769507401064"/>
    <n v="19270667417"/>
    <n v="810151501008"/>
    <n v="32934434920"/>
    <n v="58386615570"/>
    <n v="7798823369"/>
    <n v="5024237463"/>
    <n v="0"/>
    <n v="50752014"/>
    <n v="5024237463"/>
    <n v="5074989477"/>
    <n v="83737291"/>
    <n v="0"/>
    <n v="845866"/>
    <n v="83737291"/>
    <n v="84583157"/>
    <n v="19.377199999999998"/>
    <n v="9.3450699999999998"/>
    <n v="3144.14"/>
    <n v="1954.61"/>
    <n v="11550"/>
    <n v="1086"/>
    <n v="60.099035427750003"/>
    <n v="9.6723129404583332"/>
    <n v="1"/>
    <n v="9927"/>
    <n v="395127"/>
    <n v="3999531"/>
    <n v="673322"/>
    <n v="0"/>
    <x v="2"/>
    <x v="14"/>
  </r>
  <r>
    <s v="istree_exp6_rebuilding_time/step10314.txt"/>
    <x v="1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9603079686040"/>
    <n v="99997645"/>
    <n v="9999603079686040"/>
    <n v="99997645"/>
    <s v="success"/>
    <n v="7"/>
    <n v="14736101"/>
    <n v="117760606"/>
    <n v="132496707"/>
    <n v="99997645"/>
    <n v="8.9913000000000007"/>
    <n v="0.84916000000000003"/>
    <n v="4.0777200000000002"/>
    <n v="3066675936"/>
    <s v="1 9998 351093 5294474 1001006"/>
    <s v="1 9998 351091 5294472 1001005"/>
    <m/>
    <n v="73080"/>
    <n v="8637928819513"/>
    <n v="20624930129"/>
    <n v="1241895604604"/>
    <n v="31123630412"/>
    <n v="78513707321"/>
    <n v="9014766158"/>
    <n v="7426810041"/>
    <n v="0"/>
    <n v="75024080"/>
    <n v="7426810041"/>
    <n v="7501834121"/>
    <n v="123780167"/>
    <n v="0"/>
    <n v="1250401"/>
    <n v="123780167"/>
    <n v="125030568"/>
    <n v="19.316600000000001"/>
    <n v="9.4450199999999995"/>
    <n v="3169.3"/>
    <n v="1949.05"/>
    <n v="13518"/>
    <n v="1054"/>
    <n v="59.98561680217361"/>
    <n v="9.5914766571111105"/>
    <n v="1"/>
    <n v="9998"/>
    <n v="351091"/>
    <n v="5294472"/>
    <n v="1001005"/>
    <n v="0"/>
    <x v="2"/>
    <x v="14"/>
  </r>
  <r>
    <s v="istree_exp6_rebuilding_time/step10315.txt"/>
    <x v="1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08574893393E+16"/>
    <n v="100007904"/>
    <n v="1.00008574893393E+16"/>
    <n v="100007904"/>
    <s v="success"/>
    <n v="7"/>
    <n v="12373303"/>
    <n v="112766175"/>
    <n v="125139478"/>
    <n v="100007904"/>
    <n v="10.1137"/>
    <n v="0.88686100000000001"/>
    <n v="4.0263099999999996"/>
    <n v="2795330096"/>
    <s v="1 16789 677251 7725477 1305865"/>
    <s v="1 16788 677248 7725474 1305865"/>
    <m/>
    <n v="57154"/>
    <n v="11414306421529"/>
    <n v="31785652408"/>
    <n v="1639294366538"/>
    <n v="45693009422"/>
    <n v="353645522299"/>
    <n v="12756420309"/>
    <n v="9504937349"/>
    <n v="0"/>
    <n v="96021152"/>
    <n v="9504937349"/>
    <n v="9600958501"/>
    <n v="158415622"/>
    <n v="0"/>
    <n v="1600352"/>
    <n v="158415622"/>
    <n v="160015975"/>
    <n v="19.3781"/>
    <n v="9.6331600000000002"/>
    <n v="3211.91"/>
    <n v="1965.45"/>
    <n v="13526"/>
    <n v="1148"/>
    <n v="60.075296955415787"/>
    <n v="10.964078794610527"/>
    <n v="1"/>
    <n v="16788"/>
    <n v="677248"/>
    <n v="7725474"/>
    <n v="1305865"/>
    <n v="0"/>
    <x v="2"/>
    <x v="14"/>
  </r>
  <r>
    <s v="istree_exp6_rebuilding_time/step10316.txt"/>
    <x v="1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9.9999057004234304E+17"/>
    <n v="1000002693"/>
    <n v="9.9999057004234304E+17"/>
    <n v="1000002693"/>
    <s v="success"/>
    <n v="7"/>
    <n v="87191096"/>
    <n v="1084264182"/>
    <n v="1171455278"/>
    <n v="1000002693"/>
    <n v="13.435499999999999"/>
    <n v="0.92228699999999997"/>
    <n v="4.0054699999999999"/>
    <n v="24323748864"/>
    <s v="0 0 0 1334 14733"/>
    <s v="0 0 0 1334 14733"/>
    <m/>
    <n v="404076"/>
    <n v="1436561491880"/>
    <n v="5673541"/>
    <m/>
    <n v="24495130"/>
    <n v="808491077"/>
    <n v="1610838"/>
    <n v="1089278841"/>
    <n v="0"/>
    <n v="10998929"/>
    <n v="1089278841"/>
    <n v="1100277770"/>
    <n v="18154647"/>
    <n v="0"/>
    <n v="183315"/>
    <n v="18154647"/>
    <n v="18337962"/>
    <n v="22.048200000000001"/>
    <n v="12.869"/>
    <n v="3648.33"/>
    <n v="2910.3"/>
    <n v="59443"/>
    <n v="16530"/>
    <n v="59.856728828333331"/>
    <n v="3.5011274416666668E-2"/>
    <n v="0"/>
    <n v="0"/>
    <n v="0"/>
    <n v="1334"/>
    <n v="14733"/>
    <n v="0"/>
    <x v="3"/>
    <x v="15"/>
  </r>
  <r>
    <s v="istree_exp6_rebuilding_time/step10317.txt"/>
    <x v="1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022611892096E+17"/>
    <n v="1000002432"/>
    <n v="9.9999022611892096E+17"/>
    <n v="1000002432"/>
    <s v="success"/>
    <n v="7"/>
    <n v="89402940"/>
    <n v="1088706097"/>
    <n v="1178109037"/>
    <n v="1000002432"/>
    <n v="13.1775"/>
    <n v="0.91852400000000001"/>
    <n v="4.0099499999999999"/>
    <n v="24572296240"/>
    <s v="0 0 0 8132 48456"/>
    <s v="0 0 0 8132 48456"/>
    <m/>
    <n v="180730"/>
    <n v="2873122984920"/>
    <n v="30218319"/>
    <m/>
    <n v="113818193"/>
    <n v="2527233587"/>
    <n v="9530466"/>
    <n v="1988682186"/>
    <n v="0"/>
    <n v="20082488"/>
    <n v="1988682186"/>
    <n v="2008764674"/>
    <n v="33144703"/>
    <n v="0"/>
    <n v="334708"/>
    <n v="33144703"/>
    <n v="33479411"/>
    <n v="21.982299999999999"/>
    <n v="12.918699999999999"/>
    <n v="3996.32"/>
    <n v="3332.31"/>
    <n v="59813"/>
    <n v="12106"/>
    <n v="59.856728852499998"/>
    <n v="5.585001177083334E-2"/>
    <n v="0"/>
    <n v="0"/>
    <n v="0"/>
    <n v="8132"/>
    <n v="48456"/>
    <n v="0"/>
    <x v="3"/>
    <x v="15"/>
  </r>
  <r>
    <s v="istree_exp6_rebuilding_time/step10318.txt"/>
    <x v="1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493503562701E+17"/>
    <n v="1000002611"/>
    <n v="9.9997493503562701E+17"/>
    <n v="1000002611"/>
    <s v="success"/>
    <n v="7"/>
    <n v="95125500"/>
    <n v="1100252693"/>
    <n v="1195378193"/>
    <n v="1000002611"/>
    <n v="12.5663"/>
    <n v="0.90888400000000003"/>
    <n v="4.0216500000000002"/>
    <n v="25217583792"/>
    <s v="0 0 0 85697 227164"/>
    <s v="0 0 0 85697 227164"/>
    <m/>
    <n v="99008"/>
    <n v="5746246218828"/>
    <n v="192575058"/>
    <m/>
    <n v="640587396"/>
    <n v="10263493646"/>
    <n v="104683268"/>
    <n v="4408571698"/>
    <n v="0"/>
    <n v="44538880"/>
    <n v="4408571698"/>
    <n v="4453110578"/>
    <n v="73476194"/>
    <n v="0"/>
    <n v="742314"/>
    <n v="73476194"/>
    <n v="74218509"/>
    <n v="22.091200000000001"/>
    <n v="13.764699999999999"/>
    <n v="3601.81"/>
    <n v="2884.76"/>
    <n v="60704"/>
    <n v="9786"/>
    <n v="59.856731446124996"/>
    <n v="0.11668061841666666"/>
    <n v="0"/>
    <n v="0"/>
    <n v="0"/>
    <n v="85697"/>
    <n v="227164"/>
    <n v="0"/>
    <x v="3"/>
    <x v="15"/>
  </r>
  <r>
    <s v="istree_exp6_rebuilding_time/step10319.txt"/>
    <x v="1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001509115E+18"/>
    <n v="999997450"/>
    <n v="1.00000001509115E+18"/>
    <n v="999997450"/>
    <s v="success"/>
    <n v="7"/>
    <n v="100039026"/>
    <n v="1110240178"/>
    <n v="1210279204"/>
    <n v="999997450"/>
    <n v="12.098100000000001"/>
    <n v="0.90070399999999995"/>
    <n v="4.0318300000000002"/>
    <n v="25774319344"/>
    <s v="0 0 0 283574 490387"/>
    <s v="0 0 0 283574 490387"/>
    <m/>
    <n v="65898"/>
    <n v="8619370055698"/>
    <n v="527042271"/>
    <n v="3001"/>
    <n v="1605608223"/>
    <n v="13456263267"/>
    <n v="312446355"/>
    <n v="6635289971"/>
    <n v="0"/>
    <n v="67021071"/>
    <n v="6635289971"/>
    <n v="6702311042"/>
    <n v="110588166"/>
    <n v="0"/>
    <n v="1117017"/>
    <n v="110588166"/>
    <n v="111705184"/>
    <n v="22.1236"/>
    <n v="13.9992"/>
    <n v="3588.74"/>
    <n v="2860"/>
    <n v="61562"/>
    <n v="9208"/>
    <n v="59.85673649790278"/>
    <n v="0.11042613275694445"/>
    <n v="0"/>
    <n v="0"/>
    <n v="0"/>
    <n v="283574"/>
    <n v="490387"/>
    <n v="0"/>
    <x v="3"/>
    <x v="15"/>
  </r>
  <r>
    <s v="istree_exp6_rebuilding_time/step10320.txt"/>
    <x v="1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259258397199E+18"/>
    <n v="1000004565"/>
    <n v="1.0000259258397199E+18"/>
    <n v="1000004565"/>
    <s v="success"/>
    <n v="7"/>
    <n v="104171653"/>
    <n v="1118707281"/>
    <n v="1222878934"/>
    <n v="1000004565"/>
    <n v="11.739100000000001"/>
    <n v="0.89389300000000005"/>
    <n v="4.0404900000000001"/>
    <n v="26244677712"/>
    <s v="0 0 0 608383 797444"/>
    <s v="0 0 0 608383 797444"/>
    <m/>
    <n v="51180"/>
    <n v="11372779980148"/>
    <n v="1022008825"/>
    <m/>
    <n v="2942156366"/>
    <n v="15069259038"/>
    <n v="603601660"/>
    <n v="8658249756"/>
    <n v="0"/>
    <n v="87454322"/>
    <n v="8658249756"/>
    <n v="8745704078"/>
    <n v="144304162"/>
    <n v="0"/>
    <n v="1457572"/>
    <n v="144304162"/>
    <n v="145761734"/>
    <n v="22.192699999999999"/>
    <n v="14.13"/>
    <n v="3627.83"/>
    <n v="2894.68"/>
    <n v="62236"/>
    <n v="9067"/>
    <n v="59.856736737621048"/>
    <n v="0.10335276783684211"/>
    <n v="0"/>
    <n v="0"/>
    <n v="0"/>
    <n v="608383"/>
    <n v="797444"/>
    <n v="0"/>
    <x v="3"/>
    <x v="15"/>
  </r>
  <r>
    <s v="istree_exp6_rebuilding_time/step10321.txt"/>
    <x v="1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542076274"/>
    <n v="1000494"/>
    <n v="1000542076274"/>
    <n v="1000494"/>
    <s v="success"/>
    <n v="6"/>
    <n v="33043"/>
    <n v="1032539"/>
    <n v="1065582"/>
    <n v="1000494"/>
    <n v="32.2483"/>
    <n v="0.96896499999999997"/>
    <n v="3.0000200000000001"/>
    <n v="19164048"/>
    <s v="730 503341 7235173 8110564"/>
    <s v="560 502563 7234391 8110499"/>
    <m/>
    <n v="1060000"/>
    <n v="1436986401827"/>
    <n v="24834037363"/>
    <n v="430800492960"/>
    <n v="29959400657"/>
    <n v="11827259425"/>
    <n v="12606306072"/>
    <n v="2519582289"/>
    <n v="0"/>
    <n v="279980326"/>
    <n v="2519582289"/>
    <n v="2799562615"/>
    <n v="41993038"/>
    <n v="0"/>
    <n v="4666338"/>
    <n v="41993038"/>
    <n v="46659376"/>
    <n v="9.8478600000000007"/>
    <n v="0.38550299999999998"/>
    <n v="1429.67"/>
    <n v="338.48500000000001"/>
    <n v="1714"/>
    <n v="26"/>
    <n v="59.874433409458334"/>
    <n v="21.251145686541665"/>
    <n v="560"/>
    <n v="502563"/>
    <n v="7234391"/>
    <n v="8110499"/>
    <n v="0"/>
    <n v="0"/>
    <x v="4"/>
    <x v="16"/>
  </r>
  <r>
    <s v="istree_exp6_rebuilding_time/step10322.txt"/>
    <x v="1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998685678944"/>
    <n v="998960"/>
    <n v="998685678944"/>
    <n v="998960"/>
    <s v="success"/>
    <n v="6"/>
    <n v="33009"/>
    <n v="1030983"/>
    <n v="1063992"/>
    <n v="998960"/>
    <n v="32.233400000000003"/>
    <n v="0.96893899999999999"/>
    <n v="3.0000100000000001"/>
    <n v="19136432"/>
    <s v="938 615924 5846666 8485808"/>
    <s v="624 615325 5844659 8485667"/>
    <m/>
    <n v="294980"/>
    <n v="2874756988406"/>
    <n v="44864265571"/>
    <n v="1431509793484"/>
    <n v="50164120156"/>
    <n v="21715907540"/>
    <n v="21649995784"/>
    <n v="2807298508"/>
    <n v="0"/>
    <n v="311886564"/>
    <n v="2807298508"/>
    <n v="3119185072"/>
    <n v="46788308"/>
    <n v="0"/>
    <n v="5198109"/>
    <n v="46788308"/>
    <n v="51986417"/>
    <n v="9.8523099999999992"/>
    <n v="0.47812300000000002"/>
    <n v="2559.21"/>
    <n v="501.46600000000001"/>
    <n v="2021"/>
    <n v="68"/>
    <n v="59.890770591791664"/>
    <n v="32.706335052812499"/>
    <n v="624"/>
    <n v="615325"/>
    <n v="5844659"/>
    <n v="8485667"/>
    <n v="0"/>
    <n v="0"/>
    <x v="4"/>
    <x v="16"/>
  </r>
  <r>
    <s v="istree_exp6_rebuilding_time/step10323.txt"/>
    <x v="1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843725389"/>
    <n v="999843"/>
    <n v="999843725389"/>
    <n v="999843"/>
    <s v="success"/>
    <n v="6"/>
    <n v="33025"/>
    <n v="1031899"/>
    <n v="1064924"/>
    <n v="999843"/>
    <n v="32.246000000000002"/>
    <n v="0.96893499999999999"/>
    <n v="3.0000499999999999"/>
    <n v="19152368"/>
    <s v="1169 1088159 1881417 7991617"/>
    <s v="693 1082139 1878454 7991233"/>
    <m/>
    <n v="85658"/>
    <n v="5751193925582"/>
    <n v="103802600740"/>
    <n v="3802274116869"/>
    <n v="80428032259"/>
    <n v="49334969616"/>
    <n v="25741894760"/>
    <n v="3116972314"/>
    <n v="0"/>
    <n v="346318309"/>
    <n v="3116972314"/>
    <n v="3463290623"/>
    <n v="51949538"/>
    <n v="0"/>
    <n v="5771971"/>
    <n v="51949538"/>
    <n v="57721510"/>
    <n v="10.351699999999999"/>
    <n v="1.4918"/>
    <n v="4618.8500000000004"/>
    <n v="780.75599999999997"/>
    <n v="2835"/>
    <n v="248"/>
    <n v="59.908270058145831"/>
    <n v="42.308141815041665"/>
    <n v="693"/>
    <n v="1082139"/>
    <n v="1878454"/>
    <n v="7991233"/>
    <n v="0"/>
    <n v="0"/>
    <x v="4"/>
    <x v="16"/>
  </r>
  <r>
    <s v="istree_exp6_rebuilding_time/step10324.txt"/>
    <x v="1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0252400962"/>
    <n v="999727"/>
    <n v="1000252400962"/>
    <n v="999727"/>
    <s v="success"/>
    <n v="6"/>
    <n v="33040"/>
    <n v="1031798"/>
    <n v="1064838"/>
    <n v="999727"/>
    <n v="32.2288"/>
    <n v="0.96891700000000003"/>
    <n v="3.0000800000000001"/>
    <n v="19151952"/>
    <s v="1210 1969472 354054 5477406"/>
    <s v="675 1960154 352745 5476986"/>
    <m/>
    <n v="43732"/>
    <n v="8628692860821"/>
    <n v="155013957645"/>
    <n v="6147795363682"/>
    <n v="116924536422"/>
    <n v="362727819202"/>
    <n v="32212273512"/>
    <n v="3035204173"/>
    <n v="0"/>
    <n v="337240521"/>
    <n v="3035204173"/>
    <n v="3372444694"/>
    <n v="50586736"/>
    <n v="0"/>
    <n v="5620675"/>
    <n v="50586736"/>
    <n v="56207411"/>
    <n v="11.436500000000001"/>
    <n v="2.4230399999999999"/>
    <n v="7029.21"/>
    <n v="1009.01"/>
    <n v="3750"/>
    <n v="316"/>
    <n v="59.921478200145835"/>
    <n v="47.32412465599306"/>
    <n v="675"/>
    <n v="1960154"/>
    <n v="352745"/>
    <n v="5476986"/>
    <n v="0"/>
    <n v="0"/>
    <x v="4"/>
    <x v="16"/>
  </r>
  <r>
    <s v="istree_exp6_rebuilding_time/step10325.txt"/>
    <x v="1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0038018942"/>
    <n v="999885"/>
    <n v="1000038018942"/>
    <n v="999885"/>
    <s v="success"/>
    <n v="6"/>
    <n v="54567"/>
    <n v="1075798"/>
    <n v="1130365"/>
    <n v="999885"/>
    <n v="20.715199999999999"/>
    <n v="0.92943600000000004"/>
    <n v="3.04501"/>
    <n v="21598688"/>
    <s v="1417 1941908 940915 7747584"/>
    <s v="826 1929803 937524 7746931"/>
    <m/>
    <n v="37124"/>
    <n v="11372856659226"/>
    <n v="200678330705"/>
    <n v="7936019024141"/>
    <n v="123560064882"/>
    <n v="827746787048"/>
    <n v="33467470668"/>
    <n v="3715497770"/>
    <n v="0"/>
    <n v="412848521"/>
    <n v="3715497770"/>
    <n v="4128346291"/>
    <n v="61924962"/>
    <n v="0"/>
    <n v="6880808"/>
    <n v="61924962"/>
    <n v="68805771"/>
    <n v="11.542199999999999"/>
    <n v="2.7707199999999998"/>
    <n v="7496.81"/>
    <n v="1130.44"/>
    <n v="3223"/>
    <n v="315"/>
    <n v="59.857140311715789"/>
    <n v="48.007745670757899"/>
    <n v="826"/>
    <n v="1929803"/>
    <n v="937524"/>
    <n v="7746931"/>
    <n v="0"/>
    <n v="0"/>
    <x v="4"/>
    <x v="16"/>
  </r>
  <r>
    <s v="istree_exp6_rebuilding_time/step10326.txt"/>
    <x v="1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72482028463"/>
    <n v="9997019"/>
    <n v="99972482028463"/>
    <n v="9997019"/>
    <s v="success"/>
    <n v="7"/>
    <n v="1625274"/>
    <n v="11438900"/>
    <n v="13064174"/>
    <n v="9997019"/>
    <n v="8.0381400000000003"/>
    <n v="0.87394899999999998"/>
    <n v="4"/>
    <n v="313044304"/>
    <s v="28 67168 1923544 17554685 58495"/>
    <s v="24 67096 1923501 17554645 58495"/>
    <m/>
    <n v="427010"/>
    <n v="1442973092585"/>
    <n v="31809302763"/>
    <n v="472673195454"/>
    <n v="37313016484"/>
    <n v="23906600642"/>
    <n v="11660064025"/>
    <n v="1079810382"/>
    <n v="0"/>
    <n v="119971029"/>
    <n v="1079810382"/>
    <n v="1199781411"/>
    <n v="17996839"/>
    <n v="0"/>
    <n v="1999517"/>
    <n v="17996839"/>
    <n v="19996356"/>
    <n v="17.989799999999999"/>
    <n v="7.1730299999999998"/>
    <n v="3344.06"/>
    <n v="1434.41"/>
    <n v="3441"/>
    <n v="155"/>
    <n v="60.123878857708327"/>
    <n v="24.056757473666668"/>
    <n v="24"/>
    <n v="67096"/>
    <n v="1923501"/>
    <n v="17554645"/>
    <n v="58495"/>
    <n v="0"/>
    <x v="5"/>
    <x v="17"/>
  </r>
  <r>
    <s v="istree_exp6_rebuilding_time/step10327.txt"/>
    <x v="1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0456893940"/>
    <n v="9999499"/>
    <n v="99990456893940"/>
    <n v="9999499"/>
    <s v="success"/>
    <n v="7"/>
    <n v="1709306"/>
    <n v="11618384"/>
    <n v="13327690"/>
    <n v="9999499"/>
    <n v="7.7971399999999997"/>
    <n v="0.86066200000000004"/>
    <n v="4.0173899999999998"/>
    <n v="322642032"/>
    <s v="39 96126 2105715 22033658 72062"/>
    <s v="30 96082 2105596 22033572 72062"/>
    <m/>
    <n v="136150"/>
    <n v="2873123913757"/>
    <n v="52891520447"/>
    <n v="1398067268272"/>
    <n v="66312470544"/>
    <n v="62138330827"/>
    <n v="20613177146"/>
    <n v="1393931580"/>
    <n v="0"/>
    <n v="154877488"/>
    <n v="1393931580"/>
    <n v="1548809068"/>
    <n v="23232193"/>
    <n v="0"/>
    <n v="2581291"/>
    <n v="23232193"/>
    <n v="25813484"/>
    <n v="18.1343"/>
    <n v="7.3234000000000004"/>
    <n v="5147.0600000000004"/>
    <n v="1757.62"/>
    <n v="3847"/>
    <n v="164"/>
    <n v="59.856748203270833"/>
    <n v="33.333807650749996"/>
    <n v="30"/>
    <n v="96082"/>
    <n v="2105596"/>
    <n v="22033572"/>
    <n v="72062"/>
    <n v="0"/>
    <x v="5"/>
    <x v="17"/>
  </r>
  <r>
    <s v="istree_exp6_rebuilding_time/step10328.txt"/>
    <x v="1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17414332991"/>
    <n v="10001013"/>
    <n v="100017414332991"/>
    <n v="10001013"/>
    <s v="success"/>
    <n v="7"/>
    <n v="1625801"/>
    <n v="11443389"/>
    <n v="13069190"/>
    <n v="10001013"/>
    <n v="8.0386199999999999"/>
    <n v="0.87395599999999996"/>
    <n v="4"/>
    <n v="313158288"/>
    <s v="57 116996 1706310 25353536 74766"/>
    <s v="37 116982 1706127 25353329 74766"/>
    <m/>
    <n v="48492"/>
    <n v="5818533463767"/>
    <n v="63883051600"/>
    <n v="3716664551480"/>
    <n v="80515426675"/>
    <n v="440919691820"/>
    <n v="25165361127"/>
    <n v="1665155323"/>
    <n v="0"/>
    <n v="185015747"/>
    <n v="1665155323"/>
    <n v="1850171070"/>
    <n v="27752588"/>
    <n v="0"/>
    <n v="3083595"/>
    <n v="27752588"/>
    <n v="30836184"/>
    <n v="18.290500000000002"/>
    <n v="7.6856499999999999"/>
    <n v="8252.9699999999993"/>
    <n v="1648.08"/>
    <n v="4419"/>
    <n v="337"/>
    <n v="60.609723580906255"/>
    <n v="45.074459194812498"/>
    <n v="37"/>
    <n v="116982"/>
    <n v="1706127"/>
    <n v="25353329"/>
    <n v="74766"/>
    <n v="0"/>
    <x v="5"/>
    <x v="17"/>
  </r>
  <r>
    <s v="istree_exp6_rebuilding_time/step10329.txt"/>
    <x v="1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99996959081729"/>
    <n v="10000245"/>
    <n v="99996959081729"/>
    <n v="10000245"/>
    <s v="success"/>
    <n v="7"/>
    <n v="1625820"/>
    <n v="11442646"/>
    <n v="13068466"/>
    <n v="10000245"/>
    <n v="8.0380800000000008"/>
    <n v="0.87394499999999997"/>
    <n v="4.0000099999999996"/>
    <n v="313147920"/>
    <s v="54 110710 926266 23416672 58327"/>
    <s v="35 110703 926116 23416364 58326"/>
    <m/>
    <n v="27496"/>
    <n v="8729126374480"/>
    <n v="60307435236"/>
    <n v="6036122281252"/>
    <n v="78361685595"/>
    <n v="1106057561663"/>
    <n v="25305086331"/>
    <n v="1574935423"/>
    <n v="0"/>
    <n v="174990738"/>
    <n v="1574935423"/>
    <n v="1749926161"/>
    <n v="26248923"/>
    <n v="0"/>
    <n v="2916512"/>
    <n v="26248923"/>
    <n v="29165436"/>
    <n v="18.3718"/>
    <n v="7.9719899999999999"/>
    <n v="12249.9"/>
    <n v="1621.33"/>
    <n v="4762"/>
    <n v="403"/>
    <n v="60.618933156111112"/>
    <n v="50.737180903312499"/>
    <n v="35"/>
    <n v="110703"/>
    <n v="926116"/>
    <n v="23416364"/>
    <n v="58326"/>
    <n v="0"/>
    <x v="5"/>
    <x v="17"/>
  </r>
  <r>
    <s v="istree_exp6_rebuilding_time/step10330.txt"/>
    <x v="1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93990938700"/>
    <n v="10000161"/>
    <n v="99993990938700"/>
    <n v="10000161"/>
    <s v="success"/>
    <n v="7"/>
    <n v="1764706"/>
    <n v="11738493"/>
    <n v="13503199"/>
    <n v="10000161"/>
    <n v="7.6518100000000002"/>
    <n v="0.851912"/>
    <n v="4.0279699999999998"/>
    <n v="329009872"/>
    <s v="57 115881 984013 24625613 62004"/>
    <s v="36 115875 983785 24625205 62003"/>
    <m/>
    <n v="20846"/>
    <n v="11382093239191"/>
    <n v="64365181836"/>
    <n v="7884859347336"/>
    <n v="82601599136"/>
    <n v="1816183424410"/>
    <n v="25675532572"/>
    <n v="1653724733"/>
    <n v="0"/>
    <n v="183732989"/>
    <n v="1653724733"/>
    <n v="1837457722"/>
    <n v="27562078"/>
    <n v="0"/>
    <n v="3062216"/>
    <n v="27562078"/>
    <n v="30624295"/>
    <n v="18.473800000000001"/>
    <n v="8.1802200000000003"/>
    <n v="14574.9"/>
    <n v="1647.38"/>
    <n v="5210"/>
    <n v="412"/>
    <n v="59.905753890478941"/>
    <n v="51.966763606789478"/>
    <n v="36"/>
    <n v="115875"/>
    <n v="983785"/>
    <n v="24625205"/>
    <n v="62003"/>
    <n v="0"/>
    <x v="5"/>
    <x v="17"/>
  </r>
  <r>
    <s v="istree_exp6_rebuilding_time/step10331.txt"/>
    <x v="1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17751961716E+16"/>
    <n v="100008769"/>
    <n v="1.00017751961716E+16"/>
    <n v="100008769"/>
    <s v="success"/>
    <n v="7"/>
    <n v="11011105"/>
    <n v="110009778"/>
    <n v="121020883"/>
    <n v="100008769"/>
    <n v="10.9908"/>
    <n v="0.90908999999999995"/>
    <n v="4"/>
    <n v="2641044832"/>
    <s v="2 12730 994665 8433984 1385881"/>
    <s v="2 12717 994664 8433983 1385881"/>
    <m/>
    <n v="365128"/>
    <n v="1470719624682"/>
    <n v="24270497486"/>
    <n v="445117489563"/>
    <n v="31670485879"/>
    <n v="29518836705"/>
    <n v="10162447317"/>
    <n v="900091551"/>
    <n v="0"/>
    <n v="99994507"/>
    <n v="900091551"/>
    <n v="1000086058"/>
    <n v="15001525"/>
    <n v="0"/>
    <n v="1666575"/>
    <n v="15001525"/>
    <n v="16668100"/>
    <n v="21.052700000000002"/>
    <n v="9.5846099999999996"/>
    <n v="4020.43"/>
    <n v="2034.86"/>
    <n v="9840"/>
    <n v="1566"/>
    <n v="61.279984361749996"/>
    <n v="22.530823206250002"/>
    <n v="2"/>
    <n v="12717"/>
    <n v="994664"/>
    <n v="8433983"/>
    <n v="1385881"/>
    <n v="0"/>
    <x v="6"/>
    <x v="18"/>
  </r>
  <r>
    <s v="istree_exp6_rebuilding_time/step10332.txt"/>
    <x v="1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467248598830"/>
    <n v="99999123"/>
    <n v="9999467248598830"/>
    <n v="99999123"/>
    <s v="success"/>
    <n v="7"/>
    <n v="11010017"/>
    <n v="109999150"/>
    <n v="121009167"/>
    <n v="99999123"/>
    <n v="10.9908"/>
    <n v="0.90908999999999995"/>
    <n v="4"/>
    <n v="2640787744"/>
    <s v="3 25791 1409833 12480770 2055148"/>
    <s v="3 25768 1409824 12480763 2055148"/>
    <m/>
    <n v="136406"/>
    <n v="3330725409764"/>
    <n v="57251020186"/>
    <n v="1401921992409"/>
    <n v="70046280403"/>
    <n v="185509133197"/>
    <n v="20986087813"/>
    <n v="1349774618"/>
    <n v="0"/>
    <n v="149991738"/>
    <n v="1349774618"/>
    <n v="1499766356"/>
    <n v="22496243"/>
    <n v="0"/>
    <n v="2499862"/>
    <n v="22496243"/>
    <n v="24996105"/>
    <n v="21.620699999999999"/>
    <n v="9.8429500000000001"/>
    <n v="5926.03"/>
    <n v="2388.1"/>
    <n v="13302"/>
    <n v="1307"/>
    <n v="69.390112703416662"/>
    <n v="36.160719041833332"/>
    <n v="3"/>
    <n v="25768"/>
    <n v="1409824"/>
    <n v="12480763"/>
    <n v="2055148"/>
    <n v="0"/>
    <x v="6"/>
    <x v="18"/>
  </r>
  <r>
    <s v="istree_exp6_rebuilding_time/step10333.txt"/>
    <x v="1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515689317330"/>
    <n v="99992622"/>
    <n v="9999515689317330"/>
    <n v="99992622"/>
    <s v="success"/>
    <n v="7"/>
    <n v="14659314"/>
    <n v="117582508"/>
    <n v="132241822"/>
    <n v="99992622"/>
    <n v="9.0210100000000004"/>
    <n v="0.85040400000000005"/>
    <n v="4.0760399999999999"/>
    <n v="3057495920"/>
    <s v="3 29745 1185675 13235250 2330061"/>
    <s v="3 29736 1185658 13235236 2330061"/>
    <m/>
    <n v="49698"/>
    <n v="5767033699276"/>
    <n v="59023751692"/>
    <n v="2644652587111"/>
    <n v="72269126272"/>
    <n v="1140840197283"/>
    <n v="20508481087"/>
    <n v="1562896307"/>
    <n v="0"/>
    <n v="173653517"/>
    <n v="1562896307"/>
    <n v="1736549824"/>
    <n v="26048271"/>
    <n v="0"/>
    <n v="2894225"/>
    <n v="26048271"/>
    <n v="28942497"/>
    <n v="21.798100000000002"/>
    <n v="10.4693"/>
    <n v="7593.51"/>
    <n v="2271.92"/>
    <n v="14122"/>
    <n v="1059"/>
    <n v="60.073267700791668"/>
    <n v="41.013480660885413"/>
    <n v="3"/>
    <n v="29736"/>
    <n v="1185658"/>
    <n v="13235236"/>
    <n v="2330061"/>
    <n v="0"/>
    <x v="6"/>
    <x v="18"/>
  </r>
  <r>
    <s v="istree_exp6_rebuilding_time/step10334.txt"/>
    <x v="1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4085328754E+16"/>
    <n v="100005359"/>
    <n v="1.00004085328754E+16"/>
    <n v="100005359"/>
    <s v="success"/>
    <n v="7"/>
    <n v="13055553"/>
    <n v="114205186"/>
    <n v="127260739"/>
    <n v="100005359"/>
    <n v="9.7476299999999991"/>
    <n v="0.875664"/>
    <n v="4.0401899999999999"/>
    <n v="2873790800"/>
    <s v="3 34428 1376223 15515557 2637585"/>
    <s v="3 34428 1376201 15515524 2637582"/>
    <m/>
    <n v="33792"/>
    <n v="8652332439964"/>
    <n v="66877954365"/>
    <n v="3963913886924"/>
    <n v="90650830797"/>
    <n v="2405513996590"/>
    <n v="22732105793"/>
    <n v="1758311962"/>
    <n v="0"/>
    <n v="195346127"/>
    <n v="1758311962"/>
    <n v="1953658089"/>
    <n v="29305199"/>
    <n v="0"/>
    <n v="3255768"/>
    <n v="29305199"/>
    <n v="32560968"/>
    <n v="21.912800000000001"/>
    <n v="10.7827"/>
    <n v="9300.93"/>
    <n v="2306.85"/>
    <n v="16855"/>
    <n v="1248"/>
    <n v="60.08564194419445"/>
    <n v="45.483949822701391"/>
    <n v="3"/>
    <n v="34428"/>
    <n v="1376201"/>
    <n v="15515524"/>
    <n v="2637582"/>
    <n v="0"/>
    <x v="6"/>
    <x v="18"/>
  </r>
  <r>
    <s v="istree_exp6_rebuilding_time/step10335.txt"/>
    <x v="1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1.00008769842667E+16"/>
    <n v="100010399"/>
    <n v="1.00008769842667E+16"/>
    <n v="100010399"/>
    <s v="success"/>
    <n v="7"/>
    <n v="12548295"/>
    <n v="113141556"/>
    <n v="125689851"/>
    <n v="100010399"/>
    <n v="10.016500000000001"/>
    <n v="0.88393999999999995"/>
    <n v="4.0298600000000002"/>
    <n v="2815556192"/>
    <s v="3 36152 1363909 15491727 2637848"/>
    <s v="3 36151 1363880 15491701 2637846"/>
    <m/>
    <n v="26402"/>
    <n v="11440173734544"/>
    <n v="69568248679"/>
    <n v="5277624826489"/>
    <n v="87277664523"/>
    <n v="3859510976435"/>
    <n v="22909262091"/>
    <n v="1761928923"/>
    <n v="0"/>
    <n v="195788557"/>
    <n v="1761928923"/>
    <n v="1957717480"/>
    <n v="29365482"/>
    <n v="0"/>
    <n v="3263142"/>
    <n v="29365482"/>
    <n v="32628624"/>
    <n v="22.07"/>
    <n v="11.0054"/>
    <n v="11278.4"/>
    <n v="2335.3200000000002"/>
    <n v="15404"/>
    <n v="1104"/>
    <n v="60.211440708126311"/>
    <n v="49.036268306405262"/>
    <n v="3"/>
    <n v="36151"/>
    <n v="1363880"/>
    <n v="15491701"/>
    <n v="2637846"/>
    <n v="0"/>
    <x v="6"/>
    <x v="18"/>
  </r>
  <r>
    <s v="istree_exp6_rebuilding_time/step10336.txt"/>
    <x v="1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8913568521101E+17"/>
    <n v="999998702"/>
    <n v="9.9998913568521101E+17"/>
    <n v="999998702"/>
    <s v="success"/>
    <n v="7"/>
    <n v="107459792"/>
    <n v="1125494989"/>
    <n v="1232954781"/>
    <n v="999998702"/>
    <n v="11.473599999999999"/>
    <n v="0.88849699999999998"/>
    <n v="4.0474500000000004"/>
    <n v="26620506464"/>
    <s v="0 0 0 1023748 1105778"/>
    <s v="0 0 0 1023748 1105778"/>
    <m/>
    <n v="388828"/>
    <n v="1436559113759"/>
    <n v="875135690"/>
    <m/>
    <n v="1764366261"/>
    <n v="2212357454"/>
    <n v="241846640"/>
    <n v="946507790"/>
    <n v="0"/>
    <n v="105176088"/>
    <n v="946507790"/>
    <n v="1051683878"/>
    <n v="15775129"/>
    <n v="0"/>
    <n v="1752934"/>
    <n v="15775129"/>
    <n v="17528064"/>
    <n v="22.952000000000002"/>
    <n v="13.4697"/>
    <n v="3810.88"/>
    <n v="3044.6"/>
    <n v="61806"/>
    <n v="16083"/>
    <n v="59.856629739958329"/>
    <n v="0.21223775187500002"/>
    <n v="0"/>
    <n v="0"/>
    <n v="0"/>
    <n v="1023748"/>
    <n v="1105778"/>
    <n v="0"/>
    <x v="7"/>
    <x v="19"/>
  </r>
  <r>
    <s v="istree_exp6_rebuilding_time/step10337.txt"/>
    <x v="1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452013759E+18"/>
    <n v="1000015774"/>
    <n v="1.00001452013759E+18"/>
    <n v="1000015774"/>
    <s v="success"/>
    <n v="7"/>
    <n v="119354497"/>
    <n v="1150602360"/>
    <n v="1269956857"/>
    <n v="1000015774"/>
    <n v="10.6402"/>
    <n v="0.86912400000000001"/>
    <n v="4.0731099999999998"/>
    <n v="27994560064"/>
    <s v="0 0 1 4891645 2899318"/>
    <s v="0 0 1 4891644 2899318"/>
    <m/>
    <n v="171536"/>
    <n v="2873118960933"/>
    <n v="5145536496"/>
    <m/>
    <n v="9190457896"/>
    <n v="9217216696"/>
    <n v="1746210914"/>
    <n v="1698818247"/>
    <n v="0"/>
    <n v="188767118"/>
    <n v="1698818247"/>
    <n v="1887585365"/>
    <n v="28313637"/>
    <n v="0"/>
    <n v="3146118"/>
    <n v="28313637"/>
    <n v="31459756"/>
    <n v="23.132400000000001"/>
    <n v="13.6997"/>
    <n v="4245.16"/>
    <n v="3534.62"/>
    <n v="63668"/>
    <n v="12442"/>
    <n v="59.856645019437501"/>
    <n v="0.52707129170833333"/>
    <n v="0"/>
    <n v="0"/>
    <n v="1"/>
    <n v="4891644"/>
    <n v="2899318"/>
    <n v="0"/>
    <x v="7"/>
    <x v="19"/>
  </r>
  <r>
    <s v="istree_exp6_rebuilding_time/step10338.txt"/>
    <x v="1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9648939111603E+17"/>
    <n v="999994784"/>
    <n v="9.9999648939111603E+17"/>
    <n v="999994784"/>
    <s v="success"/>
    <n v="7"/>
    <n v="126255255"/>
    <n v="1167309990"/>
    <n v="1293565245"/>
    <n v="999994784"/>
    <n v="10.2456"/>
    <n v="0.85666600000000004"/>
    <n v="4.0892999999999997"/>
    <n v="28841750768"/>
    <s v="0 0 455920 25846840 7895178"/>
    <s v="0 0 455919 25846837 7895176"/>
    <m/>
    <n v="90430"/>
    <n v="5746252953244"/>
    <n v="32323118141"/>
    <n v="334383"/>
    <n v="45930721204"/>
    <n v="41376671181"/>
    <n v="10957616611"/>
    <n v="3603555867"/>
    <n v="0"/>
    <n v="400395121"/>
    <n v="3603555867"/>
    <n v="4003950988"/>
    <n v="60059264"/>
    <n v="0"/>
    <n v="6673252"/>
    <n v="60059264"/>
    <n v="66732516"/>
    <n v="23.614100000000001"/>
    <n v="14.6919"/>
    <n v="3999.76"/>
    <n v="3234.5"/>
    <n v="66650"/>
    <n v="9961"/>
    <n v="59.856801596291668"/>
    <n v="1.3602964741666668"/>
    <n v="0"/>
    <n v="0"/>
    <n v="455919"/>
    <n v="25846837"/>
    <n v="7895176"/>
    <n v="0"/>
    <x v="7"/>
    <x v="19"/>
  </r>
  <r>
    <s v="istree_exp6_rebuilding_time/step10340.txt"/>
    <x v="1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9612179411994E+17"/>
    <n v="999979799"/>
    <n v="9.9999612179411994E+17"/>
    <n v="999979799"/>
    <s v="success"/>
    <n v="7"/>
    <n v="84465084"/>
    <n v="1078784410"/>
    <n v="1163249494"/>
    <n v="999979799"/>
    <n v="13.772"/>
    <n v="0.92695099999999997"/>
    <n v="4"/>
    <n v="24017757264"/>
    <s v="1 31599 2148497 33458648 9430975"/>
    <s v="1 31597 2148485 33458637 9430974"/>
    <m/>
    <n v="28372"/>
    <n v="20421656735146"/>
    <n v="239134257200"/>
    <n v="12482269974555"/>
    <n v="235078347819"/>
    <n v="154628392722"/>
    <n v="87439823002"/>
    <n v="4500707811"/>
    <n v="0"/>
    <n v="500016368"/>
    <n v="4500707811"/>
    <n v="5000724179"/>
    <n v="75011796"/>
    <n v="0"/>
    <n v="8333606"/>
    <n v="75011796"/>
    <n v="83345402"/>
    <n v="25.139800000000001"/>
    <n v="15.9772"/>
    <n v="11364.7"/>
    <n v="3534.39"/>
    <n v="121577"/>
    <n v="8918"/>
    <n v="107.48240386918947"/>
    <n v="69.466056817357895"/>
    <n v="1"/>
    <n v="31597"/>
    <n v="2148485"/>
    <n v="33458637"/>
    <n v="9430974"/>
    <n v="0"/>
    <x v="7"/>
    <x v="19"/>
  </r>
  <r>
    <s v="istree_exp6_rebuilding_time/step10341.txt"/>
    <x v="1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998768154418"/>
    <n v="998696"/>
    <n v="998768154418"/>
    <n v="998696"/>
    <s v="success"/>
    <n v="6"/>
    <n v="33008"/>
    <n v="1030711"/>
    <n v="1063719"/>
    <n v="998696"/>
    <n v="32.226100000000002"/>
    <n v="0.96893899999999999"/>
    <n v="3.0000100000000001"/>
    <n v="19132000"/>
    <s v="1960 905558 13007425 14557168"/>
    <s v="1007 901919 13003798 14556802"/>
    <m/>
    <n v="513328"/>
    <n v="1437029230951"/>
    <n v="45507778395"/>
    <n v="751596282692"/>
    <n v="51219998608"/>
    <n v="18129123452"/>
    <n v="22367271814"/>
    <n v="755171992"/>
    <n v="0"/>
    <n v="503457555"/>
    <n v="755171992"/>
    <n v="1258629547"/>
    <n v="12586199"/>
    <n v="0"/>
    <n v="8390959"/>
    <n v="12586199"/>
    <n v="20977159"/>
    <n v="14.850199999999999"/>
    <n v="1.2215"/>
    <n v="3175.65"/>
    <n v="586.58799999999997"/>
    <n v="1774"/>
    <n v="27"/>
    <n v="59.876217956291669"/>
    <n v="37.034185623375002"/>
    <n v="1007"/>
    <n v="901919"/>
    <n v="13003798"/>
    <n v="14556802"/>
    <n v="0"/>
    <n v="0"/>
    <x v="8"/>
    <x v="20"/>
  </r>
  <r>
    <s v="istree_exp6_rebuilding_time/step10342.txt"/>
    <x v="1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0387834536"/>
    <n v="1000365"/>
    <n v="1000387834536"/>
    <n v="1000365"/>
    <s v="success"/>
    <n v="6"/>
    <n v="33043"/>
    <n v="1032415"/>
    <n v="1065458"/>
    <n v="1000365"/>
    <n v="32.244599999999998"/>
    <n v="0.96895600000000004"/>
    <n v="3.0000200000000001"/>
    <n v="19162064"/>
    <s v="2343 896691 8506610 12348494"/>
    <s v="908 894557 8500383 12347902"/>
    <m/>
    <n v="120368"/>
    <n v="2874956575409"/>
    <n v="70160367116"/>
    <n v="2043260068005"/>
    <n v="70628127735"/>
    <n v="30386296508"/>
    <n v="30917796703"/>
    <n v="680859247"/>
    <n v="0"/>
    <n v="453942365"/>
    <n v="680859247"/>
    <n v="1134801612"/>
    <n v="11347654"/>
    <n v="0"/>
    <n v="7565706"/>
    <n v="11347654"/>
    <n v="18913360"/>
    <n v="14.9092"/>
    <n v="1.63018"/>
    <n v="7050.58"/>
    <n v="980.99400000000003"/>
    <n v="2161"/>
    <n v="69"/>
    <n v="59.894928654354167"/>
    <n v="46.778180334729171"/>
    <n v="908"/>
    <n v="894557"/>
    <n v="8500383"/>
    <n v="12347902"/>
    <n v="0"/>
    <n v="0"/>
    <x v="8"/>
    <x v="20"/>
  </r>
  <r>
    <s v="istree_exp6_rebuilding_time/step10343.txt"/>
    <x v="1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768349783"/>
    <n v="999994"/>
    <n v="999768349783"/>
    <n v="999994"/>
    <s v="success"/>
    <n v="6"/>
    <n v="33029"/>
    <n v="1032041"/>
    <n v="1065070"/>
    <n v="999994"/>
    <n v="32.246499999999997"/>
    <n v="0.96894800000000003"/>
    <n v="3.0000499999999999"/>
    <n v="19154960"/>
    <s v="1810 1195014 2072036 8784972"/>
    <s v="761 1183563 2066397 8784205"/>
    <m/>
    <n v="33400"/>
    <n v="5748740112298"/>
    <n v="134226529519"/>
    <n v="4409275615505"/>
    <n v="91510377410"/>
    <n v="308993101494"/>
    <n v="28429719177"/>
    <n v="570440345"/>
    <n v="0"/>
    <n v="380288959"/>
    <n v="570440345"/>
    <n v="950729304"/>
    <n v="9507339"/>
    <n v="0"/>
    <n v="6338149"/>
    <n v="9507339"/>
    <n v="15845488"/>
    <n v="17.239599999999999"/>
    <n v="5.5125999999999999"/>
    <n v="16592.900000000001"/>
    <n v="2195.4"/>
    <n v="2986"/>
    <n v="112"/>
    <n v="59.882709503104167"/>
    <n v="51.796201490677085"/>
    <n v="761"/>
    <n v="1183563"/>
    <n v="2066397"/>
    <n v="8784205"/>
    <n v="0"/>
    <n v="0"/>
    <x v="8"/>
    <x v="20"/>
  </r>
  <r>
    <s v="istree_exp6_rebuilding_time/step10344.txt"/>
    <x v="1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0648108663"/>
    <n v="1000986"/>
    <n v="1000648108663"/>
    <n v="1000986"/>
    <s v="success"/>
    <n v="6"/>
    <n v="51409"/>
    <n v="1070191"/>
    <n v="1121600"/>
    <n v="1000986"/>
    <n v="21.8172"/>
    <n v="0.935334"/>
    <n v="3.0381300000000002"/>
    <n v="21251184"/>
    <s v="1678 2059222 369382 5722950"/>
    <s v="705 2043356 367318 5722204"/>
    <m/>
    <n v="16328"/>
    <n v="8619419416614"/>
    <n v="190377259692"/>
    <n v="6700334850609"/>
    <n v="125355014112"/>
    <n v="746233766903"/>
    <n v="32642574124"/>
    <n v="528933474"/>
    <n v="0"/>
    <n v="352580531"/>
    <n v="528933474"/>
    <n v="881514005"/>
    <n v="8815557"/>
    <n v="0"/>
    <n v="5876342"/>
    <n v="8815557"/>
    <n v="14691900"/>
    <n v="20.734100000000002"/>
    <n v="8.8296200000000002"/>
    <n v="26137.5"/>
    <n v="2930.73"/>
    <n v="3699"/>
    <n v="206"/>
    <n v="59.857079282041667"/>
    <n v="54.131551843333334"/>
    <n v="705"/>
    <n v="2043356"/>
    <n v="367318"/>
    <n v="5722204"/>
    <n v="0"/>
    <n v="0"/>
    <x v="8"/>
    <x v="20"/>
  </r>
  <r>
    <s v="istree_exp6_rebuilding_time/step10345.txt"/>
    <x v="1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1000351767455"/>
    <n v="1001169"/>
    <n v="1000351767455"/>
    <n v="1001169"/>
    <s v="success"/>
    <n v="6"/>
    <n v="33094"/>
    <n v="1033302"/>
    <n v="1066396"/>
    <n v="1001169"/>
    <n v="32.223199999999999"/>
    <n v="0.96890299999999996"/>
    <n v="3.0001199999999999"/>
    <n v="19180336"/>
    <s v="1337 1666001 808868 6645371"/>
    <s v="709 1655300 804366 6644438"/>
    <m/>
    <n v="10646"/>
    <n v="11380121563042"/>
    <n v="201515945627"/>
    <n v="9029738412588"/>
    <n v="119145222939"/>
    <n v="1091895690962"/>
    <n v="29559373308"/>
    <n v="531128155"/>
    <n v="0"/>
    <n v="354079872"/>
    <n v="531128155"/>
    <n v="885208027"/>
    <n v="8852135"/>
    <n v="0"/>
    <n v="5901331"/>
    <n v="8852135"/>
    <n v="14753467"/>
    <n v="20.83"/>
    <n v="9.6503099999999993"/>
    <n v="34268.5"/>
    <n v="3458.48"/>
    <n v="4054"/>
    <n v="313"/>
    <n v="59.895376647589472"/>
    <n v="55.1150244496"/>
    <n v="709"/>
    <n v="1655300"/>
    <n v="804366"/>
    <n v="6644438"/>
    <n v="0"/>
    <n v="0"/>
    <x v="8"/>
    <x v="20"/>
  </r>
  <r>
    <s v="istree_exp6_rebuilding_time/step10346.txt"/>
    <x v="1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6877319236"/>
    <n v="10000007"/>
    <n v="99976877319236"/>
    <n v="10000007"/>
    <s v="success"/>
    <n v="7"/>
    <n v="1782466"/>
    <n v="11785286"/>
    <n v="13567752"/>
    <n v="10000007"/>
    <n v="7.6117900000000001"/>
    <n v="0.84851600000000005"/>
    <n v="4.0295199999999998"/>
    <n v="331191168"/>
    <s v="69 118749 3441437 31437160 106413"/>
    <s v="42 118517 3441265 31437019 106413"/>
    <m/>
    <n v="207300"/>
    <n v="1436562186566"/>
    <n v="54033680487"/>
    <n v="798449746697"/>
    <n v="63001642251"/>
    <n v="56938259703"/>
    <n v="20007833694"/>
    <n v="322016108"/>
    <n v="0"/>
    <n v="214681628"/>
    <n v="322016108"/>
    <n v="536697736"/>
    <n v="5366935"/>
    <n v="0"/>
    <n v="3578027"/>
    <n v="5366935"/>
    <n v="8944962"/>
    <n v="24.246400000000001"/>
    <n v="10.4855"/>
    <n v="7388.92"/>
    <n v="1937.2"/>
    <n v="3953"/>
    <n v="157"/>
    <n v="59.856757773583332"/>
    <n v="41.351298451333335"/>
    <n v="42"/>
    <n v="118517"/>
    <n v="3441265"/>
    <n v="31437019"/>
    <n v="106413"/>
    <n v="0"/>
    <x v="9"/>
    <x v="21"/>
  </r>
  <r>
    <s v="istree_exp6_rebuilding_time/step10347.txt"/>
    <x v="1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93257482503"/>
    <n v="9997812"/>
    <n v="99993257482503"/>
    <n v="9997812"/>
    <s v="success"/>
    <n v="7"/>
    <n v="1625283"/>
    <n v="11439712"/>
    <n v="13064995"/>
    <n v="9997812"/>
    <n v="8.0386000000000006"/>
    <n v="0.87395699999999998"/>
    <n v="4"/>
    <n v="313058016"/>
    <s v="96 133574 2921572 30572177 100201"/>
    <s v="43 133408 2921229 30571812 100198"/>
    <m/>
    <n v="55960"/>
    <n v="2914120836038"/>
    <n v="70834923681"/>
    <n v="2046555971993"/>
    <n v="88454912967"/>
    <n v="151625260204"/>
    <n v="27354624450"/>
    <n v="322466778"/>
    <n v="0"/>
    <n v="214975762"/>
    <n v="322466778"/>
    <n v="537442540"/>
    <n v="5374446"/>
    <n v="0"/>
    <n v="3582929"/>
    <n v="5374446"/>
    <n v="8957375"/>
    <n v="24.872199999999999"/>
    <n v="11.045400000000001"/>
    <n v="14748.4"/>
    <n v="2494.5100000000002"/>
    <n v="4357"/>
    <n v="170"/>
    <n v="60.710850750791671"/>
    <n v="49.683868610312494"/>
    <n v="43"/>
    <n v="133408"/>
    <n v="2921229"/>
    <n v="30571812"/>
    <n v="100198"/>
    <n v="0"/>
    <x v="9"/>
    <x v="21"/>
  </r>
  <r>
    <s v="istree_exp6_rebuilding_time/step10348.txt"/>
    <x v="1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43308802380"/>
    <n v="9995814"/>
    <n v="99943308802380"/>
    <n v="9995814"/>
    <s v="success"/>
    <n v="7"/>
    <n v="1625298"/>
    <n v="11437733"/>
    <n v="13063031"/>
    <n v="9995814"/>
    <n v="8.0373099999999997"/>
    <n v="0.87393299999999996"/>
    <n v="4.0000099999999996"/>
    <n v="313027552"/>
    <s v="104 120156 1753665 26033045 76324"/>
    <s v="38 120138 1753419 26032587 76320"/>
    <m/>
    <n v="25824"/>
    <n v="5759021053889"/>
    <n v="63937595310"/>
    <n v="4057722286473"/>
    <n v="83777805217"/>
    <n v="1015097484331"/>
    <n v="26017410185"/>
    <n v="284988532"/>
    <n v="0"/>
    <n v="189981776"/>
    <n v="284988532"/>
    <n v="474970308"/>
    <n v="4749808"/>
    <n v="0"/>
    <n v="3166362"/>
    <n v="4749808"/>
    <n v="7916171"/>
    <n v="25.661899999999999"/>
    <n v="12.571999999999999"/>
    <n v="28490.1"/>
    <n v="2628.57"/>
    <n v="4582"/>
    <n v="237"/>
    <n v="59.989802644677077"/>
    <n v="54.651589390791663"/>
    <n v="38"/>
    <n v="120138"/>
    <n v="1753419"/>
    <n v="26032587"/>
    <n v="76320"/>
    <n v="0"/>
    <x v="9"/>
    <x v="21"/>
  </r>
  <r>
    <s v="istree_exp6_rebuilding_time/step10349.txt"/>
    <x v="1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30197533392"/>
    <n v="10003362"/>
    <n v="100030197533392"/>
    <n v="10003362"/>
    <s v="success"/>
    <n v="7"/>
    <n v="1729283"/>
    <n v="11663911"/>
    <n v="13393194"/>
    <n v="10003362"/>
    <n v="7.7449399999999997"/>
    <n v="0.85763400000000001"/>
    <n v="4.0210900000000001"/>
    <n v="324972608"/>
    <s v="91 116543 979916 24634349 62165"/>
    <s v="36 116534 979674 24633755 62161"/>
    <m/>
    <n v="16172"/>
    <n v="8622631875134"/>
    <n v="59351957453"/>
    <n v="6216475619100"/>
    <n v="79652755370"/>
    <n v="1733326936059"/>
    <n v="25574023862"/>
    <n v="275810415"/>
    <n v="0"/>
    <n v="183859721"/>
    <n v="275810415"/>
    <n v="459670136"/>
    <n v="4596840"/>
    <n v="0"/>
    <n v="3064328"/>
    <n v="4596840"/>
    <n v="7661168"/>
    <n v="25.8293"/>
    <n v="13.133599999999999"/>
    <n v="41953.2"/>
    <n v="2685.24"/>
    <n v="4709"/>
    <n v="302"/>
    <n v="59.879388021763894"/>
    <n v="56.34987008225"/>
    <n v="36"/>
    <n v="116534"/>
    <n v="979674"/>
    <n v="24633755"/>
    <n v="62161"/>
    <n v="0"/>
    <x v="9"/>
    <x v="21"/>
  </r>
  <r>
    <s v="istree_exp6_rebuilding_time/step10350.txt"/>
    <x v="1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07642832237"/>
    <n v="10001612"/>
    <n v="100007642832237"/>
    <n v="10001612"/>
    <s v="success"/>
    <n v="7"/>
    <n v="1625834"/>
    <n v="11444039"/>
    <n v="13069873"/>
    <n v="10001612"/>
    <n v="8.0388699999999993"/>
    <n v="0.87395800000000001"/>
    <n v="4.0000099999999996"/>
    <n v="313171328"/>
    <s v="75 117043 986828 24764339 62153"/>
    <s v="37 117030 986508 24763580 62151"/>
    <m/>
    <n v="11786"/>
    <n v="11390527287042"/>
    <n v="59660833724"/>
    <n v="8255957116920"/>
    <n v="83426201621"/>
    <n v="2444162525088"/>
    <n v="25739357417"/>
    <n v="277524556"/>
    <n v="0"/>
    <n v="185011457"/>
    <n v="277524556"/>
    <n v="462536013"/>
    <n v="4625409"/>
    <n v="0"/>
    <n v="3083524"/>
    <n v="4625409"/>
    <n v="7708933"/>
    <n v="26.171199999999999"/>
    <n v="13.6685"/>
    <n v="53913"/>
    <n v="2809.3"/>
    <n v="5441"/>
    <n v="442"/>
    <n v="59.950143616010521"/>
    <n v="57.204979130368422"/>
    <n v="37"/>
    <n v="117030"/>
    <n v="986508"/>
    <n v="24763580"/>
    <n v="62151"/>
    <n v="0"/>
    <x v="9"/>
    <x v="21"/>
  </r>
  <r>
    <s v="istree_exp6_rebuilding_time/step10351.txt"/>
    <x v="1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33958441650"/>
    <n v="99993636"/>
    <n v="9999533958441650"/>
    <n v="99993636"/>
    <s v="success"/>
    <n v="7"/>
    <n v="14254405"/>
    <n v="116642716"/>
    <n v="130897121"/>
    <n v="99993636"/>
    <n v="9.1829199999999993"/>
    <n v="0.85726400000000003"/>
    <n v="4.0634100000000002"/>
    <n v="3009985040"/>
    <s v="5 19182 1904777 16680944 2741584"/>
    <s v="3 19162 1904760 16680933 2741584"/>
    <m/>
    <n v="193972"/>
    <n v="1436592686141"/>
    <n v="42007613598"/>
    <n v="680622137138"/>
    <n v="53336882220"/>
    <n v="86147221253"/>
    <n v="16629198942"/>
    <n v="295703910"/>
    <n v="0"/>
    <n v="197160067"/>
    <n v="295703910"/>
    <n v="492863977"/>
    <n v="4928398"/>
    <n v="0"/>
    <n v="3286001"/>
    <n v="4928398"/>
    <n v="8214399"/>
    <n v="26.62"/>
    <n v="12.5223"/>
    <n v="7749.28"/>
    <n v="2679.92"/>
    <n v="12749"/>
    <n v="1566"/>
    <n v="59.858028589208338"/>
    <n v="36.614293881291665"/>
    <n v="3"/>
    <n v="19162"/>
    <n v="1904760"/>
    <n v="16680933"/>
    <n v="2741584"/>
    <n v="0"/>
    <x v="10"/>
    <x v="22"/>
  </r>
  <r>
    <s v="istree_exp6_rebuilding_time/step10352.txt"/>
    <x v="1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934722801280"/>
    <n v="100003700"/>
    <n v="9999934722801280"/>
    <n v="100003700"/>
    <s v="success"/>
    <n v="7"/>
    <n v="11011112"/>
    <n v="110004723"/>
    <n v="121015835"/>
    <n v="100003700"/>
    <n v="10.9903"/>
    <n v="0.90908599999999995"/>
    <n v="4"/>
    <n v="2640964512"/>
    <s v="4 34407 1879969 16641241 2741380"/>
    <s v="4 34385 1879936 16641209 2741380"/>
    <m/>
    <n v="54974"/>
    <n v="3225645742984"/>
    <n v="74751128518"/>
    <n v="1978400008420"/>
    <n v="90905274799"/>
    <n v="409842253825"/>
    <n v="27145175490"/>
    <n v="300023152"/>
    <n v="0"/>
    <n v="200017987"/>
    <n v="300023152"/>
    <n v="500041139"/>
    <n v="5000385"/>
    <n v="0"/>
    <n v="3333633"/>
    <n v="5000385"/>
    <n v="8334018"/>
    <n v="29.691199999999998"/>
    <n v="13.643000000000001"/>
    <n v="16453.2"/>
    <n v="3458.04"/>
    <n v="13299"/>
    <n v="1255"/>
    <n v="67.200952978833342"/>
    <n v="53.771746688583335"/>
    <n v="4"/>
    <n v="34385"/>
    <n v="1879936"/>
    <n v="16641209"/>
    <n v="2741380"/>
    <n v="0"/>
    <x v="10"/>
    <x v="22"/>
  </r>
  <r>
    <s v="istree_exp6_rebuilding_time/step10353.txt"/>
    <x v="1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054137309070"/>
    <n v="99999746"/>
    <n v="9999054137309070"/>
    <n v="99999746"/>
    <s v="success"/>
    <n v="7"/>
    <n v="11865668"/>
    <n v="111679552"/>
    <n v="123545220"/>
    <n v="99999746"/>
    <n v="10.412000000000001"/>
    <n v="0.89541700000000002"/>
    <n v="4.0160200000000001"/>
    <n v="2736581568"/>
    <s v="7 38658 1574908 15974517 2680982"/>
    <s v="3 38650 1574873 15974478 2680982"/>
    <m/>
    <n v="20948"/>
    <n v="5763522232502"/>
    <n v="70931241543"/>
    <n v="2789032392956"/>
    <n v="85061784062"/>
    <n v="2147290061573"/>
    <n v="23184904447"/>
    <n v="297708713"/>
    <n v="0"/>
    <n v="198474349"/>
    <n v="297708713"/>
    <n v="496183062"/>
    <n v="4961811"/>
    <n v="0"/>
    <n v="3307905"/>
    <n v="4961811"/>
    <n v="8269717"/>
    <n v="30.25"/>
    <n v="15.095000000000001"/>
    <n v="21987.8"/>
    <n v="3347.65"/>
    <n v="14435"/>
    <n v="1036"/>
    <n v="60.036689921895835"/>
    <n v="53.286462339385416"/>
    <n v="3"/>
    <n v="38650"/>
    <n v="1574873"/>
    <n v="15974478"/>
    <n v="2680982"/>
    <n v="0"/>
    <x v="10"/>
    <x v="22"/>
  </r>
  <r>
    <s v="istree_exp6_rebuilding_time/step10354.txt"/>
    <x v="1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01556772149E+16"/>
    <n v="100006753"/>
    <n v="1.00001556772149E+16"/>
    <n v="100006753"/>
    <s v="success"/>
    <n v="7"/>
    <n v="12259976"/>
    <n v="112526871"/>
    <n v="124786847"/>
    <n v="100006753"/>
    <n v="10.1784"/>
    <n v="0.888737"/>
    <n v="4.0240099999999996"/>
    <n v="2782283632"/>
    <s v="5 37169 1392871 15557056 2644153"/>
    <s v="3 37166 1392834 15557004 2644148"/>
    <m/>
    <n v="19074"/>
    <n v="8652444904789"/>
    <n v="66707533351"/>
    <n v="4174678050834"/>
    <n v="84954895292"/>
    <n v="3648915386144"/>
    <n v="22874642494"/>
    <n v="294471216"/>
    <n v="0"/>
    <n v="196329762"/>
    <n v="294471216"/>
    <n v="490800978"/>
    <n v="4907853"/>
    <n v="0"/>
    <n v="3272162"/>
    <n v="4907853"/>
    <n v="8180016"/>
    <n v="30.37"/>
    <n v="15.7966"/>
    <n v="29739"/>
    <n v="3250.66"/>
    <n v="17120"/>
    <n v="1038"/>
    <n v="60.086422949923609"/>
    <n v="55.542572973020839"/>
    <n v="3"/>
    <n v="37166"/>
    <n v="1392834"/>
    <n v="15557004"/>
    <n v="2644148"/>
    <n v="0"/>
    <x v="10"/>
    <x v="22"/>
  </r>
  <r>
    <s v="istree_exp6_rebuilding_time/step10355.txt"/>
    <x v="1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15457034726E+16"/>
    <n v="100016685"/>
    <n v="1.00015457034726E+16"/>
    <n v="100016685"/>
    <s v="success"/>
    <n v="7"/>
    <n v="11084672"/>
    <n v="110084625"/>
    <n v="121169297"/>
    <n v="100016685"/>
    <n v="10.9312"/>
    <n v="0.90854400000000002"/>
    <n v="4"/>
    <n v="2648127744"/>
    <s v="11 39997 1378518 15551811 2664117"/>
    <s v="4 39995 1378459 15551747 2664105"/>
    <m/>
    <n v="12104"/>
    <n v="11395122542180"/>
    <n v="70709673247"/>
    <n v="6662539262718"/>
    <n v="109756762732"/>
    <n v="3848514867785"/>
    <n v="26289264612"/>
    <n v="299987777"/>
    <n v="0"/>
    <n v="200010068"/>
    <n v="299987777"/>
    <n v="499997845"/>
    <n v="4999796"/>
    <n v="0"/>
    <n v="3333501"/>
    <n v="4999796"/>
    <n v="8333297"/>
    <n v="30.13"/>
    <n v="15.9114"/>
    <n v="42417.599999999999"/>
    <n v="3198.4"/>
    <n v="20902"/>
    <n v="1072"/>
    <n v="59.974329169368424"/>
    <n v="56.409525426810525"/>
    <n v="4"/>
    <n v="39995"/>
    <n v="1378459"/>
    <n v="15551747"/>
    <n v="2664105"/>
    <n v="0"/>
    <x v="10"/>
    <x v="22"/>
  </r>
  <r>
    <s v="istree_exp6_rebuilding_time/step10356.txt"/>
    <x v="1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8178925544397E+17"/>
    <n v="999969512"/>
    <n v="9.9998178925544397E+17"/>
    <n v="999969512"/>
    <s v="success"/>
    <n v="7"/>
    <n v="128047957"/>
    <n v="1170604758"/>
    <n v="1298652715"/>
    <n v="999969512"/>
    <n v="10.1419"/>
    <n v="0.85423300000000002"/>
    <n v="4.0928899999999997"/>
    <n v="29038018896"/>
    <s v="0 0 99171 20651905 6880908"/>
    <s v="0 0 99171 20651902 6880908"/>
    <m/>
    <n v="333168"/>
    <n v="1436561122504"/>
    <n v="16705662327"/>
    <n v="30109"/>
    <n v="21439257413"/>
    <n v="21397542939"/>
    <n v="3612820008"/>
    <n v="532275450"/>
    <n v="0"/>
    <n v="354815485"/>
    <n v="532275450"/>
    <n v="887090935"/>
    <n v="8871257"/>
    <n v="0"/>
    <n v="5913591"/>
    <n v="8871257"/>
    <n v="14784848"/>
    <n v="26.082000000000001"/>
    <n v="15.3264"/>
    <n v="4434.03"/>
    <n v="3508.92"/>
    <n v="62781"/>
    <n v="16218"/>
    <n v="59.856713437666663"/>
    <n v="2.6314713665"/>
    <n v="0"/>
    <n v="0"/>
    <n v="99171"/>
    <n v="20651902"/>
    <n v="6880908"/>
    <n v="0"/>
    <x v="11"/>
    <x v="23"/>
  </r>
  <r>
    <s v="istree_exp6_rebuilding_time/step10358.txt"/>
    <x v="1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4667267245094E+17"/>
    <n v="999967522"/>
    <n v="9.9994667267245094E+17"/>
    <n v="999967522"/>
    <s v="success"/>
    <n v="7"/>
    <n v="84465055"/>
    <n v="1078772079"/>
    <n v="1163237134"/>
    <n v="999967522"/>
    <n v="13.771800000000001"/>
    <n v="0.92695000000000005"/>
    <n v="4"/>
    <n v="24017557648"/>
    <s v="1 30974 2311678 33889817 9501447"/>
    <s v="1 30966 2311659 33889797 9501446"/>
    <m/>
    <n v="28250"/>
    <n v="9496160146491"/>
    <n v="171367322628"/>
    <n v="6727292803408"/>
    <n v="369715464007"/>
    <n v="135910816757"/>
    <n v="78116190991"/>
    <n v="749988737"/>
    <n v="0"/>
    <n v="500005278"/>
    <n v="749988737"/>
    <n v="1249994015"/>
    <n v="12499812"/>
    <n v="0"/>
    <n v="8333421"/>
    <n v="12499812"/>
    <n v="20833233"/>
    <n v="32.385300000000001"/>
    <n v="20.142600000000002"/>
    <n v="20738"/>
    <n v="4450.5"/>
    <n v="88717"/>
    <n v="9871"/>
    <n v="98.918334859281245"/>
    <n v="77.941693726989584"/>
    <n v="1"/>
    <n v="30966"/>
    <n v="2311659"/>
    <n v="33889797"/>
    <n v="9501446"/>
    <n v="0"/>
    <x v="11"/>
    <x v="23"/>
  </r>
  <r>
    <s v="istree_exp6_rebuilding_time/step10359.txt"/>
    <x v="1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1706476285E+18"/>
    <n v="999995159"/>
    <n v="1.00001706476285E+18"/>
    <n v="999995159"/>
    <s v="success"/>
    <n v="7"/>
    <n v="84465070"/>
    <n v="1078799743"/>
    <n v="1163264813"/>
    <n v="999995159"/>
    <n v="13.7721"/>
    <n v="0.926952"/>
    <n v="4"/>
    <n v="24018001472"/>
    <s v="1 31578 2163601 33493155 9434149"/>
    <s v="1 31575 2163579 33493138 9434147"/>
    <m/>
    <n v="12740"/>
    <n v="12703597750974"/>
    <n v="173224030980"/>
    <n v="10041739760781"/>
    <n v="218926841923"/>
    <n v="145953792247"/>
    <n v="77961242752"/>
    <n v="750046093"/>
    <n v="0"/>
    <n v="500034061"/>
    <n v="750046093"/>
    <n v="1250080154"/>
    <n v="12500768"/>
    <n v="0"/>
    <n v="8333901"/>
    <n v="12500768"/>
    <n v="20834669"/>
    <n v="32.458100000000002"/>
    <n v="20.529199999999999"/>
    <n v="28241.4"/>
    <n v="4525.7"/>
    <n v="121340"/>
    <n v="9064"/>
    <n v="88.219428826208343"/>
    <n v="74.012539365854167"/>
    <n v="1"/>
    <n v="31575"/>
    <n v="2163579"/>
    <n v="33493138"/>
    <n v="9434147"/>
    <n v="0"/>
    <x v="11"/>
    <x v="23"/>
  </r>
  <r>
    <s v="istree_exp6_rebuilding_time/step10360.txt"/>
    <x v="1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9.9999103628688205E+17"/>
    <n v="999990396"/>
    <n v="9.9999103628688205E+17"/>
    <n v="999990396"/>
    <s v="success"/>
    <n v="7"/>
    <n v="84465082"/>
    <n v="1078794998"/>
    <n v="1163260080"/>
    <n v="999990396"/>
    <n v="13.7721"/>
    <n v="0.92695099999999997"/>
    <n v="4"/>
    <n v="24017926512"/>
    <s v="1 31587 2149803 33456710 9427991"/>
    <s v="1 31584 2149781 33456696 9427989"/>
    <m/>
    <n v="7698"/>
    <n v="16075930681855"/>
    <n v="178141815564"/>
    <n v="13323275960635"/>
    <n v="233144651345"/>
    <n v="165936890098"/>
    <n v="78014021224"/>
    <n v="750021098"/>
    <n v="0"/>
    <n v="499977820"/>
    <n v="750021098"/>
    <n v="1249998918"/>
    <n v="12500351"/>
    <n v="0"/>
    <n v="8332963"/>
    <n v="12500351"/>
    <n v="20833315"/>
    <n v="32.708399999999997"/>
    <n v="20.845300000000002"/>
    <n v="35751.599999999999"/>
    <n v="4681.34"/>
    <n v="121934"/>
    <n v="9129"/>
    <n v="84.610161483447371"/>
    <n v="73.571122836136837"/>
    <n v="1"/>
    <n v="31584"/>
    <n v="2149781"/>
    <n v="33456696"/>
    <n v="9427989"/>
    <n v="0"/>
    <x v="11"/>
    <x v="23"/>
  </r>
  <r>
    <s v="istree_exp6_rebuilding_time/step10001.txt"/>
    <x v="1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1.00002031154822E+18"/>
    <n v="1000023490"/>
    <n v="1.00002031154822E+18"/>
    <n v="1000023490"/>
    <s v="success"/>
    <n v="7"/>
    <n v="84467745"/>
    <n v="1078830578"/>
    <n v="1163298323"/>
    <n v="1000023490"/>
    <n v="13.7721"/>
    <n v="0.92695099999999997"/>
    <n v="4"/>
    <n v="24018708832"/>
    <s v="1 31585 2164039 33496864 9438146"/>
    <s v="1 31582 2164030 33496863 9438145"/>
    <m/>
    <n v="47722"/>
    <n v="17479147367219"/>
    <n v="184814651994"/>
    <n v="9612868993184"/>
    <n v="303648791645"/>
    <n v="185753602814"/>
    <n v="87280344410"/>
    <n v="4499559627"/>
    <n v="0"/>
    <n v="499948216"/>
    <n v="4499559627"/>
    <n v="4999507843"/>
    <n v="74992660"/>
    <n v="0"/>
    <n v="8332470"/>
    <n v="74992660"/>
    <n v="83325130"/>
    <n v="25.088699999999999"/>
    <n v="15.8659"/>
    <n v="9665.92"/>
    <n v="3440.71"/>
    <n v="103504"/>
    <n v="9404"/>
    <n v="121.38296782790972"/>
    <n v="72.044211000326385"/>
    <n v="1"/>
    <n v="31582"/>
    <n v="2164030"/>
    <n v="33496863"/>
    <n v="9438145"/>
    <n v="0"/>
    <x v="7"/>
    <x v="19"/>
  </r>
  <r>
    <s v="istree_exp6_rebuilding_time/step10002.txt"/>
    <x v="1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8826450122099E+17"/>
    <n v="999996024"/>
    <n v="9.9998826450122099E+17"/>
    <n v="999996024"/>
    <s v="success"/>
    <n v="7"/>
    <n v="119238791"/>
    <n v="1150279412"/>
    <n v="1269518203"/>
    <n v="999996024"/>
    <n v="10.6469"/>
    <n v="0.86935099999999998"/>
    <n v="4.0729600000000001"/>
    <n v="27982598400"/>
    <s v="0 0 0 4873051 2892761"/>
    <s v="0 0 0 4873051 2892761"/>
    <m/>
    <n v="171320"/>
    <n v="2873128226058"/>
    <n v="5098242950"/>
    <m/>
    <n v="8991407022"/>
    <n v="8809492349"/>
    <n v="1687632600"/>
    <n v="1696878117"/>
    <n v="0"/>
    <n v="188524779"/>
    <n v="1696878117"/>
    <n v="1885402896"/>
    <n v="28281301"/>
    <n v="0"/>
    <n v="3142079"/>
    <n v="28281301"/>
    <n v="31423381"/>
    <n v="23.132000000000001"/>
    <n v="13.696"/>
    <n v="4250.1899999999996"/>
    <n v="3539.56"/>
    <n v="63651"/>
    <n v="12483"/>
    <n v="59.856838042875005"/>
    <n v="0.51222447752083333"/>
    <n v="0"/>
    <n v="0"/>
    <n v="0"/>
    <n v="4873051"/>
    <n v="2892761"/>
    <n v="0"/>
    <x v="7"/>
    <x v="19"/>
  </r>
  <r>
    <s v="istree_exp6_rebuilding_time/step10003.txt"/>
    <x v="1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9675806496499E+17"/>
    <n v="999995726"/>
    <n v="9.9999675806496499E+17"/>
    <n v="999995726"/>
    <s v="success"/>
    <n v="7"/>
    <n v="84465066"/>
    <n v="1078800309"/>
    <n v="1163265375"/>
    <n v="999995726"/>
    <n v="13.7721"/>
    <n v="0.926952"/>
    <n v="4"/>
    <n v="24018010208"/>
    <s v="6 31580 2163722 33493607 9441534"/>
    <s v="1 31579 2163701 33493577 9441532"/>
    <m/>
    <n v="12774"/>
    <n v="12778820967492"/>
    <n v="172999181986"/>
    <n v="10115151638418"/>
    <n v="219717617279"/>
    <n v="144513777135"/>
    <n v="78368836877"/>
    <n v="749900233"/>
    <n v="0"/>
    <n v="499968865"/>
    <n v="749900233"/>
    <n v="1249869098"/>
    <n v="12498337"/>
    <n v="0"/>
    <n v="8332814"/>
    <n v="12498337"/>
    <n v="20831151"/>
    <n v="32.458199999999998"/>
    <n v="20.543800000000001"/>
    <n v="28417.4"/>
    <n v="4529.22"/>
    <n v="121331"/>
    <n v="9384"/>
    <n v="88.741812274249995"/>
    <n v="74.519104525659728"/>
    <n v="1"/>
    <n v="31579"/>
    <n v="2163701"/>
    <n v="33493577"/>
    <n v="9441532"/>
    <n v="0"/>
    <x v="11"/>
    <x v="23"/>
  </r>
  <r>
    <s v="istree_exp6_rebuilding_time/step10004.txt"/>
    <x v="1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9.9998927161171098E+17"/>
    <n v="999985963"/>
    <n v="9.9998927161171098E+17"/>
    <n v="999985963"/>
    <s v="success"/>
    <n v="7"/>
    <n v="84465043"/>
    <n v="1078790498"/>
    <n v="1163255541"/>
    <n v="999985963"/>
    <n v="13.772"/>
    <n v="0.92695099999999997"/>
    <n v="4"/>
    <n v="24017851392"/>
    <s v="1 26186 2535083 34440488 9607147"/>
    <s v="1 26175 2535075 34440478 9607146"/>
    <m/>
    <n v="114182"/>
    <n v="6683647804199"/>
    <n v="176017090987"/>
    <n v="3938164607703"/>
    <n v="222550381448"/>
    <n v="97842371524"/>
    <n v="84338221045"/>
    <n v="749971847"/>
    <n v="0"/>
    <n v="499996190"/>
    <n v="749971847"/>
    <n v="1249968037"/>
    <n v="12499530"/>
    <n v="0"/>
    <n v="8333269"/>
    <n v="12499530"/>
    <n v="20832800"/>
    <n v="31.726299999999998"/>
    <n v="19.112500000000001"/>
    <n v="14804.1"/>
    <n v="4829.0200000000004"/>
    <n v="85493"/>
    <n v="12408"/>
    <n v="139.24266258747917"/>
    <n v="94.144014014729166"/>
    <n v="1"/>
    <n v="26175"/>
    <n v="2535075"/>
    <n v="34440478"/>
    <n v="9607146"/>
    <n v="0"/>
    <x v="11"/>
    <x v="23"/>
  </r>
  <r>
    <s v="istree_exp6_rebuilding_time/step10005.txt"/>
    <x v="1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7070215381197E+17"/>
    <n v="999990049"/>
    <n v="9.9997070215381197E+17"/>
    <n v="999990049"/>
    <s v="success"/>
    <n v="7"/>
    <n v="84465067"/>
    <n v="1078794629"/>
    <n v="1163259696"/>
    <n v="999990049"/>
    <n v="13.7721"/>
    <n v="0.92695099999999997"/>
    <n v="4"/>
    <n v="24017919408"/>
    <s v="2 31570 2163190 33492461 9434760"/>
    <s v="1 31570 2163183 33492450 9434759"/>
    <m/>
    <n v="47748"/>
    <n v="17678958782119"/>
    <n v="184882825777"/>
    <n v="9803536747830"/>
    <n v="316786391659"/>
    <n v="177130797952"/>
    <n v="87428895970"/>
    <n v="4499853575"/>
    <n v="0"/>
    <n v="500006880"/>
    <n v="4499853575"/>
    <n v="4999860455"/>
    <n v="74997559"/>
    <n v="0"/>
    <n v="8333448"/>
    <n v="74997559"/>
    <n v="83331007"/>
    <n v="25.1235"/>
    <n v="15.878299999999999"/>
    <n v="9775.92"/>
    <n v="3441.94"/>
    <n v="103763"/>
    <n v="9199"/>
    <n v="122.77054709804861"/>
    <n v="73.401150411027785"/>
    <n v="1"/>
    <n v="31570"/>
    <n v="2163183"/>
    <n v="33492450"/>
    <n v="9434759"/>
    <n v="0"/>
    <x v="7"/>
    <x v="19"/>
  </r>
  <r>
    <s v="istree_exp6_rebuilding_time/step10006.txt"/>
    <x v="1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0656541803E+18"/>
    <n v="1000001313"/>
    <n v="1.00000656541803E+18"/>
    <n v="1000001313"/>
    <s v="success"/>
    <n v="7"/>
    <n v="119305303"/>
    <n v="1150496234"/>
    <n v="1269801537"/>
    <n v="1000001313"/>
    <n v="10.6433"/>
    <n v="0.86919100000000005"/>
    <n v="4.07301"/>
    <n v="27989078192"/>
    <s v="0 0 0 4867053 2890606"/>
    <s v="0 0 0 4867053 2890606"/>
    <m/>
    <n v="171208"/>
    <n v="2873126552409"/>
    <n v="5126976823"/>
    <m/>
    <n v="9041406464"/>
    <n v="9074075704"/>
    <n v="1727480790"/>
    <n v="1695733629"/>
    <n v="0"/>
    <n v="188438044"/>
    <n v="1695733629"/>
    <n v="1884171673"/>
    <n v="28262227"/>
    <n v="0"/>
    <n v="3140634"/>
    <n v="28262227"/>
    <n v="31402861"/>
    <n v="23.093399999999999"/>
    <n v="13.6831"/>
    <n v="4253.24"/>
    <n v="3541.56"/>
    <n v="63660"/>
    <n v="11665"/>
    <n v="59.856803175187501"/>
    <n v="0.52020707877083339"/>
    <n v="0"/>
    <n v="0"/>
    <n v="0"/>
    <n v="4867053"/>
    <n v="2890606"/>
    <n v="0"/>
    <x v="7"/>
    <x v="19"/>
  </r>
  <r>
    <s v="istree_exp6_rebuilding_time/step10007.txt"/>
    <x v="1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1577806106E+18"/>
    <n v="1000013448"/>
    <n v="1.00001577806106E+18"/>
    <n v="1000013448"/>
    <s v="success"/>
    <n v="7"/>
    <n v="84465072"/>
    <n v="1078818038"/>
    <n v="1163283110"/>
    <n v="1000013448"/>
    <n v="13.772399999999999"/>
    <n v="0.92695300000000003"/>
    <n v="4"/>
    <n v="24018294352"/>
    <s v="5 31579 2165216 33494665 9439224"/>
    <s v="1 31579 2165191 33494654 9439223"/>
    <m/>
    <n v="12760"/>
    <n v="12711607630155"/>
    <n v="173522758539"/>
    <n v="10050308204532"/>
    <n v="220350214950"/>
    <n v="141290368245"/>
    <n v="78741284038"/>
    <n v="749952266"/>
    <n v="0"/>
    <n v="499986135"/>
    <n v="749952266"/>
    <n v="1249938401"/>
    <n v="12499204"/>
    <n v="0"/>
    <n v="8333102"/>
    <n v="12499204"/>
    <n v="20832306"/>
    <n v="32.4876"/>
    <n v="20.5336"/>
    <n v="28259.3"/>
    <n v="4526.45"/>
    <n v="121330"/>
    <n v="9087"/>
    <n v="88.275052987187507"/>
    <n v="74.057033543777777"/>
    <n v="1"/>
    <n v="31579"/>
    <n v="2165191"/>
    <n v="33494654"/>
    <n v="9439223"/>
    <n v="0"/>
    <x v="11"/>
    <x v="23"/>
  </r>
  <r>
    <s v="istree_exp6_rebuilding_time/step10008.txt"/>
    <x v="1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9.9997674250702298E+17"/>
    <n v="999987858"/>
    <n v="9.9997674250702298E+17"/>
    <n v="999987858"/>
    <s v="success"/>
    <n v="7"/>
    <n v="84465044"/>
    <n v="1078792395"/>
    <n v="1163257439"/>
    <n v="999987858"/>
    <n v="13.7721"/>
    <n v="0.92695099999999997"/>
    <n v="4"/>
    <n v="24017881824"/>
    <s v="1 26328 2535267 34443072 9601071"/>
    <s v="1 26317 2535260 34443058 9601071"/>
    <m/>
    <n v="114234"/>
    <n v="6680153868646"/>
    <n v="175678975983"/>
    <n v="3924525965819"/>
    <n v="229912459827"/>
    <n v="97831583630"/>
    <n v="83580206998"/>
    <n v="750040201"/>
    <n v="0"/>
    <n v="500006592"/>
    <n v="750040201"/>
    <n v="1250046793"/>
    <n v="12500670"/>
    <n v="0"/>
    <n v="8333443"/>
    <n v="12500670"/>
    <n v="20834113"/>
    <n v="31.721"/>
    <n v="19.098800000000001"/>
    <n v="14775.2"/>
    <n v="4825.93"/>
    <n v="85587"/>
    <n v="12675"/>
    <n v="139.16987226345833"/>
    <n v="93.990191505354176"/>
    <n v="1"/>
    <n v="26317"/>
    <n v="2535260"/>
    <n v="34443058"/>
    <n v="9601071"/>
    <n v="0"/>
    <x v="11"/>
    <x v="23"/>
  </r>
  <r>
    <s v="istree_exp6_rebuilding_time/step10009.txt"/>
    <x v="1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8217108251802E+17"/>
    <n v="999976464"/>
    <n v="9.9998217108251802E+17"/>
    <n v="999976464"/>
    <s v="success"/>
    <n v="7"/>
    <n v="84465076"/>
    <n v="1078781059"/>
    <n v="1163246135"/>
    <n v="999976464"/>
    <n v="13.7719"/>
    <n v="0.92695000000000005"/>
    <n v="4"/>
    <n v="24017703008"/>
    <s v="1 31574 2162921 33497914 9435946"/>
    <s v="1 31571 2162912 33497910 9435946"/>
    <m/>
    <n v="47708"/>
    <n v="17758806676521"/>
    <n v="185020597308"/>
    <n v="9870585301352"/>
    <n v="334096955844"/>
    <n v="184295662851"/>
    <n v="87565433468"/>
    <n v="4500179176"/>
    <n v="0"/>
    <n v="500005772"/>
    <n v="4500179176"/>
    <n v="5000184948"/>
    <n v="75002986"/>
    <n v="0"/>
    <n v="8333429"/>
    <n v="75002986"/>
    <n v="83336415"/>
    <n v="25.066500000000001"/>
    <n v="15.845499999999999"/>
    <n v="9803.9500000000007"/>
    <n v="3448.82"/>
    <n v="102002"/>
    <n v="9367"/>
    <n v="123.32504636472916"/>
    <n v="74.038638547381936"/>
    <n v="1"/>
    <n v="31571"/>
    <n v="2162912"/>
    <n v="33497910"/>
    <n v="9435946"/>
    <n v="0"/>
    <x v="7"/>
    <x v="19"/>
  </r>
  <r>
    <s v="istree_exp6_rebuilding_time/step10010.txt"/>
    <x v="1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975236722E+18"/>
    <n v="1000004234"/>
    <n v="1.00001975236722E+18"/>
    <n v="1000004234"/>
    <s v="success"/>
    <n v="7"/>
    <n v="119344537"/>
    <n v="1150582007"/>
    <n v="1269926544"/>
    <n v="1000004234"/>
    <n v="10.6408"/>
    <n v="0.86912900000000004"/>
    <n v="4.0730899999999997"/>
    <n v="27993493440"/>
    <s v="0 0 0 4887609 2896598"/>
    <s v="0 0 0 4887609 2896598"/>
    <m/>
    <n v="171546"/>
    <n v="2873125869662"/>
    <n v="5136753599"/>
    <n v="1572"/>
    <n v="9134420625"/>
    <n v="9177637881"/>
    <n v="1727884447"/>
    <n v="1698433480"/>
    <n v="0"/>
    <n v="188725262"/>
    <n v="1698433480"/>
    <n v="1887158742"/>
    <n v="28307224"/>
    <n v="0"/>
    <n v="3145421"/>
    <n v="28307224"/>
    <n v="31452645"/>
    <n v="23.135100000000001"/>
    <n v="13.6944"/>
    <n v="4246.3900000000003"/>
    <n v="3533.38"/>
    <n v="63666"/>
    <n v="11591"/>
    <n v="59.856788951291662"/>
    <n v="0.52451454424999999"/>
    <n v="0"/>
    <n v="0"/>
    <n v="0"/>
    <n v="4887609"/>
    <n v="2896598"/>
    <n v="0"/>
    <x v="7"/>
    <x v="19"/>
  </r>
  <r>
    <s v="istree_exp6_rebuilding_time/step10011.txt"/>
    <x v="1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1209605134E+18"/>
    <n v="1000016381"/>
    <n v="1.00001209605134E+18"/>
    <n v="1000016381"/>
    <s v="success"/>
    <n v="7"/>
    <n v="84467745"/>
    <n v="1078823464"/>
    <n v="1163291209"/>
    <n v="1000016381"/>
    <n v="13.772"/>
    <n v="0.92695099999999997"/>
    <n v="4"/>
    <n v="24018595008"/>
    <s v="2 31575 2162718 33494018 9435301"/>
    <s v="1 31571 2162699 33493998 9435301"/>
    <m/>
    <n v="12752"/>
    <n v="12728118988168"/>
    <n v="172938780304"/>
    <n v="10068293681472"/>
    <n v="219378888016"/>
    <n v="142456545464"/>
    <n v="78235536080"/>
    <n v="750029827"/>
    <n v="0"/>
    <n v="499998718"/>
    <n v="750029827"/>
    <n v="1250028545"/>
    <n v="12500497"/>
    <n v="0"/>
    <n v="8333311"/>
    <n v="12500497"/>
    <n v="20833809"/>
    <n v="32.510199999999998"/>
    <n v="20.534400000000002"/>
    <n v="28296.1"/>
    <n v="4526.41"/>
    <n v="121337"/>
    <n v="9305"/>
    <n v="88.389715195611117"/>
    <n v="74.175718273166666"/>
    <n v="1"/>
    <n v="31571"/>
    <n v="2162699"/>
    <n v="33493998"/>
    <n v="9435301"/>
    <n v="0"/>
    <x v="11"/>
    <x v="23"/>
  </r>
  <r>
    <s v="istree_exp6_rebuilding_time/step10012.txt"/>
    <x v="1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017870041E+18"/>
    <n v="999997521"/>
    <n v="1.0000017870041E+18"/>
    <n v="999997521"/>
    <s v="success"/>
    <n v="7"/>
    <n v="84465045"/>
    <n v="1078802055"/>
    <n v="1163267100"/>
    <n v="999997521"/>
    <n v="13.7722"/>
    <n v="0.926952"/>
    <n v="4"/>
    <n v="24018036464"/>
    <s v="1 26243 2534845 34444125 9600935"/>
    <s v="1 26228 2534835 34444119 9600935"/>
    <m/>
    <n v="114212"/>
    <n v="6625723229742"/>
    <n v="175552472664"/>
    <n v="3881955512130"/>
    <n v="224777546943"/>
    <n v="97589799424"/>
    <n v="83530607240"/>
    <n v="749965325"/>
    <n v="0"/>
    <n v="500030520"/>
    <n v="749965325"/>
    <n v="1249995845"/>
    <n v="12499422"/>
    <n v="0"/>
    <n v="8333842"/>
    <n v="12499422"/>
    <n v="20833264"/>
    <n v="31.746500000000001"/>
    <n v="19.105"/>
    <n v="14664.5"/>
    <n v="4815.1099999999997"/>
    <n v="85531"/>
    <n v="12156"/>
    <n v="138.03590061962498"/>
    <n v="92.987623716687494"/>
    <n v="1"/>
    <n v="26228"/>
    <n v="2534835"/>
    <n v="34444119"/>
    <n v="9600935"/>
    <n v="0"/>
    <x v="11"/>
    <x v="23"/>
  </r>
  <r>
    <m/>
    <x v="2"/>
    <m/>
    <m/>
    <m/>
    <m/>
    <m/>
    <m/>
    <m/>
    <m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2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6" minRefreshableVersion="3" asteriskTotals="1" rowGrandTotals="0" colGrandTotals="0" itemPrintTitles="1" createdVersion="5" indent="0" outline="1" outlineData="1" multipleFieldFilters="0" chartFormat="7">
  <location ref="A35:B40" firstHeaderRow="1" firstDataRow="1" firstDataCol="1" rowPageCount="1" colPageCount="1"/>
  <pivotFields count="67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h="1"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25"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</pivotFields>
  <rowFields count="1">
    <field x="13"/>
  </rowFields>
  <rowItems count="5">
    <i>
      <x v="1"/>
    </i>
    <i>
      <x v="2"/>
    </i>
    <i>
      <x v="3"/>
    </i>
    <i>
      <x v="4"/>
    </i>
    <i>
      <x v="5"/>
    </i>
  </rowItems>
  <colItems count="1">
    <i/>
  </colItems>
  <pageFields count="1">
    <pageField fld="66" item="24" hier="-1"/>
  </pageFields>
  <dataFields count="1">
    <dataField name="Average of total_throughput" fld="50" subtotal="average" baseField="13" baseItem="1" numFmtId="164"/>
  </dataFields>
  <formats count="15"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Other2" cacheId="15" applyNumberFormats="0" applyBorderFormats="0" applyFontFormats="0" applyPatternFormats="0" applyAlignmentFormats="0" applyWidthHeightFormats="1" dataCaption="Values" updatedVersion="6" minRefreshableVersion="3" asteriskTotals="1" rowGrandTotals="0" colGrandTotals="0" itemPrintTitles="1" createdVersion="5" indent="0" outline="1" outlineData="1" multipleFieldFilters="0" chartFormat="7">
  <location ref="E35:F40" firstHeaderRow="1" firstDataRow="1" firstDataCol="1" rowPageCount="1" colPageCount="1"/>
  <pivotFields count="67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h="1"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25"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</pivotFields>
  <rowFields count="1">
    <field x="13"/>
  </rowFields>
  <rowItems count="5">
    <i>
      <x v="1"/>
    </i>
    <i>
      <x v="2"/>
    </i>
    <i>
      <x v="3"/>
    </i>
    <i>
      <x v="4"/>
    </i>
    <i>
      <x v="5"/>
    </i>
  </rowItems>
  <colItems count="1">
    <i/>
  </colItems>
  <pageFields count="1">
    <pageField fld="66" item="24" hier="-1"/>
  </pageFields>
  <dataFields count="1">
    <dataField name="Average of depth0_rebuild_count" fld="59" subtotal="average" baseField="1" baseItem="1" numFmtId="2"/>
  </dataFields>
  <formats count="10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outline="0" collapsedLevelsAreSubtotals="1" fieldPosition="0"/>
    </format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Main" cacheId="9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outline="1" outlineData="1" multipleFieldFilters="0" chartFormat="7">
  <location ref="A4:G9" firstHeaderRow="0" firstDataRow="1" firstDataCol="1" rowPageCount="1" colPageCount="1"/>
  <pivotFields count="73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25"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13"/>
  </rowFields>
  <rowItems count="5">
    <i>
      <x v="1"/>
    </i>
    <i>
      <x v="2"/>
    </i>
    <i>
      <x v="3"/>
    </i>
    <i>
      <x v="4"/>
    </i>
    <i>
      <x v="5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66" item="24" hier="-1"/>
  </pageFields>
  <dataFields count="6">
    <dataField name="Average of adj_duration_other" fld="72" subtotal="average" baseField="13" baseItem="1"/>
    <dataField name="Average of adj_duration_wastedWorkBuilding" fld="68" subtotal="average" baseField="13" baseItem="3"/>
    <dataField name="Average of adj_duration_rotateAndFree" fld="70" subtotal="average" baseField="13" baseItem="1"/>
    <dataField name="Average of adj_duration_traverseAndRetire" fld="71" subtotal="average" baseField="13" baseItem="1"/>
    <dataField name="Average of adj_duration_buildAndReplace" fld="69" subtotal="average" baseField="13" baseItem="1"/>
    <dataField name="Average of adj_duration_markAndCount" fld="67" subtotal="average" baseField="13" baseItem="1"/>
  </dataFields>
  <formats count="3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>
  <location ref="B4:G16" firstHeaderRow="0" firstDataRow="1" firstDataCol="1" rowPageCount="2" colPageCount="1"/>
  <pivotFields count="67">
    <pivotField showAll="0"/>
    <pivotField axis="axisPage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sortType="a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</pivotFields>
  <rowFields count="1">
    <field x="6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1" item="2" hier="-1"/>
    <pageField fld="13" item="4" hier="-1"/>
  </pageFields>
  <dataFields count="5">
    <dataField name="Average of depth0_rebuild_count" fld="59" subtotal="average" baseField="54" baseItem="0"/>
    <dataField name="Average of depth1_rebuild_count" fld="60" subtotal="average" baseField="54" baseItem="0"/>
    <dataField name="Average of depth2_rebuild_count" fld="61" subtotal="average" baseField="54" baseItem="0"/>
    <dataField name="Average of depth3_rebuild_count" fld="62" subtotal="average" baseField="54" baseItem="0"/>
    <dataField name="Average of depth4_rebuild_count" fld="63" subtotal="average" baseField="54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23" growShrinkType="overwriteClear" connectionId="10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8" growShrinkType="overwriteClear" connectionId="6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4" growShrinkType="overwriteClear" connectionId="3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1" growShrinkType="overwriteClear" connectionId="5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4" growShrinkType="overwriteClear" connectionId="1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3" growShrinkType="overwriteClear" connectionId="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1" growShrinkType="overwriteClear" connectionId="9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9" growShrinkType="overwriteClear" connectionId="7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0" growShrinkType="overwriteClear" connectionId="8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5" growShrinkType="overwriteClear" connectionId="4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849DB8"/>
      </a:dk1>
      <a:lt1>
        <a:sysClr val="window" lastClr="2D3640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0"/>
  <sheetViews>
    <sheetView workbookViewId="0">
      <selection activeCell="I5" sqref="I5"/>
    </sheetView>
  </sheetViews>
  <sheetFormatPr defaultRowHeight="14.6"/>
  <cols>
    <col min="1" max="1" width="8.23046875" customWidth="1"/>
    <col min="5" max="5" width="8.69140625" customWidth="1"/>
    <col min="7" max="7" width="8.69140625" customWidth="1"/>
  </cols>
  <sheetData>
    <row r="1" spans="1:3" s="5" customFormat="1" ht="20.6">
      <c r="A1" s="4" t="s">
        <v>1</v>
      </c>
    </row>
    <row r="2" spans="1:3" s="5" customFormat="1" ht="20.6">
      <c r="A2" s="4">
        <v>1</v>
      </c>
      <c r="B2" s="5" t="s">
        <v>12</v>
      </c>
    </row>
    <row r="3" spans="1:3" s="5" customFormat="1" ht="20.6">
      <c r="A3" s="4">
        <v>2</v>
      </c>
      <c r="B3" s="5" t="s">
        <v>6</v>
      </c>
    </row>
    <row r="4" spans="1:3" s="5" customFormat="1" ht="20.6">
      <c r="A4" s="4"/>
      <c r="B4" s="5" t="s">
        <v>5</v>
      </c>
    </row>
    <row r="5" spans="1:3" s="5" customFormat="1" ht="20.6">
      <c r="B5" s="5" t="s">
        <v>9</v>
      </c>
    </row>
    <row r="6" spans="1:3" s="5" customFormat="1" ht="20.6">
      <c r="B6" s="5" t="s">
        <v>10</v>
      </c>
    </row>
    <row r="7" spans="1:3" s="5" customFormat="1" ht="20.6">
      <c r="A7" s="5">
        <v>3</v>
      </c>
      <c r="B7" s="5" t="s">
        <v>11</v>
      </c>
    </row>
    <row r="8" spans="1:3" s="5" customFormat="1" ht="20.6">
      <c r="A8" s="4">
        <v>4</v>
      </c>
      <c r="B8" s="5" t="s">
        <v>2</v>
      </c>
    </row>
    <row r="9" spans="1:3" s="5" customFormat="1" ht="20.6">
      <c r="A9"/>
      <c r="B9" s="5" t="s">
        <v>3</v>
      </c>
      <c r="C9"/>
    </row>
    <row r="10" spans="1:3" ht="20.6">
      <c r="A10" s="4"/>
      <c r="B10" s="5" t="s">
        <v>4</v>
      </c>
    </row>
    <row r="12" spans="1:3" ht="20.6">
      <c r="A12" s="11" t="s">
        <v>119</v>
      </c>
      <c r="B12" s="5" t="s">
        <v>118</v>
      </c>
    </row>
    <row r="13" spans="1:3" ht="20.6">
      <c r="B13" s="5" t="s">
        <v>7</v>
      </c>
    </row>
    <row r="20" spans="2:2">
      <c r="B2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366"/>
  <sheetViews>
    <sheetView topLeftCell="BF1" workbookViewId="0">
      <selection sqref="A1:BE1"/>
    </sheetView>
  </sheetViews>
  <sheetFormatPr defaultRowHeight="14.6"/>
  <cols>
    <col min="1" max="1" width="37" bestFit="1" customWidth="1"/>
    <col min="2" max="2" width="14.84375" bestFit="1" customWidth="1"/>
    <col min="3" max="3" width="9.07421875" customWidth="1"/>
    <col min="4" max="4" width="14.3828125" bestFit="1" customWidth="1"/>
    <col min="5" max="5" width="12.53515625" customWidth="1"/>
    <col min="6" max="6" width="9.765625" customWidth="1"/>
    <col min="7" max="7" width="14.3046875" bestFit="1" customWidth="1"/>
    <col min="8" max="8" width="3.84375" bestFit="1" customWidth="1"/>
    <col min="9" max="9" width="3.921875" bestFit="1" customWidth="1"/>
    <col min="10" max="10" width="3.3046875" bestFit="1" customWidth="1"/>
    <col min="11" max="11" width="6.69140625" bestFit="1" customWidth="1"/>
    <col min="12" max="12" width="10.84375" bestFit="1" customWidth="1"/>
    <col min="13" max="13" width="15.765625" customWidth="1"/>
    <col min="14" max="14" width="14.84375" customWidth="1"/>
    <col min="15" max="15" width="14.765625" customWidth="1"/>
    <col min="16" max="16" width="11.921875" customWidth="1"/>
    <col min="17" max="17" width="12.4609375" customWidth="1"/>
    <col min="18" max="18" width="19.07421875" bestFit="1" customWidth="1"/>
    <col min="19" max="19" width="15.69140625" customWidth="1"/>
    <col min="20" max="20" width="11.84375" bestFit="1" customWidth="1"/>
    <col min="21" max="21" width="10.84375" bestFit="1" customWidth="1"/>
    <col min="22" max="22" width="13.07421875" customWidth="1"/>
    <col min="23" max="23" width="15.3828125" customWidth="1"/>
    <col min="24" max="24" width="21.3046875" customWidth="1"/>
    <col min="25" max="25" width="19.4609375" customWidth="1"/>
    <col min="26" max="26" width="19.23046875" customWidth="1"/>
    <col min="27" max="27" width="17.765625" bestFit="1" customWidth="1"/>
    <col min="28" max="28" width="25.4609375" bestFit="1" customWidth="1"/>
    <col min="29" max="29" width="24.3828125" bestFit="1" customWidth="1"/>
    <col min="30" max="30" width="18.84375" bestFit="1" customWidth="1"/>
    <col min="31" max="31" width="21.15234375" bestFit="1" customWidth="1"/>
    <col min="32" max="32" width="19.3046875" bestFit="1" customWidth="1"/>
    <col min="33" max="33" width="36.69140625" bestFit="1" customWidth="1"/>
    <col min="34" max="34" width="42.3046875" bestFit="1" customWidth="1"/>
    <col min="35" max="35" width="26.15234375" bestFit="1" customWidth="1"/>
    <col min="36" max="36" width="35.765625" bestFit="1" customWidth="1"/>
    <col min="37" max="37" width="23.4609375" bestFit="1" customWidth="1"/>
    <col min="38" max="38" width="31.07421875" bestFit="1" customWidth="1"/>
    <col min="39" max="39" width="32.4609375" bestFit="1" customWidth="1"/>
    <col min="40" max="40" width="30.61328125" customWidth="1"/>
    <col min="41" max="41" width="33.61328125" customWidth="1"/>
    <col min="42" max="42" width="11.84375" bestFit="1" customWidth="1"/>
    <col min="43" max="43" width="7.4609375" customWidth="1"/>
    <col min="44" max="44" width="12.3046875" customWidth="1"/>
    <col min="45" max="46" width="11.84375" bestFit="1" customWidth="1"/>
    <col min="47" max="47" width="14.61328125" customWidth="1"/>
    <col min="48" max="48" width="13.15234375" customWidth="1"/>
    <col min="49" max="49" width="17.3046875" bestFit="1" customWidth="1"/>
    <col min="50" max="50" width="16.15234375" bestFit="1" customWidth="1"/>
    <col min="51" max="51" width="15.23046875" bestFit="1" customWidth="1"/>
    <col min="52" max="53" width="12.15234375" customWidth="1"/>
    <col min="54" max="54" width="13.07421875" customWidth="1"/>
    <col min="55" max="55" width="12.3046875" customWidth="1"/>
    <col min="56" max="56" width="14.765625" bestFit="1" customWidth="1"/>
    <col min="57" max="57" width="16.3828125" bestFit="1" customWidth="1"/>
    <col min="58" max="58" width="11.84375" bestFit="1" customWidth="1"/>
    <col min="59" max="59" width="11.84375" style="31" bestFit="1" customWidth="1"/>
    <col min="67" max="67" width="26.921875" bestFit="1" customWidth="1"/>
    <col min="68" max="68" width="14.61328125" bestFit="1" customWidth="1"/>
    <col min="69" max="69" width="25.53515625" bestFit="1" customWidth="1"/>
    <col min="70" max="70" width="27" bestFit="1" customWidth="1"/>
    <col min="71" max="71" width="25" bestFit="1" customWidth="1"/>
    <col min="72" max="72" width="28.07421875" bestFit="1" customWidth="1"/>
    <col min="73" max="73" width="17.3046875" bestFit="1" customWidth="1"/>
  </cols>
  <sheetData>
    <row r="1" spans="1:7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59</v>
      </c>
      <c r="S1" t="s">
        <v>60</v>
      </c>
      <c r="T1" t="s">
        <v>39</v>
      </c>
      <c r="U1" t="s">
        <v>61</v>
      </c>
      <c r="V1" t="s">
        <v>62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1156</v>
      </c>
      <c r="AK1" t="s">
        <v>342</v>
      </c>
      <c r="AL1" t="s">
        <v>1157</v>
      </c>
      <c r="AM1" t="s">
        <v>343</v>
      </c>
      <c r="AN1" t="s">
        <v>344</v>
      </c>
      <c r="AO1" t="s">
        <v>345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71</v>
      </c>
      <c r="BD1" t="s">
        <v>64</v>
      </c>
      <c r="BE1" t="s">
        <v>65</v>
      </c>
      <c r="BF1" s="33" t="s">
        <v>80</v>
      </c>
      <c r="BG1" s="34" t="s">
        <v>81</v>
      </c>
      <c r="BH1" s="33" t="s">
        <v>78</v>
      </c>
      <c r="BI1" s="33" t="s">
        <v>77</v>
      </c>
      <c r="BJ1" s="33" t="s">
        <v>121</v>
      </c>
      <c r="BK1" s="33" t="s">
        <v>122</v>
      </c>
      <c r="BL1" s="33" t="s">
        <v>123</v>
      </c>
      <c r="BM1" s="33" t="s">
        <v>346</v>
      </c>
      <c r="BN1" s="33" t="s">
        <v>57</v>
      </c>
      <c r="BO1" s="33" t="s">
        <v>341</v>
      </c>
      <c r="BP1" s="33" t="str">
        <f>"adj_duration_"&amp;getFieldDelim(AK1,"_",2)</f>
        <v>adj_duration_markAndCount</v>
      </c>
      <c r="BQ1" s="33" t="str">
        <f>"adj_duration_"&amp;getFieldDelim(AL1,"_",2)</f>
        <v>adj_duration_wastedWorkBuilding</v>
      </c>
      <c r="BR1" s="33" t="str">
        <f>"adj_duration_"&amp;getFieldDelim(AM1,"_",2)</f>
        <v>adj_duration_buildAndReplace</v>
      </c>
      <c r="BS1" s="33" t="str">
        <f>"adj_duration_"&amp;getFieldDelim(AN1,"_",2)</f>
        <v>adj_duration_rotateAndFree</v>
      </c>
      <c r="BT1" s="33" t="str">
        <f>"adj_duration_"&amp;getFieldDelim(AO1,"_",2)</f>
        <v>adj_duration_traverseAndRetire</v>
      </c>
      <c r="BU1" s="33" t="s">
        <v>347</v>
      </c>
    </row>
    <row r="2" spans="1:73">
      <c r="A2" t="s">
        <v>72</v>
      </c>
      <c r="B2" t="s">
        <v>158</v>
      </c>
      <c r="C2">
        <v>72</v>
      </c>
      <c r="D2" t="s">
        <v>56</v>
      </c>
      <c r="E2" t="s">
        <v>53</v>
      </c>
      <c r="F2" t="s">
        <v>54</v>
      </c>
      <c r="G2">
        <v>60000</v>
      </c>
      <c r="H2">
        <v>0.5</v>
      </c>
      <c r="I2">
        <v>0.5</v>
      </c>
      <c r="J2">
        <v>0</v>
      </c>
      <c r="K2">
        <v>1</v>
      </c>
      <c r="L2">
        <v>2000000</v>
      </c>
      <c r="M2">
        <v>24</v>
      </c>
      <c r="N2">
        <v>24</v>
      </c>
      <c r="O2">
        <v>24</v>
      </c>
      <c r="P2">
        <v>0</v>
      </c>
      <c r="Q2" t="s">
        <v>55</v>
      </c>
      <c r="R2">
        <v>999767737871</v>
      </c>
      <c r="S2">
        <v>999624</v>
      </c>
      <c r="T2">
        <v>999767737871</v>
      </c>
      <c r="U2">
        <v>999624</v>
      </c>
      <c r="V2" t="s">
        <v>63</v>
      </c>
      <c r="W2">
        <v>6</v>
      </c>
      <c r="X2">
        <v>57844</v>
      </c>
      <c r="Y2">
        <v>1081915</v>
      </c>
      <c r="Z2">
        <v>1139759</v>
      </c>
      <c r="AA2">
        <v>999624</v>
      </c>
      <c r="AB2">
        <v>19.704000000000001</v>
      </c>
      <c r="AC2">
        <v>0.92393899999999995</v>
      </c>
      <c r="AD2">
        <v>3.0516700000000001</v>
      </c>
      <c r="AE2">
        <v>21959296</v>
      </c>
      <c r="AF2" t="s">
        <v>359</v>
      </c>
      <c r="AG2" t="s">
        <v>360</v>
      </c>
      <c r="AH2">
        <v>7872</v>
      </c>
      <c r="AI2">
        <v>1760552</v>
      </c>
      <c r="AJ2">
        <v>1436561384021</v>
      </c>
      <c r="AK2">
        <v>4215594753</v>
      </c>
      <c r="AL2">
        <v>37460766</v>
      </c>
      <c r="AM2">
        <v>5653240648</v>
      </c>
      <c r="AN2">
        <v>6577784428</v>
      </c>
      <c r="AO2">
        <v>2129274238</v>
      </c>
      <c r="AP2">
        <v>4713448116</v>
      </c>
      <c r="AQ2">
        <v>0</v>
      </c>
      <c r="AR2">
        <v>47610297</v>
      </c>
      <c r="AS2">
        <v>4713448116</v>
      </c>
      <c r="AT2">
        <v>4761058413</v>
      </c>
      <c r="AU2">
        <v>78557468</v>
      </c>
      <c r="AV2">
        <v>0</v>
      </c>
      <c r="AW2">
        <v>793504</v>
      </c>
      <c r="AX2">
        <v>78557468</v>
      </c>
      <c r="AY2">
        <v>79350973</v>
      </c>
      <c r="AZ2">
        <v>8.5209399999999995</v>
      </c>
      <c r="BA2">
        <v>0.100567</v>
      </c>
      <c r="BB2">
        <v>843.07</v>
      </c>
      <c r="BC2">
        <v>283.58800000000002</v>
      </c>
      <c r="BD2">
        <v>1187</v>
      </c>
      <c r="BE2">
        <v>27</v>
      </c>
      <c r="BF2">
        <f>AJ2/1000000000/$N2</f>
        <v>59.856724334208337</v>
      </c>
      <c r="BG2" s="31">
        <f>SUM(AK2:AO2)/1000000000/$N2</f>
        <v>0.77555645137499996</v>
      </c>
      <c r="BH2">
        <f>getFieldL($AG2,0)</f>
        <v>95</v>
      </c>
      <c r="BI2">
        <f>getFieldL($AG2,1)</f>
        <v>85414</v>
      </c>
      <c r="BJ2">
        <f>getFieldL($AG2,2)</f>
        <v>1227490</v>
      </c>
      <c r="BK2">
        <f>getFieldL($AG2,3)</f>
        <v>1375522</v>
      </c>
      <c r="BL2">
        <f>getFieldL($AG2,4)</f>
        <v>0</v>
      </c>
      <c r="BM2">
        <f>getFieldL($AG2,5)</f>
        <v>0</v>
      </c>
      <c r="BN2" t="str">
        <f t="shared" ref="BN2:BN61" si="0">"u="&amp;(H2+I2)&amp;"%, k=2x10^"&amp;LOG10(L2/2)</f>
        <v>u=1%, k=2x10^6</v>
      </c>
      <c r="BO2" t="str">
        <f t="shared" ref="BO2:BO61" si="1">BN2&amp;", "&amp;IF(getFieldDelim(B2,"_",4)="enabled","collaborative","sequential")</f>
        <v>u=1%, k=2x10^6, collaborative</v>
      </c>
      <c r="BP2">
        <f>AK2/1000000000/$N2</f>
        <v>0.17564978137500001</v>
      </c>
      <c r="BQ2">
        <f t="shared" ref="BQ2:BT17" si="2">AL2/1000000000/$N2</f>
        <v>1.5608652499999999E-3</v>
      </c>
      <c r="BR2">
        <f t="shared" si="2"/>
        <v>0.23555169366666664</v>
      </c>
      <c r="BS2">
        <f t="shared" si="2"/>
        <v>0.27407435116666667</v>
      </c>
      <c r="BT2">
        <f t="shared" si="2"/>
        <v>8.8719759916666655E-2</v>
      </c>
      <c r="BU2">
        <f>BF2-SUM(BP2:BT2)</f>
        <v>59.081167882833334</v>
      </c>
    </row>
    <row r="3" spans="1:73">
      <c r="A3" t="s">
        <v>73</v>
      </c>
      <c r="B3" t="s">
        <v>158</v>
      </c>
      <c r="C3">
        <v>72</v>
      </c>
      <c r="D3" t="s">
        <v>56</v>
      </c>
      <c r="E3" t="s">
        <v>53</v>
      </c>
      <c r="F3" t="s">
        <v>54</v>
      </c>
      <c r="G3">
        <v>60000</v>
      </c>
      <c r="H3">
        <v>0.5</v>
      </c>
      <c r="I3">
        <v>0.5</v>
      </c>
      <c r="J3">
        <v>0</v>
      </c>
      <c r="K3">
        <v>1</v>
      </c>
      <c r="L3">
        <v>2000000</v>
      </c>
      <c r="M3">
        <v>48</v>
      </c>
      <c r="N3">
        <v>48</v>
      </c>
      <c r="O3">
        <v>48</v>
      </c>
      <c r="P3">
        <v>0</v>
      </c>
      <c r="Q3" t="s">
        <v>55</v>
      </c>
      <c r="R3">
        <v>999256813393</v>
      </c>
      <c r="S3">
        <v>999772</v>
      </c>
      <c r="T3">
        <v>999256813393</v>
      </c>
      <c r="U3">
        <v>999772</v>
      </c>
      <c r="V3" t="s">
        <v>63</v>
      </c>
      <c r="W3">
        <v>7</v>
      </c>
      <c r="X3">
        <v>73033</v>
      </c>
      <c r="Y3">
        <v>1113782</v>
      </c>
      <c r="Z3">
        <v>1186815</v>
      </c>
      <c r="AA3">
        <v>999772</v>
      </c>
      <c r="AB3">
        <v>16.250399999999999</v>
      </c>
      <c r="AC3">
        <v>0.89763700000000002</v>
      </c>
      <c r="AD3">
        <v>3.0852300000000001</v>
      </c>
      <c r="AE3">
        <v>23718592</v>
      </c>
      <c r="AF3" t="s">
        <v>361</v>
      </c>
      <c r="AG3" t="s">
        <v>362</v>
      </c>
      <c r="AH3">
        <v>33752</v>
      </c>
      <c r="AI3">
        <v>665160</v>
      </c>
      <c r="AJ3">
        <v>2873122778953</v>
      </c>
      <c r="AK3">
        <v>10478631602</v>
      </c>
      <c r="AL3">
        <v>204893411</v>
      </c>
      <c r="AM3">
        <v>13816507606</v>
      </c>
      <c r="AN3">
        <v>12242345569</v>
      </c>
      <c r="AO3">
        <v>5234273636</v>
      </c>
      <c r="AP3">
        <v>7242997461</v>
      </c>
      <c r="AQ3">
        <v>0</v>
      </c>
      <c r="AR3">
        <v>73161353</v>
      </c>
      <c r="AS3">
        <v>7242997461</v>
      </c>
      <c r="AT3">
        <v>7316158814</v>
      </c>
      <c r="AU3">
        <v>120716624</v>
      </c>
      <c r="AV3">
        <v>0</v>
      </c>
      <c r="AW3">
        <v>1219355</v>
      </c>
      <c r="AX3">
        <v>120716624</v>
      </c>
      <c r="AY3">
        <v>121935980</v>
      </c>
      <c r="AZ3">
        <v>8.4561399999999995</v>
      </c>
      <c r="BA3">
        <v>0.10902199999999999</v>
      </c>
      <c r="BB3">
        <v>1089.44</v>
      </c>
      <c r="BC3">
        <v>396.50299999999999</v>
      </c>
      <c r="BD3">
        <v>1216</v>
      </c>
      <c r="BE3">
        <v>91</v>
      </c>
      <c r="BF3">
        <f t="shared" ref="BF3:BF62" si="3">AJ3/1000000000/$N3</f>
        <v>59.856724561520828</v>
      </c>
      <c r="BG3" s="31">
        <f t="shared" ref="BG3:BG62" si="4">SUM(AK3:AO3)/1000000000/$N3</f>
        <v>0.87451357966666665</v>
      </c>
      <c r="BH3">
        <f t="shared" ref="BH3:BH62" si="5">getFieldL($AG3,0)</f>
        <v>146</v>
      </c>
      <c r="BI3">
        <f t="shared" ref="BI3:BI62" si="6">getFieldL($AG3,1)</f>
        <v>144035</v>
      </c>
      <c r="BJ3">
        <f t="shared" ref="BJ3:BJ62" si="7">getFieldL($AG3,2)</f>
        <v>1367016</v>
      </c>
      <c r="BK3">
        <f t="shared" ref="BK3:BK62" si="8">getFieldL($AG3,3)</f>
        <v>1988691</v>
      </c>
      <c r="BL3">
        <f t="shared" ref="BL3:BL62" si="9">getFieldL($AG3,4)</f>
        <v>0</v>
      </c>
      <c r="BM3">
        <f t="shared" ref="BM3:BM62" si="10">getFieldL($AG3,5)</f>
        <v>0</v>
      </c>
      <c r="BN3" t="str">
        <f t="shared" si="0"/>
        <v>u=1%, k=2x10^6</v>
      </c>
      <c r="BO3" t="str">
        <f t="shared" si="1"/>
        <v>u=1%, k=2x10^6, collaborative</v>
      </c>
      <c r="BP3">
        <f t="shared" ref="BP3:BP62" si="11">AK3/1000000000/$N3</f>
        <v>0.21830482504166668</v>
      </c>
      <c r="BQ3">
        <f t="shared" si="2"/>
        <v>4.2686127291666669E-3</v>
      </c>
      <c r="BR3">
        <f t="shared" si="2"/>
        <v>0.28784390845833335</v>
      </c>
      <c r="BS3">
        <f t="shared" si="2"/>
        <v>0.25504886602083332</v>
      </c>
      <c r="BT3">
        <f t="shared" si="2"/>
        <v>0.10904736741666667</v>
      </c>
      <c r="BU3">
        <f t="shared" ref="BU3:BU62" si="12">BF3-SUM(BP3:BT3)</f>
        <v>58.982210981854159</v>
      </c>
    </row>
    <row r="4" spans="1:73">
      <c r="A4" t="s">
        <v>74</v>
      </c>
      <c r="B4" t="s">
        <v>158</v>
      </c>
      <c r="C4">
        <v>72</v>
      </c>
      <c r="D4" t="s">
        <v>56</v>
      </c>
      <c r="E4" t="s">
        <v>53</v>
      </c>
      <c r="F4" t="s">
        <v>54</v>
      </c>
      <c r="G4">
        <v>60000</v>
      </c>
      <c r="H4">
        <v>0.5</v>
      </c>
      <c r="I4">
        <v>0.5</v>
      </c>
      <c r="J4">
        <v>0</v>
      </c>
      <c r="K4">
        <v>1</v>
      </c>
      <c r="L4">
        <v>2000000</v>
      </c>
      <c r="M4">
        <v>96</v>
      </c>
      <c r="N4">
        <v>96</v>
      </c>
      <c r="O4">
        <v>96</v>
      </c>
      <c r="P4">
        <v>0</v>
      </c>
      <c r="Q4" t="s">
        <v>55</v>
      </c>
      <c r="R4">
        <v>999476269541</v>
      </c>
      <c r="S4">
        <v>999596</v>
      </c>
      <c r="T4">
        <v>999476269541</v>
      </c>
      <c r="U4">
        <v>999596</v>
      </c>
      <c r="V4" t="s">
        <v>63</v>
      </c>
      <c r="W4">
        <v>6</v>
      </c>
      <c r="X4">
        <v>54161</v>
      </c>
      <c r="Y4">
        <v>1074797</v>
      </c>
      <c r="Z4">
        <v>1128958</v>
      </c>
      <c r="AA4">
        <v>999596</v>
      </c>
      <c r="AB4">
        <v>20.8445</v>
      </c>
      <c r="AC4">
        <v>0.93003199999999997</v>
      </c>
      <c r="AD4">
        <v>3.04419</v>
      </c>
      <c r="AE4">
        <v>21550272</v>
      </c>
      <c r="AF4" t="s">
        <v>363</v>
      </c>
      <c r="AG4" t="s">
        <v>364</v>
      </c>
      <c r="AH4">
        <v>176153</v>
      </c>
      <c r="AI4">
        <v>309440</v>
      </c>
      <c r="AJ4">
        <v>5746245809049</v>
      </c>
      <c r="AK4">
        <v>35631688590</v>
      </c>
      <c r="AL4">
        <v>1221274124</v>
      </c>
      <c r="AM4">
        <v>46761434919</v>
      </c>
      <c r="AN4">
        <v>31250984284</v>
      </c>
      <c r="AO4">
        <v>41344728522</v>
      </c>
      <c r="AP4">
        <v>13437192118</v>
      </c>
      <c r="AQ4">
        <v>0</v>
      </c>
      <c r="AR4">
        <v>135757064</v>
      </c>
      <c r="AS4">
        <v>13437192118</v>
      </c>
      <c r="AT4">
        <v>13572949182</v>
      </c>
      <c r="AU4">
        <v>223953201</v>
      </c>
      <c r="AV4">
        <v>0</v>
      </c>
      <c r="AW4">
        <v>2262617</v>
      </c>
      <c r="AX4">
        <v>223953201</v>
      </c>
      <c r="AY4">
        <v>226215819</v>
      </c>
      <c r="AZ4">
        <v>8.5057200000000002</v>
      </c>
      <c r="BA4">
        <v>0.24852099999999999</v>
      </c>
      <c r="BB4">
        <v>1175.9000000000001</v>
      </c>
      <c r="BC4">
        <v>447.72399999999999</v>
      </c>
      <c r="BD4">
        <v>1281</v>
      </c>
      <c r="BE4">
        <v>246</v>
      </c>
      <c r="BF4">
        <f t="shared" si="3"/>
        <v>59.856727177593747</v>
      </c>
      <c r="BG4" s="31">
        <f t="shared" si="4"/>
        <v>1.62718865040625</v>
      </c>
      <c r="BH4">
        <f t="shared" si="5"/>
        <v>271</v>
      </c>
      <c r="BI4">
        <f t="shared" si="6"/>
        <v>425331</v>
      </c>
      <c r="BJ4">
        <f t="shared" si="7"/>
        <v>736273</v>
      </c>
      <c r="BK4">
        <f t="shared" si="8"/>
        <v>3137853</v>
      </c>
      <c r="BL4">
        <f t="shared" si="9"/>
        <v>0</v>
      </c>
      <c r="BM4">
        <f t="shared" si="10"/>
        <v>0</v>
      </c>
      <c r="BN4" t="str">
        <f t="shared" si="0"/>
        <v>u=1%, k=2x10^6</v>
      </c>
      <c r="BO4" t="str">
        <f t="shared" si="1"/>
        <v>u=1%, k=2x10^6, collaborative</v>
      </c>
      <c r="BP4">
        <f t="shared" si="11"/>
        <v>0.37116342281250003</v>
      </c>
      <c r="BQ4">
        <f t="shared" si="2"/>
        <v>1.2721605458333334E-2</v>
      </c>
      <c r="BR4">
        <f t="shared" si="2"/>
        <v>0.48709828040625003</v>
      </c>
      <c r="BS4">
        <f t="shared" si="2"/>
        <v>0.32553108629166666</v>
      </c>
      <c r="BT4">
        <f t="shared" si="2"/>
        <v>0.43067425543749999</v>
      </c>
      <c r="BU4">
        <f t="shared" si="12"/>
        <v>58.229538527187501</v>
      </c>
    </row>
    <row r="5" spans="1:73">
      <c r="A5" t="s">
        <v>75</v>
      </c>
      <c r="B5" t="s">
        <v>158</v>
      </c>
      <c r="C5">
        <v>72</v>
      </c>
      <c r="D5" t="s">
        <v>56</v>
      </c>
      <c r="E5" t="s">
        <v>53</v>
      </c>
      <c r="F5" t="s">
        <v>54</v>
      </c>
      <c r="G5">
        <v>60000</v>
      </c>
      <c r="H5">
        <v>0.5</v>
      </c>
      <c r="I5">
        <v>0.5</v>
      </c>
      <c r="J5">
        <v>0</v>
      </c>
      <c r="K5">
        <v>1</v>
      </c>
      <c r="L5">
        <v>2000000</v>
      </c>
      <c r="M5">
        <v>144</v>
      </c>
      <c r="N5">
        <v>144</v>
      </c>
      <c r="O5">
        <v>144</v>
      </c>
      <c r="P5">
        <v>0</v>
      </c>
      <c r="Q5" t="s">
        <v>55</v>
      </c>
      <c r="R5">
        <v>1000435640267</v>
      </c>
      <c r="S5">
        <v>999750</v>
      </c>
      <c r="T5">
        <v>1000435640267</v>
      </c>
      <c r="U5">
        <v>999750</v>
      </c>
      <c r="V5" t="s">
        <v>63</v>
      </c>
      <c r="W5">
        <v>6</v>
      </c>
      <c r="X5">
        <v>51274</v>
      </c>
      <c r="Y5">
        <v>1068583</v>
      </c>
      <c r="Z5">
        <v>1119857</v>
      </c>
      <c r="AA5">
        <v>999750</v>
      </c>
      <c r="AB5">
        <v>21.840599999999998</v>
      </c>
      <c r="AC5">
        <v>0.935585</v>
      </c>
      <c r="AD5">
        <v>3.0380199999999999</v>
      </c>
      <c r="AE5">
        <v>21215376</v>
      </c>
      <c r="AF5" t="s">
        <v>365</v>
      </c>
      <c r="AG5" t="s">
        <v>366</v>
      </c>
      <c r="AH5">
        <v>418060</v>
      </c>
      <c r="AI5">
        <v>195386</v>
      </c>
      <c r="AJ5">
        <v>8619369258598</v>
      </c>
      <c r="AK5">
        <v>68299718458</v>
      </c>
      <c r="AL5">
        <v>3338597458</v>
      </c>
      <c r="AM5">
        <v>100701505348</v>
      </c>
      <c r="AN5">
        <v>32082094676</v>
      </c>
      <c r="AO5">
        <v>119594275724</v>
      </c>
      <c r="AP5">
        <v>18890933241</v>
      </c>
      <c r="AQ5">
        <v>0</v>
      </c>
      <c r="AR5">
        <v>190826462</v>
      </c>
      <c r="AS5">
        <v>18890933241</v>
      </c>
      <c r="AT5">
        <v>19081759703</v>
      </c>
      <c r="AU5">
        <v>314848887</v>
      </c>
      <c r="AV5">
        <v>0</v>
      </c>
      <c r="AW5">
        <v>3180441</v>
      </c>
      <c r="AX5">
        <v>314848887</v>
      </c>
      <c r="AY5">
        <v>318029328</v>
      </c>
      <c r="AZ5">
        <v>8.6600699999999993</v>
      </c>
      <c r="BA5">
        <v>0.36076399999999997</v>
      </c>
      <c r="BB5">
        <v>1239.3599999999999</v>
      </c>
      <c r="BC5">
        <v>500.18900000000002</v>
      </c>
      <c r="BD5">
        <v>1370</v>
      </c>
      <c r="BE5">
        <v>158</v>
      </c>
      <c r="BF5">
        <f t="shared" si="3"/>
        <v>59.856730962486118</v>
      </c>
      <c r="BG5" s="31">
        <f t="shared" si="4"/>
        <v>2.2501124421111114</v>
      </c>
      <c r="BH5">
        <f t="shared" si="5"/>
        <v>381</v>
      </c>
      <c r="BI5">
        <f t="shared" si="6"/>
        <v>1111890</v>
      </c>
      <c r="BJ5">
        <f t="shared" si="7"/>
        <v>199674</v>
      </c>
      <c r="BK5">
        <f t="shared" si="8"/>
        <v>3100025</v>
      </c>
      <c r="BL5">
        <f t="shared" si="9"/>
        <v>0</v>
      </c>
      <c r="BM5">
        <f t="shared" si="10"/>
        <v>0</v>
      </c>
      <c r="BN5" t="str">
        <f t="shared" si="0"/>
        <v>u=1%, k=2x10^6</v>
      </c>
      <c r="BO5" t="str">
        <f t="shared" si="1"/>
        <v>u=1%, k=2x10^6, collaborative</v>
      </c>
      <c r="BP5">
        <f t="shared" si="11"/>
        <v>0.4743036004027778</v>
      </c>
      <c r="BQ5">
        <f t="shared" si="2"/>
        <v>2.3184704569444447E-2</v>
      </c>
      <c r="BR5">
        <f t="shared" si="2"/>
        <v>0.69931600936111105</v>
      </c>
      <c r="BS5">
        <f t="shared" si="2"/>
        <v>0.22279232413888886</v>
      </c>
      <c r="BT5">
        <f t="shared" si="2"/>
        <v>0.83051580363888888</v>
      </c>
      <c r="BU5">
        <f t="shared" si="12"/>
        <v>57.606618520375008</v>
      </c>
    </row>
    <row r="6" spans="1:73">
      <c r="A6" t="s">
        <v>76</v>
      </c>
      <c r="B6" t="s">
        <v>158</v>
      </c>
      <c r="C6">
        <v>72</v>
      </c>
      <c r="D6" t="s">
        <v>56</v>
      </c>
      <c r="E6" t="s">
        <v>53</v>
      </c>
      <c r="F6" t="s">
        <v>54</v>
      </c>
      <c r="G6">
        <v>60000</v>
      </c>
      <c r="H6">
        <v>0.5</v>
      </c>
      <c r="I6">
        <v>0.5</v>
      </c>
      <c r="J6">
        <v>0</v>
      </c>
      <c r="K6">
        <v>1</v>
      </c>
      <c r="L6">
        <v>2000000</v>
      </c>
      <c r="M6">
        <v>190</v>
      </c>
      <c r="N6">
        <v>190</v>
      </c>
      <c r="O6">
        <v>190</v>
      </c>
      <c r="P6">
        <v>0</v>
      </c>
      <c r="Q6" t="s">
        <v>55</v>
      </c>
      <c r="R6">
        <v>999467661381</v>
      </c>
      <c r="S6">
        <v>1000596</v>
      </c>
      <c r="T6">
        <v>999467661381</v>
      </c>
      <c r="U6">
        <v>1000596</v>
      </c>
      <c r="V6" t="s">
        <v>63</v>
      </c>
      <c r="W6">
        <v>6</v>
      </c>
      <c r="X6">
        <v>44024</v>
      </c>
      <c r="Y6">
        <v>1054794</v>
      </c>
      <c r="Z6">
        <v>1098818</v>
      </c>
      <c r="AA6">
        <v>1000596</v>
      </c>
      <c r="AB6">
        <v>24.959499999999998</v>
      </c>
      <c r="AC6">
        <v>0.94861700000000004</v>
      </c>
      <c r="AD6">
        <v>3.0223300000000002</v>
      </c>
      <c r="AE6">
        <v>20402800</v>
      </c>
      <c r="AF6" t="s">
        <v>367</v>
      </c>
      <c r="AG6" t="s">
        <v>368</v>
      </c>
      <c r="AH6">
        <v>633836</v>
      </c>
      <c r="AI6">
        <v>167596</v>
      </c>
      <c r="AJ6">
        <v>11372779184810</v>
      </c>
      <c r="AK6">
        <v>85724972854</v>
      </c>
      <c r="AL6">
        <v>6466460347</v>
      </c>
      <c r="AM6">
        <v>150360167991</v>
      </c>
      <c r="AN6">
        <v>43220324130</v>
      </c>
      <c r="AO6">
        <v>239021864307</v>
      </c>
      <c r="AP6">
        <v>24328694057</v>
      </c>
      <c r="AQ6">
        <v>0</v>
      </c>
      <c r="AR6">
        <v>245737905</v>
      </c>
      <c r="AS6">
        <v>24328694057</v>
      </c>
      <c r="AT6">
        <v>24574431962</v>
      </c>
      <c r="AU6">
        <v>405478234</v>
      </c>
      <c r="AV6">
        <v>0</v>
      </c>
      <c r="AW6">
        <v>4095631</v>
      </c>
      <c r="AX6">
        <v>405478234</v>
      </c>
      <c r="AY6">
        <v>409573866</v>
      </c>
      <c r="AZ6">
        <v>8.7025699999999997</v>
      </c>
      <c r="BA6">
        <v>0.41638199999999997</v>
      </c>
      <c r="BB6">
        <v>1271.8499999999999</v>
      </c>
      <c r="BC6">
        <v>530.52300000000002</v>
      </c>
      <c r="BD6">
        <v>1436</v>
      </c>
      <c r="BE6">
        <v>311</v>
      </c>
      <c r="BF6">
        <f t="shared" si="3"/>
        <v>59.85673255163158</v>
      </c>
      <c r="BG6" s="31">
        <f t="shared" si="4"/>
        <v>2.7620725769947367</v>
      </c>
      <c r="BH6">
        <f t="shared" si="5"/>
        <v>492</v>
      </c>
      <c r="BI6">
        <f t="shared" si="6"/>
        <v>1153037</v>
      </c>
      <c r="BJ6">
        <f t="shared" si="7"/>
        <v>560071</v>
      </c>
      <c r="BK6">
        <f t="shared" si="8"/>
        <v>4614565</v>
      </c>
      <c r="BL6">
        <f t="shared" si="9"/>
        <v>0</v>
      </c>
      <c r="BM6">
        <f t="shared" si="10"/>
        <v>0</v>
      </c>
      <c r="BN6" t="str">
        <f t="shared" si="0"/>
        <v>u=1%, k=2x10^6</v>
      </c>
      <c r="BO6" t="str">
        <f t="shared" si="1"/>
        <v>u=1%, k=2x10^6, collaborative</v>
      </c>
      <c r="BP6">
        <f t="shared" si="11"/>
        <v>0.45118406765263158</v>
      </c>
      <c r="BQ6">
        <f t="shared" si="2"/>
        <v>3.4034001826315788E-2</v>
      </c>
      <c r="BR6">
        <f t="shared" si="2"/>
        <v>0.79136930521578941</v>
      </c>
      <c r="BS6">
        <f t="shared" si="2"/>
        <v>0.22747539015789475</v>
      </c>
      <c r="BT6">
        <f t="shared" si="2"/>
        <v>1.2580098121421053</v>
      </c>
      <c r="BU6">
        <f t="shared" si="12"/>
        <v>57.094659974636841</v>
      </c>
    </row>
    <row r="7" spans="1:73">
      <c r="A7" t="s">
        <v>82</v>
      </c>
      <c r="B7" t="s">
        <v>158</v>
      </c>
      <c r="C7">
        <v>72</v>
      </c>
      <c r="D7" t="s">
        <v>56</v>
      </c>
      <c r="E7" t="s">
        <v>53</v>
      </c>
      <c r="F7" t="s">
        <v>54</v>
      </c>
      <c r="G7">
        <v>60000</v>
      </c>
      <c r="H7">
        <v>0.5</v>
      </c>
      <c r="I7">
        <v>0.5</v>
      </c>
      <c r="J7">
        <v>0</v>
      </c>
      <c r="K7">
        <v>1</v>
      </c>
      <c r="L7">
        <v>20000000</v>
      </c>
      <c r="M7">
        <v>24</v>
      </c>
      <c r="N7">
        <v>24</v>
      </c>
      <c r="O7">
        <v>24</v>
      </c>
      <c r="P7">
        <v>0</v>
      </c>
      <c r="Q7" t="s">
        <v>55</v>
      </c>
      <c r="R7">
        <v>100021442892853</v>
      </c>
      <c r="S7">
        <v>10001585</v>
      </c>
      <c r="T7">
        <v>100021442892853</v>
      </c>
      <c r="U7">
        <v>10001585</v>
      </c>
      <c r="V7" t="s">
        <v>63</v>
      </c>
      <c r="W7">
        <v>7</v>
      </c>
      <c r="X7">
        <v>1801662</v>
      </c>
      <c r="Y7">
        <v>11803924</v>
      </c>
      <c r="Z7">
        <v>13605586</v>
      </c>
      <c r="AA7">
        <v>10001585</v>
      </c>
      <c r="AB7">
        <v>7.5516899999999998</v>
      </c>
      <c r="AC7">
        <v>0.84731000000000001</v>
      </c>
      <c r="AD7">
        <v>4.0351900000000001</v>
      </c>
      <c r="AE7">
        <v>332998336</v>
      </c>
      <c r="AF7" t="s">
        <v>369</v>
      </c>
      <c r="AG7" t="s">
        <v>370</v>
      </c>
      <c r="AH7">
        <v>809</v>
      </c>
      <c r="AI7">
        <v>757214</v>
      </c>
      <c r="AJ7">
        <v>1436561508352</v>
      </c>
      <c r="AK7">
        <v>5920880642</v>
      </c>
      <c r="AL7">
        <v>11710647</v>
      </c>
      <c r="AM7">
        <v>8335600525</v>
      </c>
      <c r="AN7">
        <v>6410744937</v>
      </c>
      <c r="AO7">
        <v>2649947472</v>
      </c>
      <c r="AP7">
        <v>2081538712</v>
      </c>
      <c r="AQ7">
        <v>0</v>
      </c>
      <c r="AR7">
        <v>21022408</v>
      </c>
      <c r="AS7">
        <v>2081538712</v>
      </c>
      <c r="AT7">
        <v>2102561120</v>
      </c>
      <c r="AU7">
        <v>34692311</v>
      </c>
      <c r="AV7">
        <v>0</v>
      </c>
      <c r="AW7">
        <v>350373</v>
      </c>
      <c r="AX7">
        <v>34692311</v>
      </c>
      <c r="AY7">
        <v>35042685</v>
      </c>
      <c r="AZ7">
        <v>16.129000000000001</v>
      </c>
      <c r="BA7">
        <v>5.9057000000000004</v>
      </c>
      <c r="BB7">
        <v>1906.58</v>
      </c>
      <c r="BC7">
        <v>1234.1099999999999</v>
      </c>
      <c r="BD7">
        <v>2434</v>
      </c>
      <c r="BE7">
        <v>155</v>
      </c>
      <c r="BF7">
        <f t="shared" si="3"/>
        <v>59.856729514666661</v>
      </c>
      <c r="BG7" s="31">
        <f t="shared" si="4"/>
        <v>0.97203684262500001</v>
      </c>
      <c r="BH7">
        <f t="shared" si="5"/>
        <v>4</v>
      </c>
      <c r="BI7">
        <f t="shared" si="6"/>
        <v>11179</v>
      </c>
      <c r="BJ7">
        <f t="shared" si="7"/>
        <v>320249</v>
      </c>
      <c r="BK7">
        <f t="shared" si="8"/>
        <v>3001337</v>
      </c>
      <c r="BL7">
        <f t="shared" si="9"/>
        <v>9840</v>
      </c>
      <c r="BM7">
        <f t="shared" si="10"/>
        <v>0</v>
      </c>
      <c r="BN7" t="str">
        <f t="shared" si="0"/>
        <v>u=1%, k=2x10^7</v>
      </c>
      <c r="BO7" t="str">
        <f t="shared" si="1"/>
        <v>u=1%, k=2x10^7, collaborative</v>
      </c>
      <c r="BP7">
        <f t="shared" si="11"/>
        <v>0.24670336008333335</v>
      </c>
      <c r="BQ7">
        <f t="shared" si="2"/>
        <v>4.8794362499999996E-4</v>
      </c>
      <c r="BR7">
        <f t="shared" si="2"/>
        <v>0.3473166885416667</v>
      </c>
      <c r="BS7">
        <f t="shared" si="2"/>
        <v>0.26711437237499996</v>
      </c>
      <c r="BT7">
        <f t="shared" si="2"/>
        <v>0.110414478</v>
      </c>
      <c r="BU7">
        <f t="shared" si="12"/>
        <v>58.884692672041659</v>
      </c>
    </row>
    <row r="8" spans="1:73">
      <c r="A8" t="s">
        <v>83</v>
      </c>
      <c r="B8" t="s">
        <v>158</v>
      </c>
      <c r="C8">
        <v>72</v>
      </c>
      <c r="D8" t="s">
        <v>56</v>
      </c>
      <c r="E8" t="s">
        <v>53</v>
      </c>
      <c r="F8" t="s">
        <v>54</v>
      </c>
      <c r="G8">
        <v>60000</v>
      </c>
      <c r="H8">
        <v>0.5</v>
      </c>
      <c r="I8">
        <v>0.5</v>
      </c>
      <c r="J8">
        <v>0</v>
      </c>
      <c r="K8">
        <v>1</v>
      </c>
      <c r="L8">
        <v>20000000</v>
      </c>
      <c r="M8">
        <v>48</v>
      </c>
      <c r="N8">
        <v>48</v>
      </c>
      <c r="O8">
        <v>48</v>
      </c>
      <c r="P8">
        <v>0</v>
      </c>
      <c r="Q8" t="s">
        <v>55</v>
      </c>
      <c r="R8">
        <v>100005493803132</v>
      </c>
      <c r="S8">
        <v>9999649</v>
      </c>
      <c r="T8">
        <v>100005493803132</v>
      </c>
      <c r="U8">
        <v>9999649</v>
      </c>
      <c r="V8" t="s">
        <v>63</v>
      </c>
      <c r="W8">
        <v>7</v>
      </c>
      <c r="X8">
        <v>1833431</v>
      </c>
      <c r="Y8">
        <v>11868980</v>
      </c>
      <c r="Z8">
        <v>13702411</v>
      </c>
      <c r="AA8">
        <v>9999649</v>
      </c>
      <c r="AB8">
        <v>7.4736399999999996</v>
      </c>
      <c r="AC8">
        <v>0.842503</v>
      </c>
      <c r="AD8">
        <v>4.0415700000000001</v>
      </c>
      <c r="AE8">
        <v>336583840</v>
      </c>
      <c r="AF8" t="s">
        <v>371</v>
      </c>
      <c r="AG8" t="s">
        <v>372</v>
      </c>
      <c r="AH8">
        <v>3987</v>
      </c>
      <c r="AI8">
        <v>313832</v>
      </c>
      <c r="AJ8">
        <v>2873122967727</v>
      </c>
      <c r="AK8">
        <v>13472478769</v>
      </c>
      <c r="AL8">
        <v>127693182</v>
      </c>
      <c r="AM8">
        <v>20946289590</v>
      </c>
      <c r="AN8">
        <v>16164862383</v>
      </c>
      <c r="AO8">
        <v>6414056433</v>
      </c>
      <c r="AP8">
        <v>3595995643</v>
      </c>
      <c r="AQ8">
        <v>0</v>
      </c>
      <c r="AR8">
        <v>36325169</v>
      </c>
      <c r="AS8">
        <v>3595995643</v>
      </c>
      <c r="AT8">
        <v>3632320812</v>
      </c>
      <c r="AU8">
        <v>59933260</v>
      </c>
      <c r="AV8">
        <v>0</v>
      </c>
      <c r="AW8">
        <v>605419</v>
      </c>
      <c r="AX8">
        <v>59933260</v>
      </c>
      <c r="AY8">
        <v>60538680</v>
      </c>
      <c r="AZ8">
        <v>16.1633</v>
      </c>
      <c r="BA8">
        <v>6.0043699999999998</v>
      </c>
      <c r="BB8">
        <v>2200.3000000000002</v>
      </c>
      <c r="BC8">
        <v>1510.52</v>
      </c>
      <c r="BD8">
        <v>2476</v>
      </c>
      <c r="BE8">
        <v>162</v>
      </c>
      <c r="BF8">
        <f t="shared" si="3"/>
        <v>59.856728494312499</v>
      </c>
      <c r="BG8" s="31">
        <f t="shared" si="4"/>
        <v>1.1901120907708334</v>
      </c>
      <c r="BH8">
        <f t="shared" si="5"/>
        <v>7</v>
      </c>
      <c r="BI8">
        <f t="shared" si="6"/>
        <v>21740</v>
      </c>
      <c r="BJ8">
        <f t="shared" si="7"/>
        <v>474765</v>
      </c>
      <c r="BK8">
        <f t="shared" si="8"/>
        <v>5095079</v>
      </c>
      <c r="BL8">
        <f t="shared" si="9"/>
        <v>15926</v>
      </c>
      <c r="BM8">
        <f t="shared" si="10"/>
        <v>0</v>
      </c>
      <c r="BN8" t="str">
        <f t="shared" si="0"/>
        <v>u=1%, k=2x10^7</v>
      </c>
      <c r="BO8" t="str">
        <f t="shared" si="1"/>
        <v>u=1%, k=2x10^7, collaborative</v>
      </c>
      <c r="BP8">
        <f t="shared" si="11"/>
        <v>0.28067664102083334</v>
      </c>
      <c r="BQ8">
        <f t="shared" si="2"/>
        <v>2.6602746249999999E-3</v>
      </c>
      <c r="BR8">
        <f t="shared" si="2"/>
        <v>0.43638103312499998</v>
      </c>
      <c r="BS8">
        <f t="shared" si="2"/>
        <v>0.3367679663125</v>
      </c>
      <c r="BT8">
        <f t="shared" si="2"/>
        <v>0.13362617568749999</v>
      </c>
      <c r="BU8">
        <f t="shared" si="12"/>
        <v>58.666616403541667</v>
      </c>
    </row>
    <row r="9" spans="1:73">
      <c r="A9" t="s">
        <v>84</v>
      </c>
      <c r="B9" t="s">
        <v>158</v>
      </c>
      <c r="C9">
        <v>72</v>
      </c>
      <c r="D9" t="s">
        <v>56</v>
      </c>
      <c r="E9" t="s">
        <v>53</v>
      </c>
      <c r="F9" t="s">
        <v>54</v>
      </c>
      <c r="G9">
        <v>60000</v>
      </c>
      <c r="H9">
        <v>0.5</v>
      </c>
      <c r="I9">
        <v>0.5</v>
      </c>
      <c r="J9">
        <v>0</v>
      </c>
      <c r="K9">
        <v>1</v>
      </c>
      <c r="L9">
        <v>20000000</v>
      </c>
      <c r="M9">
        <v>96</v>
      </c>
      <c r="N9">
        <v>96</v>
      </c>
      <c r="O9">
        <v>96</v>
      </c>
      <c r="P9">
        <v>0</v>
      </c>
      <c r="Q9" t="s">
        <v>55</v>
      </c>
      <c r="R9">
        <v>99991376028109</v>
      </c>
      <c r="S9">
        <v>9998832</v>
      </c>
      <c r="T9">
        <v>99991376028109</v>
      </c>
      <c r="U9">
        <v>9998832</v>
      </c>
      <c r="V9" t="s">
        <v>63</v>
      </c>
      <c r="W9">
        <v>7</v>
      </c>
      <c r="X9">
        <v>1902738</v>
      </c>
      <c r="Y9">
        <v>12022979</v>
      </c>
      <c r="Z9">
        <v>13925717</v>
      </c>
      <c r="AA9">
        <v>9998832</v>
      </c>
      <c r="AB9">
        <v>7.3187800000000003</v>
      </c>
      <c r="AC9">
        <v>0.83164300000000002</v>
      </c>
      <c r="AD9">
        <v>4.0554399999999999</v>
      </c>
      <c r="AE9">
        <v>344616784</v>
      </c>
      <c r="AF9" t="s">
        <v>373</v>
      </c>
      <c r="AG9" t="s">
        <v>374</v>
      </c>
      <c r="AH9">
        <v>16703</v>
      </c>
      <c r="AI9">
        <v>165406</v>
      </c>
      <c r="AJ9">
        <v>5746246132990</v>
      </c>
      <c r="AK9">
        <v>29612077925</v>
      </c>
      <c r="AL9">
        <v>1172863197</v>
      </c>
      <c r="AM9">
        <v>55131530675</v>
      </c>
      <c r="AN9">
        <v>54527328529</v>
      </c>
      <c r="AO9">
        <v>14344378704</v>
      </c>
      <c r="AP9">
        <v>7680200862</v>
      </c>
      <c r="AQ9">
        <v>0</v>
      </c>
      <c r="AR9">
        <v>77576672</v>
      </c>
      <c r="AS9">
        <v>7680200862</v>
      </c>
      <c r="AT9">
        <v>7757777534</v>
      </c>
      <c r="AU9">
        <v>128003347</v>
      </c>
      <c r="AV9">
        <v>0</v>
      </c>
      <c r="AW9">
        <v>1292944</v>
      </c>
      <c r="AX9">
        <v>128003347</v>
      </c>
      <c r="AY9">
        <v>129296292</v>
      </c>
      <c r="AZ9">
        <v>16.2807</v>
      </c>
      <c r="BA9">
        <v>6.4349400000000001</v>
      </c>
      <c r="BB9">
        <v>2041.98</v>
      </c>
      <c r="BC9">
        <v>1289.56</v>
      </c>
      <c r="BD9">
        <v>2548</v>
      </c>
      <c r="BE9">
        <v>338</v>
      </c>
      <c r="BF9">
        <f t="shared" si="3"/>
        <v>59.856730551979162</v>
      </c>
      <c r="BG9" s="31">
        <f t="shared" si="4"/>
        <v>1.6123768648958334</v>
      </c>
      <c r="BH9">
        <f t="shared" si="5"/>
        <v>15</v>
      </c>
      <c r="BI9">
        <f t="shared" si="6"/>
        <v>47423</v>
      </c>
      <c r="BJ9">
        <f t="shared" si="7"/>
        <v>695334</v>
      </c>
      <c r="BK9">
        <f t="shared" si="8"/>
        <v>10622457</v>
      </c>
      <c r="BL9">
        <f t="shared" si="9"/>
        <v>30717</v>
      </c>
      <c r="BM9">
        <f t="shared" si="10"/>
        <v>0</v>
      </c>
      <c r="BN9" t="str">
        <f t="shared" si="0"/>
        <v>u=1%, k=2x10^7</v>
      </c>
      <c r="BO9" t="str">
        <f t="shared" si="1"/>
        <v>u=1%, k=2x10^7, collaborative</v>
      </c>
      <c r="BP9">
        <f t="shared" si="11"/>
        <v>0.30845914505208333</v>
      </c>
      <c r="BQ9">
        <f t="shared" si="2"/>
        <v>1.221732496875E-2</v>
      </c>
      <c r="BR9">
        <f t="shared" si="2"/>
        <v>0.57428677786458338</v>
      </c>
      <c r="BS9">
        <f t="shared" si="2"/>
        <v>0.56799300551041665</v>
      </c>
      <c r="BT9">
        <f t="shared" si="2"/>
        <v>0.14942061149999999</v>
      </c>
      <c r="BU9">
        <f t="shared" si="12"/>
        <v>58.244353687083326</v>
      </c>
    </row>
    <row r="10" spans="1:73">
      <c r="A10" t="s">
        <v>85</v>
      </c>
      <c r="B10" t="s">
        <v>158</v>
      </c>
      <c r="C10">
        <v>72</v>
      </c>
      <c r="D10" t="s">
        <v>56</v>
      </c>
      <c r="E10" t="s">
        <v>53</v>
      </c>
      <c r="F10" t="s">
        <v>54</v>
      </c>
      <c r="G10">
        <v>60000</v>
      </c>
      <c r="H10">
        <v>0.5</v>
      </c>
      <c r="I10">
        <v>0.5</v>
      </c>
      <c r="J10">
        <v>0</v>
      </c>
      <c r="K10">
        <v>1</v>
      </c>
      <c r="L10">
        <v>20000000</v>
      </c>
      <c r="M10">
        <v>144</v>
      </c>
      <c r="N10">
        <v>144</v>
      </c>
      <c r="O10">
        <v>144</v>
      </c>
      <c r="P10">
        <v>0</v>
      </c>
      <c r="Q10" t="s">
        <v>55</v>
      </c>
      <c r="R10">
        <v>99983193821221</v>
      </c>
      <c r="S10">
        <v>9998573</v>
      </c>
      <c r="T10">
        <v>99983193821221</v>
      </c>
      <c r="U10">
        <v>9998573</v>
      </c>
      <c r="V10" t="s">
        <v>63</v>
      </c>
      <c r="W10">
        <v>7</v>
      </c>
      <c r="X10">
        <v>1736877</v>
      </c>
      <c r="Y10">
        <v>11672527</v>
      </c>
      <c r="Z10">
        <v>13409404</v>
      </c>
      <c r="AA10">
        <v>9998573</v>
      </c>
      <c r="AB10">
        <v>7.7204100000000002</v>
      </c>
      <c r="AC10">
        <v>0.85658999999999996</v>
      </c>
      <c r="AD10">
        <v>4.0230300000000003</v>
      </c>
      <c r="AE10">
        <v>325712528</v>
      </c>
      <c r="AF10" t="s">
        <v>375</v>
      </c>
      <c r="AG10" t="s">
        <v>376</v>
      </c>
      <c r="AH10">
        <v>40609</v>
      </c>
      <c r="AI10">
        <v>111296</v>
      </c>
      <c r="AJ10">
        <v>8619370072929</v>
      </c>
      <c r="AK10">
        <v>44448230316</v>
      </c>
      <c r="AL10">
        <v>2662059463</v>
      </c>
      <c r="AM10">
        <v>80431967312</v>
      </c>
      <c r="AN10">
        <v>91081717939</v>
      </c>
      <c r="AO10">
        <v>21991218423</v>
      </c>
      <c r="AP10">
        <v>11300317172</v>
      </c>
      <c r="AQ10">
        <v>0</v>
      </c>
      <c r="AR10">
        <v>114148936</v>
      </c>
      <c r="AS10">
        <v>11300317172</v>
      </c>
      <c r="AT10">
        <v>11414466108</v>
      </c>
      <c r="AU10">
        <v>188338619</v>
      </c>
      <c r="AV10">
        <v>0</v>
      </c>
      <c r="AW10">
        <v>1902482</v>
      </c>
      <c r="AX10">
        <v>188338619</v>
      </c>
      <c r="AY10">
        <v>190241101</v>
      </c>
      <c r="AZ10">
        <v>16.3673</v>
      </c>
      <c r="BA10">
        <v>6.5792599999999997</v>
      </c>
      <c r="BB10">
        <v>2082.59</v>
      </c>
      <c r="BC10">
        <v>1315.38</v>
      </c>
      <c r="BD10">
        <v>2637</v>
      </c>
      <c r="BE10">
        <v>378</v>
      </c>
      <c r="BF10">
        <f t="shared" si="3"/>
        <v>59.856736617562497</v>
      </c>
      <c r="BG10" s="31">
        <f t="shared" si="4"/>
        <v>1.670938843423611</v>
      </c>
      <c r="BH10">
        <f t="shared" si="5"/>
        <v>22</v>
      </c>
      <c r="BI10">
        <f t="shared" si="6"/>
        <v>72668</v>
      </c>
      <c r="BJ10">
        <f t="shared" si="7"/>
        <v>608382</v>
      </c>
      <c r="BK10">
        <f t="shared" si="8"/>
        <v>15284288</v>
      </c>
      <c r="BL10">
        <f t="shared" si="9"/>
        <v>38649</v>
      </c>
      <c r="BM10">
        <f t="shared" si="10"/>
        <v>0</v>
      </c>
      <c r="BN10" t="str">
        <f t="shared" si="0"/>
        <v>u=1%, k=2x10^7</v>
      </c>
      <c r="BO10" t="str">
        <f t="shared" si="1"/>
        <v>u=1%, k=2x10^7, collaborative</v>
      </c>
      <c r="BP10">
        <f t="shared" si="11"/>
        <v>0.30866826608333331</v>
      </c>
      <c r="BQ10">
        <f t="shared" si="2"/>
        <v>1.8486524048611109E-2</v>
      </c>
      <c r="BR10">
        <f t="shared" si="2"/>
        <v>0.55855532855555556</v>
      </c>
      <c r="BS10">
        <f t="shared" si="2"/>
        <v>0.6325119301319444</v>
      </c>
      <c r="BT10">
        <f t="shared" si="2"/>
        <v>0.15271679460416665</v>
      </c>
      <c r="BU10">
        <f t="shared" si="12"/>
        <v>58.185797774138884</v>
      </c>
    </row>
    <row r="11" spans="1:73">
      <c r="A11" t="s">
        <v>86</v>
      </c>
      <c r="B11" t="s">
        <v>158</v>
      </c>
      <c r="C11">
        <v>72</v>
      </c>
      <c r="D11" t="s">
        <v>56</v>
      </c>
      <c r="E11" t="s">
        <v>53</v>
      </c>
      <c r="F11" t="s">
        <v>54</v>
      </c>
      <c r="G11">
        <v>60000</v>
      </c>
      <c r="H11">
        <v>0.5</v>
      </c>
      <c r="I11">
        <v>0.5</v>
      </c>
      <c r="J11">
        <v>0</v>
      </c>
      <c r="K11">
        <v>1</v>
      </c>
      <c r="L11">
        <v>20000000</v>
      </c>
      <c r="M11">
        <v>190</v>
      </c>
      <c r="N11">
        <v>190</v>
      </c>
      <c r="O11">
        <v>190</v>
      </c>
      <c r="P11">
        <v>0</v>
      </c>
      <c r="Q11" t="s">
        <v>55</v>
      </c>
      <c r="R11">
        <v>100002760551202</v>
      </c>
      <c r="S11">
        <v>9997981</v>
      </c>
      <c r="T11">
        <v>100002760551202</v>
      </c>
      <c r="U11">
        <v>9997981</v>
      </c>
      <c r="V11" t="s">
        <v>63</v>
      </c>
      <c r="W11">
        <v>7</v>
      </c>
      <c r="X11">
        <v>1735233</v>
      </c>
      <c r="Y11">
        <v>11669066</v>
      </c>
      <c r="Z11">
        <v>13404299</v>
      </c>
      <c r="AA11">
        <v>9997981</v>
      </c>
      <c r="AB11">
        <v>7.72478</v>
      </c>
      <c r="AC11">
        <v>0.85679400000000006</v>
      </c>
      <c r="AD11">
        <v>4.0225400000000002</v>
      </c>
      <c r="AE11">
        <v>325528096</v>
      </c>
      <c r="AF11" t="s">
        <v>377</v>
      </c>
      <c r="AG11" t="s">
        <v>378</v>
      </c>
      <c r="AH11">
        <v>74640</v>
      </c>
      <c r="AI11">
        <v>92606</v>
      </c>
      <c r="AJ11">
        <v>11372839538790</v>
      </c>
      <c r="AK11">
        <v>60857651627</v>
      </c>
      <c r="AL11">
        <v>6918805327</v>
      </c>
      <c r="AM11">
        <v>118435097021</v>
      </c>
      <c r="AN11">
        <v>133665503740</v>
      </c>
      <c r="AO11">
        <v>47450443557</v>
      </c>
      <c r="AP11">
        <v>14756164719</v>
      </c>
      <c r="AQ11">
        <v>0</v>
      </c>
      <c r="AR11">
        <v>149064214</v>
      </c>
      <c r="AS11">
        <v>14756164719</v>
      </c>
      <c r="AT11">
        <v>14905228933</v>
      </c>
      <c r="AU11">
        <v>245936078</v>
      </c>
      <c r="AV11">
        <v>0</v>
      </c>
      <c r="AW11">
        <v>2484403</v>
      </c>
      <c r="AX11">
        <v>245936078</v>
      </c>
      <c r="AY11">
        <v>248420482</v>
      </c>
      <c r="AZ11">
        <v>16.366599999999998</v>
      </c>
      <c r="BA11">
        <v>6.6679300000000001</v>
      </c>
      <c r="BB11">
        <v>2100.83</v>
      </c>
      <c r="BC11">
        <v>1320.5</v>
      </c>
      <c r="BD11">
        <v>2732</v>
      </c>
      <c r="BE11">
        <v>402</v>
      </c>
      <c r="BF11">
        <f t="shared" si="3"/>
        <v>59.857050204157893</v>
      </c>
      <c r="BG11" s="31">
        <f t="shared" si="4"/>
        <v>1.9333026382736842</v>
      </c>
      <c r="BH11">
        <f t="shared" si="5"/>
        <v>29</v>
      </c>
      <c r="BI11">
        <f t="shared" si="6"/>
        <v>94667</v>
      </c>
      <c r="BJ11">
        <f t="shared" si="7"/>
        <v>798900</v>
      </c>
      <c r="BK11">
        <f t="shared" si="8"/>
        <v>19965202</v>
      </c>
      <c r="BL11">
        <f t="shared" si="9"/>
        <v>50387</v>
      </c>
      <c r="BM11">
        <f t="shared" si="10"/>
        <v>0</v>
      </c>
      <c r="BN11" t="str">
        <f t="shared" si="0"/>
        <v>u=1%, k=2x10^7</v>
      </c>
      <c r="BO11" t="str">
        <f t="shared" si="1"/>
        <v>u=1%, k=2x10^7, collaborative</v>
      </c>
      <c r="BP11">
        <f t="shared" si="11"/>
        <v>0.3203034296157895</v>
      </c>
      <c r="BQ11">
        <f t="shared" si="2"/>
        <v>3.6414764878947369E-2</v>
      </c>
      <c r="BR11">
        <f t="shared" si="2"/>
        <v>0.62334261590000006</v>
      </c>
      <c r="BS11">
        <f t="shared" si="2"/>
        <v>0.70350265126315781</v>
      </c>
      <c r="BT11">
        <f t="shared" si="2"/>
        <v>0.24973917661578948</v>
      </c>
      <c r="BU11">
        <f t="shared" si="12"/>
        <v>57.923747565884206</v>
      </c>
    </row>
    <row r="12" spans="1:73">
      <c r="A12" t="s">
        <v>87</v>
      </c>
      <c r="B12" t="s">
        <v>158</v>
      </c>
      <c r="C12">
        <v>72</v>
      </c>
      <c r="D12" t="s">
        <v>56</v>
      </c>
      <c r="E12" t="s">
        <v>53</v>
      </c>
      <c r="F12" t="s">
        <v>54</v>
      </c>
      <c r="G12">
        <v>60000</v>
      </c>
      <c r="H12">
        <v>0.5</v>
      </c>
      <c r="I12">
        <v>0.5</v>
      </c>
      <c r="J12">
        <v>0</v>
      </c>
      <c r="K12">
        <v>1</v>
      </c>
      <c r="L12">
        <v>200000000</v>
      </c>
      <c r="M12">
        <v>24</v>
      </c>
      <c r="N12">
        <v>24</v>
      </c>
      <c r="O12">
        <v>24</v>
      </c>
      <c r="P12">
        <v>0</v>
      </c>
      <c r="Q12" t="s">
        <v>55</v>
      </c>
      <c r="R12">
        <v>9999586644699750</v>
      </c>
      <c r="S12">
        <v>100002043</v>
      </c>
      <c r="T12">
        <v>9999586644699750</v>
      </c>
      <c r="U12">
        <v>100002043</v>
      </c>
      <c r="V12" t="s">
        <v>63</v>
      </c>
      <c r="W12">
        <v>7</v>
      </c>
      <c r="X12">
        <v>14104014</v>
      </c>
      <c r="Y12">
        <v>116365131</v>
      </c>
      <c r="Z12">
        <v>130469145</v>
      </c>
      <c r="AA12">
        <v>100002043</v>
      </c>
      <c r="AB12">
        <v>9.2505000000000006</v>
      </c>
      <c r="AC12">
        <v>0.85938199999999998</v>
      </c>
      <c r="AD12">
        <v>4.0640599999999996</v>
      </c>
      <c r="AE12">
        <v>2992625344</v>
      </c>
      <c r="AF12" t="s">
        <v>379</v>
      </c>
      <c r="AG12" t="s">
        <v>379</v>
      </c>
      <c r="AI12">
        <v>626440</v>
      </c>
      <c r="AJ12">
        <v>1436567642968</v>
      </c>
      <c r="AK12">
        <v>284882148</v>
      </c>
      <c r="AM12">
        <v>808842708</v>
      </c>
      <c r="AN12">
        <v>1521103785</v>
      </c>
      <c r="AO12">
        <v>113987808</v>
      </c>
      <c r="AP12">
        <v>1684747517</v>
      </c>
      <c r="AQ12">
        <v>0</v>
      </c>
      <c r="AR12">
        <v>17011669</v>
      </c>
      <c r="AS12">
        <v>1684747517</v>
      </c>
      <c r="AT12">
        <v>1701759186</v>
      </c>
      <c r="AU12">
        <v>28079125</v>
      </c>
      <c r="AV12">
        <v>0</v>
      </c>
      <c r="AW12">
        <v>283527</v>
      </c>
      <c r="AX12">
        <v>28079125</v>
      </c>
      <c r="AY12">
        <v>28362653</v>
      </c>
      <c r="AZ12">
        <v>18.9222</v>
      </c>
      <c r="BA12">
        <v>8.2740799999999997</v>
      </c>
      <c r="BB12">
        <v>2359.4299999999998</v>
      </c>
      <c r="BC12">
        <v>1762.48</v>
      </c>
      <c r="BD12">
        <v>7480</v>
      </c>
      <c r="BE12">
        <v>1553</v>
      </c>
      <c r="BF12">
        <f t="shared" si="3"/>
        <v>59.856985123666668</v>
      </c>
      <c r="BG12" s="31">
        <f t="shared" si="4"/>
        <v>0.113700685375</v>
      </c>
      <c r="BH12">
        <f t="shared" si="5"/>
        <v>0</v>
      </c>
      <c r="BI12">
        <f t="shared" si="6"/>
        <v>0</v>
      </c>
      <c r="BJ12">
        <f t="shared" si="7"/>
        <v>7</v>
      </c>
      <c r="BK12">
        <f t="shared" si="8"/>
        <v>590822</v>
      </c>
      <c r="BL12">
        <f t="shared" si="9"/>
        <v>198305</v>
      </c>
      <c r="BM12">
        <f t="shared" si="10"/>
        <v>0</v>
      </c>
      <c r="BN12" t="str">
        <f t="shared" si="0"/>
        <v>u=1%, k=2x10^8</v>
      </c>
      <c r="BO12" t="str">
        <f t="shared" si="1"/>
        <v>u=1%, k=2x10^8, collaborative</v>
      </c>
      <c r="BP12">
        <f t="shared" si="11"/>
        <v>1.18700895E-2</v>
      </c>
      <c r="BQ12">
        <f t="shared" si="2"/>
        <v>0</v>
      </c>
      <c r="BR12">
        <f t="shared" si="2"/>
        <v>3.3701779500000001E-2</v>
      </c>
      <c r="BS12">
        <f t="shared" si="2"/>
        <v>6.3379324375000004E-2</v>
      </c>
      <c r="BT12">
        <f t="shared" si="2"/>
        <v>4.7494920000000001E-3</v>
      </c>
      <c r="BU12">
        <f t="shared" si="12"/>
        <v>59.743284438291667</v>
      </c>
    </row>
    <row r="13" spans="1:73">
      <c r="A13" t="s">
        <v>88</v>
      </c>
      <c r="B13" t="s">
        <v>158</v>
      </c>
      <c r="C13">
        <v>72</v>
      </c>
      <c r="D13" t="s">
        <v>56</v>
      </c>
      <c r="E13" t="s">
        <v>53</v>
      </c>
      <c r="F13" t="s">
        <v>54</v>
      </c>
      <c r="G13">
        <v>60000</v>
      </c>
      <c r="H13">
        <v>0.5</v>
      </c>
      <c r="I13">
        <v>0.5</v>
      </c>
      <c r="J13">
        <v>0</v>
      </c>
      <c r="K13">
        <v>1</v>
      </c>
      <c r="L13">
        <v>200000000</v>
      </c>
      <c r="M13">
        <v>48</v>
      </c>
      <c r="N13">
        <v>48</v>
      </c>
      <c r="O13">
        <v>48</v>
      </c>
      <c r="P13">
        <v>0</v>
      </c>
      <c r="Q13" t="s">
        <v>55</v>
      </c>
      <c r="R13">
        <v>9999962050205940</v>
      </c>
      <c r="S13">
        <v>100000357</v>
      </c>
      <c r="T13">
        <v>9999962050205940</v>
      </c>
      <c r="U13">
        <v>100000357</v>
      </c>
      <c r="V13" t="s">
        <v>63</v>
      </c>
      <c r="W13">
        <v>7</v>
      </c>
      <c r="X13">
        <v>14924290</v>
      </c>
      <c r="Y13">
        <v>118205262</v>
      </c>
      <c r="Z13">
        <v>133129552</v>
      </c>
      <c r="AA13">
        <v>100000357</v>
      </c>
      <c r="AB13">
        <v>8.9203299999999999</v>
      </c>
      <c r="AC13">
        <v>0.84598899999999999</v>
      </c>
      <c r="AD13">
        <v>4.0817399999999999</v>
      </c>
      <c r="AE13">
        <v>3089408240</v>
      </c>
      <c r="AF13" t="s">
        <v>380</v>
      </c>
      <c r="AG13" t="s">
        <v>380</v>
      </c>
      <c r="AI13">
        <v>271384</v>
      </c>
      <c r="AJ13">
        <v>2873134058240</v>
      </c>
      <c r="AK13">
        <v>1470633287</v>
      </c>
      <c r="AM13">
        <v>3563563483</v>
      </c>
      <c r="AN13">
        <v>5359262783</v>
      </c>
      <c r="AO13">
        <v>604367983</v>
      </c>
      <c r="AP13">
        <v>2976250853</v>
      </c>
      <c r="AQ13">
        <v>0</v>
      </c>
      <c r="AR13">
        <v>30071327</v>
      </c>
      <c r="AS13">
        <v>2976250853</v>
      </c>
      <c r="AT13">
        <v>3006322180</v>
      </c>
      <c r="AU13">
        <v>49604180</v>
      </c>
      <c r="AV13">
        <v>0</v>
      </c>
      <c r="AW13">
        <v>501188</v>
      </c>
      <c r="AX13">
        <v>49604180</v>
      </c>
      <c r="AY13">
        <v>50105369</v>
      </c>
      <c r="AZ13">
        <v>19.059000000000001</v>
      </c>
      <c r="BA13">
        <v>8.3845200000000002</v>
      </c>
      <c r="BB13">
        <v>2669.22</v>
      </c>
      <c r="BC13">
        <v>1988.85</v>
      </c>
      <c r="BD13">
        <v>7812</v>
      </c>
      <c r="BE13">
        <v>1283</v>
      </c>
      <c r="BF13">
        <f t="shared" si="3"/>
        <v>59.856959546666666</v>
      </c>
      <c r="BG13" s="31">
        <f t="shared" si="4"/>
        <v>0.22912140700000003</v>
      </c>
      <c r="BH13">
        <f t="shared" si="5"/>
        <v>0</v>
      </c>
      <c r="BI13">
        <f t="shared" si="6"/>
        <v>0</v>
      </c>
      <c r="BJ13">
        <f t="shared" si="7"/>
        <v>14590</v>
      </c>
      <c r="BK13">
        <f t="shared" si="8"/>
        <v>2021013</v>
      </c>
      <c r="BL13">
        <f t="shared" si="9"/>
        <v>419589</v>
      </c>
      <c r="BM13">
        <f t="shared" si="10"/>
        <v>0</v>
      </c>
      <c r="BN13" t="str">
        <f t="shared" si="0"/>
        <v>u=1%, k=2x10^8</v>
      </c>
      <c r="BO13" t="str">
        <f t="shared" si="1"/>
        <v>u=1%, k=2x10^8, collaborative</v>
      </c>
      <c r="BP13">
        <f t="shared" si="11"/>
        <v>3.0638193479166669E-2</v>
      </c>
      <c r="BQ13">
        <f t="shared" si="2"/>
        <v>0</v>
      </c>
      <c r="BR13">
        <f t="shared" si="2"/>
        <v>7.4240905895833334E-2</v>
      </c>
      <c r="BS13">
        <f t="shared" si="2"/>
        <v>0.11165130797916667</v>
      </c>
      <c r="BT13">
        <f t="shared" si="2"/>
        <v>1.2590999645833335E-2</v>
      </c>
      <c r="BU13">
        <f t="shared" si="12"/>
        <v>59.627838139666665</v>
      </c>
    </row>
    <row r="14" spans="1:73">
      <c r="A14" t="s">
        <v>89</v>
      </c>
      <c r="B14" t="s">
        <v>158</v>
      </c>
      <c r="C14">
        <v>72</v>
      </c>
      <c r="D14" t="s">
        <v>56</v>
      </c>
      <c r="E14" t="s">
        <v>53</v>
      </c>
      <c r="F14" t="s">
        <v>54</v>
      </c>
      <c r="G14">
        <v>60000</v>
      </c>
      <c r="H14">
        <v>0.5</v>
      </c>
      <c r="I14">
        <v>0.5</v>
      </c>
      <c r="J14">
        <v>0</v>
      </c>
      <c r="K14">
        <v>1</v>
      </c>
      <c r="L14">
        <v>200000000</v>
      </c>
      <c r="M14">
        <v>96</v>
      </c>
      <c r="N14">
        <v>96</v>
      </c>
      <c r="O14">
        <v>96</v>
      </c>
      <c r="P14">
        <v>0</v>
      </c>
      <c r="Q14" t="s">
        <v>55</v>
      </c>
      <c r="R14">
        <v>1.00006031922503E+16</v>
      </c>
      <c r="S14">
        <v>100005387</v>
      </c>
      <c r="T14">
        <v>1.00006031922503E+16</v>
      </c>
      <c r="U14">
        <v>100005387</v>
      </c>
      <c r="V14" t="s">
        <v>63</v>
      </c>
      <c r="W14">
        <v>7</v>
      </c>
      <c r="X14">
        <v>12961328</v>
      </c>
      <c r="Y14">
        <v>113961548</v>
      </c>
      <c r="Z14">
        <v>126922876</v>
      </c>
      <c r="AA14">
        <v>100005387</v>
      </c>
      <c r="AB14">
        <v>9.7924299999999995</v>
      </c>
      <c r="AC14">
        <v>0.87753599999999998</v>
      </c>
      <c r="AD14">
        <v>4.0399099999999999</v>
      </c>
      <c r="AE14">
        <v>2861286592</v>
      </c>
      <c r="AF14" t="s">
        <v>381</v>
      </c>
      <c r="AG14" t="s">
        <v>382</v>
      </c>
      <c r="AH14">
        <v>2583</v>
      </c>
      <c r="AI14">
        <v>121750</v>
      </c>
      <c r="AJ14">
        <v>5746266247902</v>
      </c>
      <c r="AK14">
        <v>19369975016</v>
      </c>
      <c r="AL14">
        <v>61641844</v>
      </c>
      <c r="AM14">
        <v>52554410537</v>
      </c>
      <c r="AN14">
        <v>42358275418</v>
      </c>
      <c r="AO14">
        <v>8746736776</v>
      </c>
      <c r="AP14">
        <v>5831841247</v>
      </c>
      <c r="AQ14">
        <v>0</v>
      </c>
      <c r="AR14">
        <v>58915551</v>
      </c>
      <c r="AS14">
        <v>5831841247</v>
      </c>
      <c r="AT14">
        <v>5890756798</v>
      </c>
      <c r="AU14">
        <v>97197354</v>
      </c>
      <c r="AV14">
        <v>0</v>
      </c>
      <c r="AW14">
        <v>981925</v>
      </c>
      <c r="AX14">
        <v>97197354</v>
      </c>
      <c r="AY14">
        <v>98179279</v>
      </c>
      <c r="AZ14">
        <v>19.367699999999999</v>
      </c>
      <c r="BA14">
        <v>9.2972599999999996</v>
      </c>
      <c r="BB14">
        <v>2694.79</v>
      </c>
      <c r="BC14">
        <v>1952.91</v>
      </c>
      <c r="BD14">
        <v>11314</v>
      </c>
      <c r="BE14">
        <v>1088</v>
      </c>
      <c r="BF14">
        <f t="shared" si="3"/>
        <v>59.856940082312498</v>
      </c>
      <c r="BG14" s="31">
        <f t="shared" si="4"/>
        <v>1.2821983290729166</v>
      </c>
      <c r="BH14">
        <f t="shared" si="5"/>
        <v>1</v>
      </c>
      <c r="BI14">
        <f t="shared" si="6"/>
        <v>9911</v>
      </c>
      <c r="BJ14">
        <f t="shared" si="7"/>
        <v>394437</v>
      </c>
      <c r="BK14">
        <f t="shared" si="8"/>
        <v>4116833</v>
      </c>
      <c r="BL14">
        <f t="shared" si="9"/>
        <v>741999</v>
      </c>
      <c r="BM14">
        <f t="shared" si="10"/>
        <v>0</v>
      </c>
      <c r="BN14" t="str">
        <f t="shared" si="0"/>
        <v>u=1%, k=2x10^8</v>
      </c>
      <c r="BO14" t="str">
        <f t="shared" si="1"/>
        <v>u=1%, k=2x10^8, collaborative</v>
      </c>
      <c r="BP14">
        <f t="shared" si="11"/>
        <v>0.20177057308333335</v>
      </c>
      <c r="BQ14">
        <f t="shared" si="2"/>
        <v>6.4210254166666668E-4</v>
      </c>
      <c r="BR14">
        <f t="shared" si="2"/>
        <v>0.54744177642708336</v>
      </c>
      <c r="BS14">
        <f t="shared" si="2"/>
        <v>0.44123203560416663</v>
      </c>
      <c r="BT14">
        <f t="shared" si="2"/>
        <v>9.1111841416666672E-2</v>
      </c>
      <c r="BU14">
        <f t="shared" si="12"/>
        <v>58.574741753239579</v>
      </c>
    </row>
    <row r="15" spans="1:73">
      <c r="A15" t="s">
        <v>90</v>
      </c>
      <c r="B15" t="s">
        <v>158</v>
      </c>
      <c r="C15">
        <v>72</v>
      </c>
      <c r="D15" t="s">
        <v>56</v>
      </c>
      <c r="E15" t="s">
        <v>53</v>
      </c>
      <c r="F15" t="s">
        <v>54</v>
      </c>
      <c r="G15">
        <v>60000</v>
      </c>
      <c r="H15">
        <v>0.5</v>
      </c>
      <c r="I15">
        <v>0.5</v>
      </c>
      <c r="J15">
        <v>0</v>
      </c>
      <c r="K15">
        <v>1</v>
      </c>
      <c r="L15">
        <v>200000000</v>
      </c>
      <c r="M15">
        <v>144</v>
      </c>
      <c r="N15">
        <v>144</v>
      </c>
      <c r="O15">
        <v>144</v>
      </c>
      <c r="P15">
        <v>0</v>
      </c>
      <c r="Q15" t="s">
        <v>55</v>
      </c>
      <c r="R15">
        <v>9998790244754940</v>
      </c>
      <c r="S15">
        <v>99986814</v>
      </c>
      <c r="T15">
        <v>9998790244754940</v>
      </c>
      <c r="U15">
        <v>99986814</v>
      </c>
      <c r="V15" t="s">
        <v>63</v>
      </c>
      <c r="W15">
        <v>7</v>
      </c>
      <c r="X15">
        <v>14855440</v>
      </c>
      <c r="Y15">
        <v>118073987</v>
      </c>
      <c r="Z15">
        <v>132929427</v>
      </c>
      <c r="AA15">
        <v>99986814</v>
      </c>
      <c r="AB15">
        <v>8.9481999999999999</v>
      </c>
      <c r="AC15">
        <v>0.84681499999999998</v>
      </c>
      <c r="AD15">
        <v>4.0795500000000002</v>
      </c>
      <c r="AE15">
        <v>3081980464</v>
      </c>
      <c r="AF15" t="s">
        <v>383</v>
      </c>
      <c r="AG15" t="s">
        <v>384</v>
      </c>
      <c r="AH15">
        <v>3845</v>
      </c>
      <c r="AI15">
        <v>81192</v>
      </c>
      <c r="AJ15">
        <v>8619396723020</v>
      </c>
      <c r="AK15">
        <v>22620468273</v>
      </c>
      <c r="AL15">
        <v>225846275</v>
      </c>
      <c r="AM15">
        <v>79940161979</v>
      </c>
      <c r="AN15">
        <v>52642008162</v>
      </c>
      <c r="AO15">
        <v>11769195038</v>
      </c>
      <c r="AP15">
        <v>8639846139</v>
      </c>
      <c r="AQ15">
        <v>0</v>
      </c>
      <c r="AR15">
        <v>87268346</v>
      </c>
      <c r="AS15">
        <v>8639846139</v>
      </c>
      <c r="AT15">
        <v>8727114485</v>
      </c>
      <c r="AU15">
        <v>143997435</v>
      </c>
      <c r="AV15">
        <v>0</v>
      </c>
      <c r="AW15">
        <v>1454472</v>
      </c>
      <c r="AX15">
        <v>143997435</v>
      </c>
      <c r="AY15">
        <v>145451908</v>
      </c>
      <c r="AZ15">
        <v>19.343499999999999</v>
      </c>
      <c r="BA15">
        <v>9.5078899999999997</v>
      </c>
      <c r="BB15">
        <v>2724.35</v>
      </c>
      <c r="BC15">
        <v>1972.74</v>
      </c>
      <c r="BD15">
        <v>13342</v>
      </c>
      <c r="BE15">
        <v>1077</v>
      </c>
      <c r="BF15">
        <f t="shared" si="3"/>
        <v>59.856921687638888</v>
      </c>
      <c r="BG15" s="31">
        <f t="shared" si="4"/>
        <v>1.1610949981041667</v>
      </c>
      <c r="BH15">
        <f t="shared" si="5"/>
        <v>1</v>
      </c>
      <c r="BI15">
        <f t="shared" si="6"/>
        <v>9996</v>
      </c>
      <c r="BJ15">
        <f t="shared" si="7"/>
        <v>450548</v>
      </c>
      <c r="BK15">
        <f t="shared" si="8"/>
        <v>6857628</v>
      </c>
      <c r="BL15">
        <f t="shared" si="9"/>
        <v>1197114</v>
      </c>
      <c r="BM15">
        <f t="shared" si="10"/>
        <v>0</v>
      </c>
      <c r="BN15" t="str">
        <f t="shared" si="0"/>
        <v>u=1%, k=2x10^8</v>
      </c>
      <c r="BO15" t="str">
        <f t="shared" si="1"/>
        <v>u=1%, k=2x10^8, collaborative</v>
      </c>
      <c r="BP15">
        <f t="shared" si="11"/>
        <v>0.15708658522916666</v>
      </c>
      <c r="BQ15">
        <f t="shared" si="2"/>
        <v>1.5683769097222223E-3</v>
      </c>
      <c r="BR15">
        <f t="shared" si="2"/>
        <v>0.55514001374305555</v>
      </c>
      <c r="BS15">
        <f t="shared" si="2"/>
        <v>0.36556950112500003</v>
      </c>
      <c r="BT15">
        <f t="shared" si="2"/>
        <v>8.1730521097222217E-2</v>
      </c>
      <c r="BU15">
        <f t="shared" si="12"/>
        <v>58.695826689534719</v>
      </c>
    </row>
    <row r="16" spans="1:73">
      <c r="A16" t="s">
        <v>91</v>
      </c>
      <c r="B16" t="s">
        <v>158</v>
      </c>
      <c r="C16">
        <v>72</v>
      </c>
      <c r="D16" t="s">
        <v>56</v>
      </c>
      <c r="E16" t="s">
        <v>53</v>
      </c>
      <c r="F16" t="s">
        <v>54</v>
      </c>
      <c r="G16">
        <v>60000</v>
      </c>
      <c r="H16">
        <v>0.5</v>
      </c>
      <c r="I16">
        <v>0.5</v>
      </c>
      <c r="J16">
        <v>0</v>
      </c>
      <c r="K16">
        <v>1</v>
      </c>
      <c r="L16">
        <v>200000000</v>
      </c>
      <c r="M16">
        <v>190</v>
      </c>
      <c r="N16">
        <v>190</v>
      </c>
      <c r="O16">
        <v>190</v>
      </c>
      <c r="P16">
        <v>0</v>
      </c>
      <c r="Q16" t="s">
        <v>55</v>
      </c>
      <c r="R16">
        <v>9999782074954550</v>
      </c>
      <c r="S16">
        <v>99984925</v>
      </c>
      <c r="T16">
        <v>9999782074954550</v>
      </c>
      <c r="U16">
        <v>99984925</v>
      </c>
      <c r="V16" t="s">
        <v>63</v>
      </c>
      <c r="W16">
        <v>7</v>
      </c>
      <c r="X16">
        <v>13665135</v>
      </c>
      <c r="Y16">
        <v>115416642</v>
      </c>
      <c r="Z16">
        <v>129081777</v>
      </c>
      <c r="AA16">
        <v>99984925</v>
      </c>
      <c r="AB16">
        <v>9.4460700000000006</v>
      </c>
      <c r="AC16">
        <v>0.86629599999999995</v>
      </c>
      <c r="AD16">
        <v>4.0547500000000003</v>
      </c>
      <c r="AE16">
        <v>2941692464</v>
      </c>
      <c r="AF16" t="s">
        <v>385</v>
      </c>
      <c r="AG16" t="s">
        <v>386</v>
      </c>
      <c r="AH16">
        <v>9991</v>
      </c>
      <c r="AI16">
        <v>58490</v>
      </c>
      <c r="AJ16">
        <v>11372891519757</v>
      </c>
      <c r="AK16">
        <v>41776089824</v>
      </c>
      <c r="AL16">
        <v>762286794</v>
      </c>
      <c r="AM16">
        <v>175434069956</v>
      </c>
      <c r="AN16">
        <v>86166833568</v>
      </c>
      <c r="AO16">
        <v>23718415509</v>
      </c>
      <c r="AP16">
        <v>11228086529</v>
      </c>
      <c r="AQ16">
        <v>0</v>
      </c>
      <c r="AR16">
        <v>113400555</v>
      </c>
      <c r="AS16">
        <v>11228086529</v>
      </c>
      <c r="AT16">
        <v>11341487084</v>
      </c>
      <c r="AU16">
        <v>187134775</v>
      </c>
      <c r="AV16">
        <v>0</v>
      </c>
      <c r="AW16">
        <v>1890009</v>
      </c>
      <c r="AX16">
        <v>187134775</v>
      </c>
      <c r="AY16">
        <v>189024784</v>
      </c>
      <c r="AZ16">
        <v>19.435099999999998</v>
      </c>
      <c r="BA16">
        <v>9.6237399999999997</v>
      </c>
      <c r="BB16">
        <v>2744.27</v>
      </c>
      <c r="BC16">
        <v>1994.65</v>
      </c>
      <c r="BD16">
        <v>13862</v>
      </c>
      <c r="BE16">
        <v>1092</v>
      </c>
      <c r="BF16">
        <f t="shared" si="3"/>
        <v>59.857323788194741</v>
      </c>
      <c r="BG16" s="31">
        <f t="shared" si="4"/>
        <v>1.7255668192157894</v>
      </c>
      <c r="BH16">
        <f t="shared" si="5"/>
        <v>2</v>
      </c>
      <c r="BI16">
        <f t="shared" si="6"/>
        <v>19996</v>
      </c>
      <c r="BJ16">
        <f t="shared" si="7"/>
        <v>688664</v>
      </c>
      <c r="BK16">
        <f t="shared" si="8"/>
        <v>8106150</v>
      </c>
      <c r="BL16">
        <f t="shared" si="9"/>
        <v>1468089</v>
      </c>
      <c r="BM16">
        <f t="shared" si="10"/>
        <v>0</v>
      </c>
      <c r="BN16" t="str">
        <f t="shared" si="0"/>
        <v>u=1%, k=2x10^8</v>
      </c>
      <c r="BO16" t="str">
        <f t="shared" si="1"/>
        <v>u=1%, k=2x10^8, collaborative</v>
      </c>
      <c r="BP16">
        <f t="shared" si="11"/>
        <v>0.21987415696842108</v>
      </c>
      <c r="BQ16">
        <f t="shared" si="2"/>
        <v>4.0120357578947372E-3</v>
      </c>
      <c r="BR16">
        <f t="shared" si="2"/>
        <v>0.92333721029473681</v>
      </c>
      <c r="BS16">
        <f t="shared" si="2"/>
        <v>0.45350965035789476</v>
      </c>
      <c r="BT16">
        <f t="shared" si="2"/>
        <v>0.12483376583684211</v>
      </c>
      <c r="BU16">
        <f t="shared" si="12"/>
        <v>58.131756968978948</v>
      </c>
    </row>
    <row r="17" spans="1:73">
      <c r="A17" t="s">
        <v>92</v>
      </c>
      <c r="B17" t="s">
        <v>158</v>
      </c>
      <c r="C17">
        <v>72</v>
      </c>
      <c r="D17" t="s">
        <v>56</v>
      </c>
      <c r="E17" t="s">
        <v>53</v>
      </c>
      <c r="F17" t="s">
        <v>54</v>
      </c>
      <c r="G17">
        <v>60000</v>
      </c>
      <c r="H17">
        <v>0.5</v>
      </c>
      <c r="I17">
        <v>0.5</v>
      </c>
      <c r="J17">
        <v>0</v>
      </c>
      <c r="K17">
        <v>1</v>
      </c>
      <c r="L17">
        <v>2000000000</v>
      </c>
      <c r="M17">
        <v>24</v>
      </c>
      <c r="N17">
        <v>24</v>
      </c>
      <c r="O17">
        <v>24</v>
      </c>
      <c r="P17">
        <v>0</v>
      </c>
      <c r="Q17" t="s">
        <v>55</v>
      </c>
      <c r="R17">
        <v>1.00000229425278E+18</v>
      </c>
      <c r="S17">
        <v>999999989</v>
      </c>
      <c r="T17">
        <v>1.00000229425278E+18</v>
      </c>
      <c r="U17">
        <v>999999989</v>
      </c>
      <c r="V17" t="s">
        <v>63</v>
      </c>
      <c r="W17">
        <v>7</v>
      </c>
      <c r="X17">
        <v>87193049</v>
      </c>
      <c r="Y17">
        <v>1084268213</v>
      </c>
      <c r="Z17">
        <v>1171461262</v>
      </c>
      <c r="AA17">
        <v>999999989</v>
      </c>
      <c r="AB17">
        <v>13.4353</v>
      </c>
      <c r="AC17">
        <v>0.92228100000000002</v>
      </c>
      <c r="AD17">
        <v>4.0054800000000004</v>
      </c>
      <c r="AE17">
        <v>24323971136</v>
      </c>
      <c r="AF17" t="s">
        <v>387</v>
      </c>
      <c r="AG17" t="s">
        <v>387</v>
      </c>
      <c r="AI17">
        <v>404582</v>
      </c>
      <c r="AJ17">
        <v>1436565125197</v>
      </c>
      <c r="AK17">
        <v>5868727</v>
      </c>
      <c r="AM17">
        <v>27348453</v>
      </c>
      <c r="AN17">
        <v>650386322</v>
      </c>
      <c r="AO17">
        <v>1974670</v>
      </c>
      <c r="AP17">
        <v>1090723115</v>
      </c>
      <c r="AQ17">
        <v>0</v>
      </c>
      <c r="AR17">
        <v>11013633</v>
      </c>
      <c r="AS17">
        <v>1090723115</v>
      </c>
      <c r="AT17">
        <v>1101736748</v>
      </c>
      <c r="AU17">
        <v>18178718</v>
      </c>
      <c r="AV17">
        <v>0</v>
      </c>
      <c r="AW17">
        <v>183560</v>
      </c>
      <c r="AX17">
        <v>18178718</v>
      </c>
      <c r="AY17">
        <v>18362279</v>
      </c>
      <c r="AZ17">
        <v>22.0246</v>
      </c>
      <c r="BA17">
        <v>12.9031</v>
      </c>
      <c r="BB17">
        <v>3643.93</v>
      </c>
      <c r="BC17">
        <v>2908.96</v>
      </c>
      <c r="BD17">
        <v>59443</v>
      </c>
      <c r="BE17">
        <v>16313</v>
      </c>
      <c r="BF17">
        <f t="shared" si="3"/>
        <v>59.856880216541668</v>
      </c>
      <c r="BG17" s="31">
        <f t="shared" si="4"/>
        <v>2.8565757166666667E-2</v>
      </c>
      <c r="BH17">
        <f t="shared" si="5"/>
        <v>0</v>
      </c>
      <c r="BI17">
        <f t="shared" si="6"/>
        <v>0</v>
      </c>
      <c r="BJ17">
        <f t="shared" si="7"/>
        <v>0</v>
      </c>
      <c r="BK17">
        <f t="shared" si="8"/>
        <v>1355</v>
      </c>
      <c r="BL17">
        <f t="shared" si="9"/>
        <v>14975</v>
      </c>
      <c r="BM17">
        <f t="shared" si="10"/>
        <v>0</v>
      </c>
      <c r="BN17" t="str">
        <f t="shared" si="0"/>
        <v>u=1%, k=2x10^9</v>
      </c>
      <c r="BO17" t="str">
        <f t="shared" si="1"/>
        <v>u=1%, k=2x10^9, collaborative</v>
      </c>
      <c r="BP17">
        <f t="shared" si="11"/>
        <v>2.4453029166666664E-4</v>
      </c>
      <c r="BQ17">
        <f t="shared" si="2"/>
        <v>0</v>
      </c>
      <c r="BR17">
        <f t="shared" si="2"/>
        <v>1.1395188750000001E-3</v>
      </c>
      <c r="BS17">
        <f t="shared" si="2"/>
        <v>2.7099430083333334E-2</v>
      </c>
      <c r="BT17">
        <f t="shared" si="2"/>
        <v>8.2277916666666671E-5</v>
      </c>
      <c r="BU17">
        <f t="shared" si="12"/>
        <v>59.828314459375001</v>
      </c>
    </row>
    <row r="18" spans="1:73">
      <c r="A18" t="s">
        <v>93</v>
      </c>
      <c r="B18" t="s">
        <v>158</v>
      </c>
      <c r="C18">
        <v>72</v>
      </c>
      <c r="D18" t="s">
        <v>56</v>
      </c>
      <c r="E18" t="s">
        <v>53</v>
      </c>
      <c r="F18" t="s">
        <v>54</v>
      </c>
      <c r="G18">
        <v>60000</v>
      </c>
      <c r="H18">
        <v>0.5</v>
      </c>
      <c r="I18">
        <v>0.5</v>
      </c>
      <c r="J18">
        <v>0</v>
      </c>
      <c r="K18">
        <v>1</v>
      </c>
      <c r="L18">
        <v>2000000000</v>
      </c>
      <c r="M18">
        <v>48</v>
      </c>
      <c r="N18">
        <v>48</v>
      </c>
      <c r="O18">
        <v>48</v>
      </c>
      <c r="P18">
        <v>0</v>
      </c>
      <c r="Q18" t="s">
        <v>55</v>
      </c>
      <c r="R18">
        <v>1.00000817261609E+18</v>
      </c>
      <c r="S18">
        <v>1000003122</v>
      </c>
      <c r="T18">
        <v>1.00000817261609E+18</v>
      </c>
      <c r="U18">
        <v>1000003122</v>
      </c>
      <c r="V18" t="s">
        <v>63</v>
      </c>
      <c r="W18">
        <v>7</v>
      </c>
      <c r="X18">
        <v>89423917</v>
      </c>
      <c r="Y18">
        <v>1088748268</v>
      </c>
      <c r="Z18">
        <v>1178172185</v>
      </c>
      <c r="AA18">
        <v>1000003122</v>
      </c>
      <c r="AB18">
        <v>13.1751</v>
      </c>
      <c r="AC18">
        <v>0.918489</v>
      </c>
      <c r="AD18">
        <v>4.0099900000000002</v>
      </c>
      <c r="AE18">
        <v>24574661504</v>
      </c>
      <c r="AF18" t="s">
        <v>388</v>
      </c>
      <c r="AG18" t="s">
        <v>388</v>
      </c>
      <c r="AI18">
        <v>181308</v>
      </c>
      <c r="AJ18">
        <v>2873129538432</v>
      </c>
      <c r="AK18">
        <v>28393349</v>
      </c>
      <c r="AM18">
        <v>115282802</v>
      </c>
      <c r="AN18">
        <v>3073306287</v>
      </c>
      <c r="AO18">
        <v>11328451</v>
      </c>
      <c r="AP18">
        <v>1997696160</v>
      </c>
      <c r="AQ18">
        <v>0</v>
      </c>
      <c r="AR18">
        <v>20177127</v>
      </c>
      <c r="AS18">
        <v>1997696160</v>
      </c>
      <c r="AT18">
        <v>2017873287</v>
      </c>
      <c r="AU18">
        <v>33294936</v>
      </c>
      <c r="AV18">
        <v>0</v>
      </c>
      <c r="AW18">
        <v>336285</v>
      </c>
      <c r="AX18">
        <v>33294936</v>
      </c>
      <c r="AY18">
        <v>33631221</v>
      </c>
      <c r="AZ18">
        <v>21.997399999999999</v>
      </c>
      <c r="BA18">
        <v>12.9316</v>
      </c>
      <c r="BB18">
        <v>3977.75</v>
      </c>
      <c r="BC18">
        <v>3324.77</v>
      </c>
      <c r="BD18">
        <v>59816</v>
      </c>
      <c r="BE18">
        <v>12544</v>
      </c>
      <c r="BF18">
        <f t="shared" si="3"/>
        <v>59.856865384000002</v>
      </c>
      <c r="BG18" s="31">
        <f t="shared" si="4"/>
        <v>6.7256476854166664E-2</v>
      </c>
      <c r="BH18">
        <f t="shared" si="5"/>
        <v>0</v>
      </c>
      <c r="BI18">
        <f t="shared" si="6"/>
        <v>0</v>
      </c>
      <c r="BJ18">
        <f t="shared" si="7"/>
        <v>0</v>
      </c>
      <c r="BK18">
        <f t="shared" si="8"/>
        <v>8114</v>
      </c>
      <c r="BL18">
        <f t="shared" si="9"/>
        <v>49091</v>
      </c>
      <c r="BM18">
        <f t="shared" si="10"/>
        <v>0</v>
      </c>
      <c r="BN18" t="str">
        <f t="shared" si="0"/>
        <v>u=1%, k=2x10^9</v>
      </c>
      <c r="BO18" t="str">
        <f t="shared" si="1"/>
        <v>u=1%, k=2x10^9, collaborative</v>
      </c>
      <c r="BP18">
        <f t="shared" si="11"/>
        <v>5.9152810416666663E-4</v>
      </c>
      <c r="BQ18">
        <f t="shared" ref="BQ18:BQ77" si="13">AL18/1000000000/$N18</f>
        <v>0</v>
      </c>
      <c r="BR18">
        <f t="shared" ref="BR18:BR77" si="14">AM18/1000000000/$N18</f>
        <v>2.4017250416666666E-3</v>
      </c>
      <c r="BS18">
        <f t="shared" ref="BS18:BS77" si="15">AN18/1000000000/$N18</f>
        <v>6.4027214312499997E-2</v>
      </c>
      <c r="BT18">
        <f t="shared" ref="BT18:BT77" si="16">AO18/1000000000/$N18</f>
        <v>2.3600939583333334E-4</v>
      </c>
      <c r="BU18">
        <f t="shared" si="12"/>
        <v>59.789608907145833</v>
      </c>
    </row>
    <row r="19" spans="1:73">
      <c r="A19" t="s">
        <v>94</v>
      </c>
      <c r="B19" t="s">
        <v>158</v>
      </c>
      <c r="C19">
        <v>72</v>
      </c>
      <c r="D19" t="s">
        <v>56</v>
      </c>
      <c r="E19" t="s">
        <v>53</v>
      </c>
      <c r="F19" t="s">
        <v>54</v>
      </c>
      <c r="G19">
        <v>60000</v>
      </c>
      <c r="H19">
        <v>0.5</v>
      </c>
      <c r="I19">
        <v>0.5</v>
      </c>
      <c r="J19">
        <v>0</v>
      </c>
      <c r="K19">
        <v>1</v>
      </c>
      <c r="L19">
        <v>2000000000</v>
      </c>
      <c r="M19">
        <v>96</v>
      </c>
      <c r="N19">
        <v>96</v>
      </c>
      <c r="O19">
        <v>96</v>
      </c>
      <c r="P19">
        <v>0</v>
      </c>
      <c r="Q19" t="s">
        <v>55</v>
      </c>
      <c r="R19">
        <v>9.9999814681927104E+17</v>
      </c>
      <c r="S19">
        <v>999993492</v>
      </c>
      <c r="T19">
        <v>9.9999814681927104E+17</v>
      </c>
      <c r="U19">
        <v>999993492</v>
      </c>
      <c r="V19" t="s">
        <v>63</v>
      </c>
      <c r="W19">
        <v>7</v>
      </c>
      <c r="X19">
        <v>95119487</v>
      </c>
      <c r="Y19">
        <v>1100240354</v>
      </c>
      <c r="Z19">
        <v>1195359841</v>
      </c>
      <c r="AA19">
        <v>999993492</v>
      </c>
      <c r="AB19">
        <v>12.5669</v>
      </c>
      <c r="AC19">
        <v>0.90888599999999997</v>
      </c>
      <c r="AD19">
        <v>4.0216399999999997</v>
      </c>
      <c r="AE19">
        <v>25216925200</v>
      </c>
      <c r="AF19" t="s">
        <v>389</v>
      </c>
      <c r="AG19" t="s">
        <v>389</v>
      </c>
      <c r="AI19">
        <v>98810</v>
      </c>
      <c r="AJ19">
        <v>5746257943684</v>
      </c>
      <c r="AK19">
        <v>185398963</v>
      </c>
      <c r="AM19">
        <v>642239209</v>
      </c>
      <c r="AN19">
        <v>9925000599</v>
      </c>
      <c r="AO19">
        <v>103632795</v>
      </c>
      <c r="AP19">
        <v>4408401305</v>
      </c>
      <c r="AQ19">
        <v>0</v>
      </c>
      <c r="AR19">
        <v>44534045</v>
      </c>
      <c r="AS19">
        <v>4408401305</v>
      </c>
      <c r="AT19">
        <v>4452935350</v>
      </c>
      <c r="AU19">
        <v>73473355</v>
      </c>
      <c r="AV19">
        <v>0</v>
      </c>
      <c r="AW19">
        <v>742234</v>
      </c>
      <c r="AX19">
        <v>73473355</v>
      </c>
      <c r="AY19">
        <v>74215589</v>
      </c>
      <c r="AZ19">
        <v>22.058499999999999</v>
      </c>
      <c r="BA19">
        <v>13.772500000000001</v>
      </c>
      <c r="BB19">
        <v>3601.64</v>
      </c>
      <c r="BC19">
        <v>2880.32</v>
      </c>
      <c r="BD19">
        <v>60705</v>
      </c>
      <c r="BE19">
        <v>9964</v>
      </c>
      <c r="BF19">
        <f t="shared" si="3"/>
        <v>59.856853580041665</v>
      </c>
      <c r="BG19" s="31">
        <f t="shared" si="4"/>
        <v>0.11308616214583334</v>
      </c>
      <c r="BH19">
        <f t="shared" si="5"/>
        <v>0</v>
      </c>
      <c r="BI19">
        <f t="shared" si="6"/>
        <v>0</v>
      </c>
      <c r="BJ19">
        <f t="shared" si="7"/>
        <v>0</v>
      </c>
      <c r="BK19">
        <f t="shared" si="8"/>
        <v>85092</v>
      </c>
      <c r="BL19">
        <f t="shared" si="9"/>
        <v>227572</v>
      </c>
      <c r="BM19">
        <f t="shared" si="10"/>
        <v>0</v>
      </c>
      <c r="BN19" t="str">
        <f t="shared" si="0"/>
        <v>u=1%, k=2x10^9</v>
      </c>
      <c r="BO19" t="str">
        <f t="shared" si="1"/>
        <v>u=1%, k=2x10^9, collaborative</v>
      </c>
      <c r="BP19">
        <f t="shared" si="11"/>
        <v>1.9312391979166667E-3</v>
      </c>
      <c r="BQ19">
        <f t="shared" si="13"/>
        <v>0</v>
      </c>
      <c r="BR19">
        <f t="shared" si="14"/>
        <v>6.6899917604166664E-3</v>
      </c>
      <c r="BS19">
        <f t="shared" si="15"/>
        <v>0.10338542290625001</v>
      </c>
      <c r="BT19">
        <f t="shared" si="16"/>
        <v>1.0795082812499999E-3</v>
      </c>
      <c r="BU19">
        <f t="shared" si="12"/>
        <v>59.743767417895832</v>
      </c>
    </row>
    <row r="20" spans="1:73">
      <c r="A20" t="s">
        <v>95</v>
      </c>
      <c r="B20" t="s">
        <v>158</v>
      </c>
      <c r="C20">
        <v>72</v>
      </c>
      <c r="D20" t="s">
        <v>56</v>
      </c>
      <c r="E20" t="s">
        <v>53</v>
      </c>
      <c r="F20" t="s">
        <v>54</v>
      </c>
      <c r="G20">
        <v>60000</v>
      </c>
      <c r="H20">
        <v>0.5</v>
      </c>
      <c r="I20">
        <v>0.5</v>
      </c>
      <c r="J20">
        <v>0</v>
      </c>
      <c r="K20">
        <v>1</v>
      </c>
      <c r="L20">
        <v>2000000000</v>
      </c>
      <c r="M20">
        <v>144</v>
      </c>
      <c r="N20">
        <v>144</v>
      </c>
      <c r="O20">
        <v>144</v>
      </c>
      <c r="P20">
        <v>0</v>
      </c>
      <c r="Q20" t="s">
        <v>55</v>
      </c>
      <c r="R20">
        <v>1.00000725720081E+18</v>
      </c>
      <c r="S20">
        <v>1000001230</v>
      </c>
      <c r="T20">
        <v>1.00000725720081E+18</v>
      </c>
      <c r="U20">
        <v>1000001230</v>
      </c>
      <c r="V20" t="s">
        <v>63</v>
      </c>
      <c r="W20">
        <v>7</v>
      </c>
      <c r="X20">
        <v>99977636</v>
      </c>
      <c r="Y20">
        <v>1110116360</v>
      </c>
      <c r="Z20">
        <v>1210093996</v>
      </c>
      <c r="AA20">
        <v>1000001230</v>
      </c>
      <c r="AB20">
        <v>12.1036</v>
      </c>
      <c r="AC20">
        <v>0.90080800000000005</v>
      </c>
      <c r="AD20">
        <v>4.0316999999999998</v>
      </c>
      <c r="AE20">
        <v>25767370208</v>
      </c>
      <c r="AF20" t="s">
        <v>390</v>
      </c>
      <c r="AG20" t="s">
        <v>390</v>
      </c>
      <c r="AI20">
        <v>65506</v>
      </c>
      <c r="AJ20">
        <v>8619385469982</v>
      </c>
      <c r="AK20">
        <v>501411549</v>
      </c>
      <c r="AM20">
        <v>1668827166</v>
      </c>
      <c r="AN20">
        <v>12477799067</v>
      </c>
      <c r="AO20">
        <v>302894226</v>
      </c>
      <c r="AP20">
        <v>6606156403</v>
      </c>
      <c r="AQ20">
        <v>0</v>
      </c>
      <c r="AR20">
        <v>66726322</v>
      </c>
      <c r="AS20">
        <v>6606156403</v>
      </c>
      <c r="AT20">
        <v>6672882725</v>
      </c>
      <c r="AU20">
        <v>110102606</v>
      </c>
      <c r="AV20">
        <v>0</v>
      </c>
      <c r="AW20">
        <v>1112105</v>
      </c>
      <c r="AX20">
        <v>110102606</v>
      </c>
      <c r="AY20">
        <v>111214712</v>
      </c>
      <c r="AZ20">
        <v>22.099699999999999</v>
      </c>
      <c r="BA20">
        <v>14.0045</v>
      </c>
      <c r="BB20">
        <v>3604.38</v>
      </c>
      <c r="BC20">
        <v>2871.05</v>
      </c>
      <c r="BD20">
        <v>61554</v>
      </c>
      <c r="BE20">
        <v>9285</v>
      </c>
      <c r="BF20">
        <f t="shared" si="3"/>
        <v>59.856843541541672</v>
      </c>
      <c r="BG20" s="31">
        <f t="shared" si="4"/>
        <v>0.10382591672222223</v>
      </c>
      <c r="BH20">
        <f t="shared" si="5"/>
        <v>0</v>
      </c>
      <c r="BI20">
        <f t="shared" si="6"/>
        <v>0</v>
      </c>
      <c r="BJ20">
        <f t="shared" si="7"/>
        <v>0</v>
      </c>
      <c r="BK20">
        <f t="shared" si="8"/>
        <v>279877</v>
      </c>
      <c r="BL20">
        <f t="shared" si="9"/>
        <v>487003</v>
      </c>
      <c r="BM20">
        <f t="shared" si="10"/>
        <v>0</v>
      </c>
      <c r="BN20" t="str">
        <f t="shared" si="0"/>
        <v>u=1%, k=2x10^9</v>
      </c>
      <c r="BO20" t="str">
        <f t="shared" si="1"/>
        <v>u=1%, k=2x10^9, collaborative</v>
      </c>
      <c r="BP20">
        <f t="shared" si="11"/>
        <v>3.4820246458333332E-3</v>
      </c>
      <c r="BQ20">
        <f t="shared" si="13"/>
        <v>0</v>
      </c>
      <c r="BR20">
        <f t="shared" si="14"/>
        <v>1.1589077541666666E-2</v>
      </c>
      <c r="BS20">
        <f t="shared" si="15"/>
        <v>8.6651382409722214E-2</v>
      </c>
      <c r="BT20">
        <f t="shared" si="16"/>
        <v>2.1034321250000001E-3</v>
      </c>
      <c r="BU20">
        <f t="shared" si="12"/>
        <v>59.753017624819449</v>
      </c>
    </row>
    <row r="21" spans="1:73">
      <c r="A21" t="s">
        <v>96</v>
      </c>
      <c r="B21" t="s">
        <v>158</v>
      </c>
      <c r="C21">
        <v>72</v>
      </c>
      <c r="D21" t="s">
        <v>56</v>
      </c>
      <c r="E21" t="s">
        <v>53</v>
      </c>
      <c r="F21" t="s">
        <v>54</v>
      </c>
      <c r="G21">
        <v>60000</v>
      </c>
      <c r="H21">
        <v>0.5</v>
      </c>
      <c r="I21">
        <v>0.5</v>
      </c>
      <c r="J21">
        <v>0</v>
      </c>
      <c r="K21">
        <v>1</v>
      </c>
      <c r="L21">
        <v>2000000000</v>
      </c>
      <c r="M21">
        <v>190</v>
      </c>
      <c r="N21">
        <v>190</v>
      </c>
      <c r="O21">
        <v>190</v>
      </c>
      <c r="P21">
        <v>0</v>
      </c>
      <c r="Q21" t="s">
        <v>55</v>
      </c>
      <c r="R21">
        <v>1.00001183264744E+18</v>
      </c>
      <c r="S21">
        <v>1000010816</v>
      </c>
      <c r="T21">
        <v>1.00001183264744E+18</v>
      </c>
      <c r="U21">
        <v>1000010816</v>
      </c>
      <c r="V21" t="s">
        <v>63</v>
      </c>
      <c r="W21">
        <v>7</v>
      </c>
      <c r="X21">
        <v>104054421</v>
      </c>
      <c r="Y21">
        <v>1118468702</v>
      </c>
      <c r="Z21">
        <v>1222523123</v>
      </c>
      <c r="AA21">
        <v>1000010816</v>
      </c>
      <c r="AB21">
        <v>11.748900000000001</v>
      </c>
      <c r="AC21">
        <v>0.89408900000000002</v>
      </c>
      <c r="AD21">
        <v>4.0402500000000003</v>
      </c>
      <c r="AE21">
        <v>26231402944</v>
      </c>
      <c r="AF21" t="s">
        <v>391</v>
      </c>
      <c r="AG21" t="s">
        <v>391</v>
      </c>
      <c r="AI21">
        <v>51038</v>
      </c>
      <c r="AJ21">
        <v>11372798203740</v>
      </c>
      <c r="AK21">
        <v>973714200</v>
      </c>
      <c r="AM21">
        <v>3060296549</v>
      </c>
      <c r="AN21">
        <v>14820154110</v>
      </c>
      <c r="AO21">
        <v>588728707</v>
      </c>
      <c r="AP21">
        <v>8599094151</v>
      </c>
      <c r="AQ21">
        <v>0</v>
      </c>
      <c r="AR21">
        <v>86868166</v>
      </c>
      <c r="AS21">
        <v>8599094151</v>
      </c>
      <c r="AT21">
        <v>8685962317</v>
      </c>
      <c r="AU21">
        <v>143318235</v>
      </c>
      <c r="AV21">
        <v>0</v>
      </c>
      <c r="AW21">
        <v>1447802</v>
      </c>
      <c r="AX21">
        <v>143318235</v>
      </c>
      <c r="AY21">
        <v>144766038</v>
      </c>
      <c r="AZ21">
        <v>22.183900000000001</v>
      </c>
      <c r="BA21">
        <v>14.129799999999999</v>
      </c>
      <c r="BB21">
        <v>3652.43</v>
      </c>
      <c r="BC21">
        <v>2909.46</v>
      </c>
      <c r="BD21">
        <v>62224</v>
      </c>
      <c r="BE21">
        <v>9059</v>
      </c>
      <c r="BF21">
        <f t="shared" si="3"/>
        <v>59.856832651263154</v>
      </c>
      <c r="BG21" s="31">
        <f t="shared" si="4"/>
        <v>0.10233101876842104</v>
      </c>
      <c r="BH21">
        <f t="shared" si="5"/>
        <v>0</v>
      </c>
      <c r="BI21">
        <f t="shared" si="6"/>
        <v>0</v>
      </c>
      <c r="BJ21">
        <f t="shared" si="7"/>
        <v>0</v>
      </c>
      <c r="BK21">
        <f t="shared" si="8"/>
        <v>596369</v>
      </c>
      <c r="BL21">
        <f t="shared" si="9"/>
        <v>787903</v>
      </c>
      <c r="BM21">
        <f t="shared" si="10"/>
        <v>0</v>
      </c>
      <c r="BN21" t="str">
        <f t="shared" si="0"/>
        <v>u=1%, k=2x10^9</v>
      </c>
      <c r="BO21" t="str">
        <f t="shared" si="1"/>
        <v>u=1%, k=2x10^9, collaborative</v>
      </c>
      <c r="BP21">
        <f t="shared" si="11"/>
        <v>5.1248115789473683E-3</v>
      </c>
      <c r="BQ21">
        <f t="shared" si="13"/>
        <v>0</v>
      </c>
      <c r="BR21">
        <f t="shared" si="14"/>
        <v>1.6106823942105261E-2</v>
      </c>
      <c r="BS21">
        <f t="shared" si="15"/>
        <v>7.8000811105263163E-2</v>
      </c>
      <c r="BT21">
        <f t="shared" si="16"/>
        <v>3.0985721421052633E-3</v>
      </c>
      <c r="BU21">
        <f t="shared" si="12"/>
        <v>59.75450163249473</v>
      </c>
    </row>
    <row r="22" spans="1:73">
      <c r="A22" t="s">
        <v>97</v>
      </c>
      <c r="B22" t="s">
        <v>158</v>
      </c>
      <c r="C22">
        <v>72</v>
      </c>
      <c r="D22" t="s">
        <v>56</v>
      </c>
      <c r="E22" t="s">
        <v>53</v>
      </c>
      <c r="F22" t="s">
        <v>54</v>
      </c>
      <c r="G22">
        <v>60000</v>
      </c>
      <c r="H22">
        <v>5</v>
      </c>
      <c r="I22">
        <v>5</v>
      </c>
      <c r="J22">
        <v>0</v>
      </c>
      <c r="K22">
        <v>1</v>
      </c>
      <c r="L22">
        <v>2000000</v>
      </c>
      <c r="M22">
        <v>24</v>
      </c>
      <c r="N22">
        <v>24</v>
      </c>
      <c r="O22">
        <v>24</v>
      </c>
      <c r="P22">
        <v>0</v>
      </c>
      <c r="Q22" t="s">
        <v>55</v>
      </c>
      <c r="R22">
        <v>998939634502</v>
      </c>
      <c r="S22">
        <v>998991</v>
      </c>
      <c r="T22">
        <v>998939634502</v>
      </c>
      <c r="U22">
        <v>998991</v>
      </c>
      <c r="V22" t="s">
        <v>63</v>
      </c>
      <c r="W22">
        <v>6</v>
      </c>
      <c r="X22">
        <v>83245</v>
      </c>
      <c r="Y22">
        <v>1135285</v>
      </c>
      <c r="Z22">
        <v>1218530</v>
      </c>
      <c r="AA22">
        <v>998991</v>
      </c>
      <c r="AB22">
        <v>14.6379</v>
      </c>
      <c r="AC22">
        <v>0.87994700000000003</v>
      </c>
      <c r="AD22">
        <v>3.10968</v>
      </c>
      <c r="AE22">
        <v>24927584</v>
      </c>
      <c r="AF22" t="s">
        <v>392</v>
      </c>
      <c r="AG22" t="s">
        <v>393</v>
      </c>
      <c r="AH22">
        <v>178017</v>
      </c>
      <c r="AI22">
        <v>1464898</v>
      </c>
      <c r="AJ22">
        <v>1436563743951</v>
      </c>
      <c r="AK22">
        <v>34861974932</v>
      </c>
      <c r="AL22">
        <v>317253932</v>
      </c>
      <c r="AM22">
        <v>41054143376</v>
      </c>
      <c r="AN22">
        <v>32642456170</v>
      </c>
      <c r="AO22">
        <v>16582470619</v>
      </c>
      <c r="AP22">
        <v>3467354405</v>
      </c>
      <c r="AQ22">
        <v>0</v>
      </c>
      <c r="AR22">
        <v>385247497</v>
      </c>
      <c r="AS22">
        <v>3467354405</v>
      </c>
      <c r="AT22">
        <v>3852601902</v>
      </c>
      <c r="AU22">
        <v>57789240</v>
      </c>
      <c r="AV22">
        <v>0</v>
      </c>
      <c r="AW22">
        <v>6420791</v>
      </c>
      <c r="AX22">
        <v>57789240</v>
      </c>
      <c r="AY22">
        <v>64210031</v>
      </c>
      <c r="AZ22">
        <v>10.234</v>
      </c>
      <c r="BA22">
        <v>0.36396699999999998</v>
      </c>
      <c r="BB22">
        <v>1041.43</v>
      </c>
      <c r="BC22">
        <v>375.48700000000002</v>
      </c>
      <c r="BD22">
        <v>1206</v>
      </c>
      <c r="BE22">
        <v>28</v>
      </c>
      <c r="BF22">
        <f t="shared" si="3"/>
        <v>59.856822664625007</v>
      </c>
      <c r="BG22" s="31">
        <f t="shared" si="4"/>
        <v>5.2274291262083334</v>
      </c>
      <c r="BH22">
        <f t="shared" si="5"/>
        <v>770</v>
      </c>
      <c r="BI22">
        <f t="shared" si="6"/>
        <v>690777</v>
      </c>
      <c r="BJ22">
        <f t="shared" si="7"/>
        <v>9951977</v>
      </c>
      <c r="BK22">
        <f t="shared" si="8"/>
        <v>11114324</v>
      </c>
      <c r="BL22">
        <f t="shared" si="9"/>
        <v>0</v>
      </c>
      <c r="BM22">
        <f t="shared" si="10"/>
        <v>0</v>
      </c>
      <c r="BN22" t="str">
        <f t="shared" si="0"/>
        <v>u=10%, k=2x10^6</v>
      </c>
      <c r="BO22" t="str">
        <f t="shared" si="1"/>
        <v>u=10%, k=2x10^6, collaborative</v>
      </c>
      <c r="BP22">
        <f t="shared" si="11"/>
        <v>1.4525822888333335</v>
      </c>
      <c r="BQ22">
        <f t="shared" si="13"/>
        <v>1.3218913833333333E-2</v>
      </c>
      <c r="BR22">
        <f t="shared" si="14"/>
        <v>1.7105893073333334</v>
      </c>
      <c r="BS22">
        <f t="shared" si="15"/>
        <v>1.3601023404166668</v>
      </c>
      <c r="BT22">
        <f t="shared" si="16"/>
        <v>0.69093627579166661</v>
      </c>
      <c r="BU22">
        <f t="shared" si="12"/>
        <v>54.629393538416672</v>
      </c>
    </row>
    <row r="23" spans="1:73">
      <c r="A23" t="s">
        <v>98</v>
      </c>
      <c r="B23" t="s">
        <v>158</v>
      </c>
      <c r="C23">
        <v>72</v>
      </c>
      <c r="D23" t="s">
        <v>56</v>
      </c>
      <c r="E23" t="s">
        <v>53</v>
      </c>
      <c r="F23" t="s">
        <v>54</v>
      </c>
      <c r="G23">
        <v>60000</v>
      </c>
      <c r="H23">
        <v>5</v>
      </c>
      <c r="I23">
        <v>5</v>
      </c>
      <c r="J23">
        <v>0</v>
      </c>
      <c r="K23">
        <v>1</v>
      </c>
      <c r="L23">
        <v>2000000</v>
      </c>
      <c r="M23">
        <v>48</v>
      </c>
      <c r="N23">
        <v>48</v>
      </c>
      <c r="O23">
        <v>48</v>
      </c>
      <c r="P23">
        <v>0</v>
      </c>
      <c r="Q23" t="s">
        <v>55</v>
      </c>
      <c r="R23">
        <v>1000102750410</v>
      </c>
      <c r="S23">
        <v>1000652</v>
      </c>
      <c r="T23">
        <v>1000102750410</v>
      </c>
      <c r="U23">
        <v>1000652</v>
      </c>
      <c r="V23" t="s">
        <v>63</v>
      </c>
      <c r="W23">
        <v>6</v>
      </c>
      <c r="X23">
        <v>61568</v>
      </c>
      <c r="Y23">
        <v>1090389</v>
      </c>
      <c r="Z23">
        <v>1151957</v>
      </c>
      <c r="AA23">
        <v>1000652</v>
      </c>
      <c r="AB23">
        <v>18.7103</v>
      </c>
      <c r="AC23">
        <v>0.91770200000000002</v>
      </c>
      <c r="AD23">
        <v>3.0597699999999999</v>
      </c>
      <c r="AE23">
        <v>22401456</v>
      </c>
      <c r="AF23" t="s">
        <v>394</v>
      </c>
      <c r="AG23" t="s">
        <v>395</v>
      </c>
      <c r="AH23">
        <v>748112</v>
      </c>
      <c r="AI23">
        <v>541962</v>
      </c>
      <c r="AJ23">
        <v>2873127090926</v>
      </c>
      <c r="AK23">
        <v>87538425200</v>
      </c>
      <c r="AL23">
        <v>1553081838</v>
      </c>
      <c r="AM23">
        <v>104268608207</v>
      </c>
      <c r="AN23">
        <v>56850310038</v>
      </c>
      <c r="AO23">
        <v>40409830758</v>
      </c>
      <c r="AP23">
        <v>5153188403</v>
      </c>
      <c r="AQ23">
        <v>0</v>
      </c>
      <c r="AR23">
        <v>572511015</v>
      </c>
      <c r="AS23">
        <v>5153188403</v>
      </c>
      <c r="AT23">
        <v>5725699418</v>
      </c>
      <c r="AU23">
        <v>85886473</v>
      </c>
      <c r="AV23">
        <v>0</v>
      </c>
      <c r="AW23">
        <v>9541850</v>
      </c>
      <c r="AX23">
        <v>85886473</v>
      </c>
      <c r="AY23">
        <v>95428323</v>
      </c>
      <c r="AZ23">
        <v>10.3573</v>
      </c>
      <c r="BA23">
        <v>0.47197</v>
      </c>
      <c r="BB23">
        <v>1390.73</v>
      </c>
      <c r="BC23">
        <v>596.64700000000005</v>
      </c>
      <c r="BD23">
        <v>1251</v>
      </c>
      <c r="BE23">
        <v>32</v>
      </c>
      <c r="BF23">
        <f t="shared" si="3"/>
        <v>59.856814394291668</v>
      </c>
      <c r="BG23" s="31">
        <f t="shared" si="4"/>
        <v>6.0545886675208331</v>
      </c>
      <c r="BH23">
        <f t="shared" si="5"/>
        <v>1145</v>
      </c>
      <c r="BI23">
        <f t="shared" si="6"/>
        <v>1129376</v>
      </c>
      <c r="BJ23">
        <f t="shared" si="7"/>
        <v>10724883</v>
      </c>
      <c r="BK23">
        <f t="shared" si="8"/>
        <v>15569739</v>
      </c>
      <c r="BL23">
        <f t="shared" si="9"/>
        <v>0</v>
      </c>
      <c r="BM23">
        <f t="shared" si="10"/>
        <v>0</v>
      </c>
      <c r="BN23" t="str">
        <f t="shared" si="0"/>
        <v>u=10%, k=2x10^6</v>
      </c>
      <c r="BO23" t="str">
        <f t="shared" si="1"/>
        <v>u=10%, k=2x10^6, collaborative</v>
      </c>
      <c r="BP23">
        <f t="shared" si="11"/>
        <v>1.8237171916666668</v>
      </c>
      <c r="BQ23">
        <f t="shared" si="13"/>
        <v>3.2355871624999998E-2</v>
      </c>
      <c r="BR23">
        <f t="shared" si="14"/>
        <v>2.1722626709791668</v>
      </c>
      <c r="BS23">
        <f t="shared" si="15"/>
        <v>1.1843814591250001</v>
      </c>
      <c r="BT23">
        <f t="shared" si="16"/>
        <v>0.84187147412499996</v>
      </c>
      <c r="BU23">
        <f t="shared" si="12"/>
        <v>53.802225726770835</v>
      </c>
    </row>
    <row r="24" spans="1:73">
      <c r="A24" t="s">
        <v>99</v>
      </c>
      <c r="B24" t="s">
        <v>158</v>
      </c>
      <c r="C24">
        <v>72</v>
      </c>
      <c r="D24" t="s">
        <v>56</v>
      </c>
      <c r="E24" t="s">
        <v>53</v>
      </c>
      <c r="F24" t="s">
        <v>54</v>
      </c>
      <c r="G24">
        <v>60000</v>
      </c>
      <c r="H24">
        <v>5</v>
      </c>
      <c r="I24">
        <v>5</v>
      </c>
      <c r="J24">
        <v>0</v>
      </c>
      <c r="K24">
        <v>1</v>
      </c>
      <c r="L24">
        <v>2000000</v>
      </c>
      <c r="M24">
        <v>96</v>
      </c>
      <c r="N24">
        <v>96</v>
      </c>
      <c r="O24">
        <v>96</v>
      </c>
      <c r="P24">
        <v>0</v>
      </c>
      <c r="Q24" t="s">
        <v>55</v>
      </c>
      <c r="R24">
        <v>999008598282</v>
      </c>
      <c r="S24">
        <v>999319</v>
      </c>
      <c r="T24">
        <v>999008598282</v>
      </c>
      <c r="U24">
        <v>999319</v>
      </c>
      <c r="V24" t="s">
        <v>63</v>
      </c>
      <c r="W24">
        <v>6</v>
      </c>
      <c r="X24">
        <v>63460</v>
      </c>
      <c r="Y24">
        <v>1093735</v>
      </c>
      <c r="Z24">
        <v>1157195</v>
      </c>
      <c r="AA24">
        <v>999319</v>
      </c>
      <c r="AB24">
        <v>18.234999999999999</v>
      </c>
      <c r="AC24">
        <v>0.91367600000000004</v>
      </c>
      <c r="AD24">
        <v>3.0644999999999998</v>
      </c>
      <c r="AE24">
        <v>22615264</v>
      </c>
      <c r="AF24" t="s">
        <v>396</v>
      </c>
      <c r="AG24" t="s">
        <v>397</v>
      </c>
      <c r="AH24">
        <v>3840059</v>
      </c>
      <c r="AI24">
        <v>222878</v>
      </c>
      <c r="AJ24">
        <v>5746253928010</v>
      </c>
      <c r="AK24">
        <v>275649778292</v>
      </c>
      <c r="AL24">
        <v>9206961904</v>
      </c>
      <c r="AM24">
        <v>339844126078</v>
      </c>
      <c r="AN24">
        <v>150881553686</v>
      </c>
      <c r="AO24">
        <v>265638289542</v>
      </c>
      <c r="AP24">
        <v>8085701923</v>
      </c>
      <c r="AQ24">
        <v>0</v>
      </c>
      <c r="AR24">
        <v>898455266</v>
      </c>
      <c r="AS24">
        <v>8085701923</v>
      </c>
      <c r="AT24">
        <v>8984157189</v>
      </c>
      <c r="AU24">
        <v>134761698</v>
      </c>
      <c r="AV24">
        <v>0</v>
      </c>
      <c r="AW24">
        <v>14974254</v>
      </c>
      <c r="AX24">
        <v>134761698</v>
      </c>
      <c r="AY24">
        <v>149735953</v>
      </c>
      <c r="AZ24">
        <v>11.113</v>
      </c>
      <c r="BA24">
        <v>1.6114299999999999</v>
      </c>
      <c r="BB24">
        <v>1784.5</v>
      </c>
      <c r="BC24">
        <v>972.34100000000001</v>
      </c>
      <c r="BD24">
        <v>1364</v>
      </c>
      <c r="BE24">
        <v>165</v>
      </c>
      <c r="BF24">
        <f t="shared" si="3"/>
        <v>59.856811750104164</v>
      </c>
      <c r="BG24" s="31">
        <f t="shared" si="4"/>
        <v>10.8460490573125</v>
      </c>
      <c r="BH24">
        <f t="shared" si="5"/>
        <v>1797</v>
      </c>
      <c r="BI24">
        <f t="shared" si="6"/>
        <v>2806914</v>
      </c>
      <c r="BJ24">
        <f t="shared" si="7"/>
        <v>4880901</v>
      </c>
      <c r="BK24">
        <f t="shared" si="8"/>
        <v>20760937</v>
      </c>
      <c r="BL24">
        <f t="shared" si="9"/>
        <v>0</v>
      </c>
      <c r="BM24">
        <f t="shared" si="10"/>
        <v>0</v>
      </c>
      <c r="BN24" t="str">
        <f t="shared" si="0"/>
        <v>u=10%, k=2x10^6</v>
      </c>
      <c r="BO24" t="str">
        <f t="shared" si="1"/>
        <v>u=10%, k=2x10^6, collaborative</v>
      </c>
      <c r="BP24">
        <f t="shared" si="11"/>
        <v>2.8713518572083334</v>
      </c>
      <c r="BQ24">
        <f t="shared" si="13"/>
        <v>9.5905853166666666E-2</v>
      </c>
      <c r="BR24">
        <f t="shared" si="14"/>
        <v>3.5400429799791664</v>
      </c>
      <c r="BS24">
        <f t="shared" si="15"/>
        <v>1.5716828508958332</v>
      </c>
      <c r="BT24">
        <f t="shared" si="16"/>
        <v>2.7670655160625</v>
      </c>
      <c r="BU24">
        <f t="shared" si="12"/>
        <v>49.010762692791666</v>
      </c>
    </row>
    <row r="25" spans="1:73">
      <c r="A25" t="s">
        <v>100</v>
      </c>
      <c r="B25" t="s">
        <v>158</v>
      </c>
      <c r="C25">
        <v>72</v>
      </c>
      <c r="D25" t="s">
        <v>56</v>
      </c>
      <c r="E25" t="s">
        <v>53</v>
      </c>
      <c r="F25" t="s">
        <v>54</v>
      </c>
      <c r="G25">
        <v>60000</v>
      </c>
      <c r="H25">
        <v>5</v>
      </c>
      <c r="I25">
        <v>5</v>
      </c>
      <c r="J25">
        <v>0</v>
      </c>
      <c r="K25">
        <v>1</v>
      </c>
      <c r="L25">
        <v>2000000</v>
      </c>
      <c r="M25">
        <v>144</v>
      </c>
      <c r="N25">
        <v>144</v>
      </c>
      <c r="O25">
        <v>144</v>
      </c>
      <c r="P25">
        <v>0</v>
      </c>
      <c r="Q25" t="s">
        <v>55</v>
      </c>
      <c r="R25">
        <v>1001127618429</v>
      </c>
      <c r="S25">
        <v>1000690</v>
      </c>
      <c r="T25">
        <v>1001127618429</v>
      </c>
      <c r="U25">
        <v>1000690</v>
      </c>
      <c r="V25" t="s">
        <v>63</v>
      </c>
      <c r="W25">
        <v>6</v>
      </c>
      <c r="X25">
        <v>52656</v>
      </c>
      <c r="Y25">
        <v>1072109</v>
      </c>
      <c r="Z25">
        <v>1124765</v>
      </c>
      <c r="AA25">
        <v>1000690</v>
      </c>
      <c r="AB25">
        <v>21.360600000000002</v>
      </c>
      <c r="AC25">
        <v>0.93338500000000002</v>
      </c>
      <c r="AD25">
        <v>3.0405500000000001</v>
      </c>
      <c r="AE25">
        <v>21380928</v>
      </c>
      <c r="AF25" t="s">
        <v>398</v>
      </c>
      <c r="AG25" t="s">
        <v>399</v>
      </c>
      <c r="AH25">
        <v>10083350</v>
      </c>
      <c r="AI25">
        <v>124332</v>
      </c>
      <c r="AJ25">
        <v>8619381392491</v>
      </c>
      <c r="AK25">
        <v>530851100155</v>
      </c>
      <c r="AL25">
        <v>23965110542</v>
      </c>
      <c r="AM25">
        <v>703405809542</v>
      </c>
      <c r="AN25">
        <v>180713763622</v>
      </c>
      <c r="AO25">
        <v>641158224207</v>
      </c>
      <c r="AP25">
        <v>9748407285</v>
      </c>
      <c r="AQ25">
        <v>0</v>
      </c>
      <c r="AR25">
        <v>1083158744</v>
      </c>
      <c r="AS25">
        <v>9748407285</v>
      </c>
      <c r="AT25">
        <v>10831566029</v>
      </c>
      <c r="AU25">
        <v>162473454</v>
      </c>
      <c r="AV25">
        <v>0</v>
      </c>
      <c r="AW25">
        <v>18052645</v>
      </c>
      <c r="AX25">
        <v>162473454</v>
      </c>
      <c r="AY25">
        <v>180526100</v>
      </c>
      <c r="AZ25">
        <v>12.323700000000001</v>
      </c>
      <c r="BA25">
        <v>2.7082299999999999</v>
      </c>
      <c r="BB25">
        <v>2217.56</v>
      </c>
      <c r="BC25">
        <v>1351.21</v>
      </c>
      <c r="BD25">
        <v>1518</v>
      </c>
      <c r="BE25">
        <v>281</v>
      </c>
      <c r="BF25">
        <f t="shared" si="3"/>
        <v>59.856815225631941</v>
      </c>
      <c r="BG25" s="31">
        <f t="shared" si="4"/>
        <v>14.445097278250001</v>
      </c>
      <c r="BH25">
        <f t="shared" si="5"/>
        <v>2168</v>
      </c>
      <c r="BI25">
        <f t="shared" si="6"/>
        <v>6291312</v>
      </c>
      <c r="BJ25">
        <f t="shared" si="7"/>
        <v>1133190</v>
      </c>
      <c r="BK25">
        <f t="shared" si="8"/>
        <v>17596193</v>
      </c>
      <c r="BL25">
        <f t="shared" si="9"/>
        <v>0</v>
      </c>
      <c r="BM25">
        <f t="shared" si="10"/>
        <v>0</v>
      </c>
      <c r="BN25" t="str">
        <f t="shared" si="0"/>
        <v>u=10%, k=2x10^6</v>
      </c>
      <c r="BO25" t="str">
        <f t="shared" si="1"/>
        <v>u=10%, k=2x10^6, collaborative</v>
      </c>
      <c r="BP25">
        <f t="shared" si="11"/>
        <v>3.6864659732986116</v>
      </c>
      <c r="BQ25">
        <f t="shared" si="13"/>
        <v>0.16642437876388891</v>
      </c>
      <c r="BR25">
        <f t="shared" si="14"/>
        <v>4.8847625662638894</v>
      </c>
      <c r="BS25">
        <f t="shared" si="15"/>
        <v>1.2549566918194444</v>
      </c>
      <c r="BT25">
        <f t="shared" si="16"/>
        <v>4.4524876681041663</v>
      </c>
      <c r="BU25">
        <f t="shared" si="12"/>
        <v>45.411717947381945</v>
      </c>
    </row>
    <row r="26" spans="1:73">
      <c r="A26" t="s">
        <v>101</v>
      </c>
      <c r="B26" t="s">
        <v>158</v>
      </c>
      <c r="C26">
        <v>72</v>
      </c>
      <c r="D26" t="s">
        <v>56</v>
      </c>
      <c r="E26" t="s">
        <v>53</v>
      </c>
      <c r="F26" t="s">
        <v>54</v>
      </c>
      <c r="G26">
        <v>60000</v>
      </c>
      <c r="H26">
        <v>5</v>
      </c>
      <c r="I26">
        <v>5</v>
      </c>
      <c r="J26">
        <v>0</v>
      </c>
      <c r="K26">
        <v>1</v>
      </c>
      <c r="L26">
        <v>2000000</v>
      </c>
      <c r="M26">
        <v>190</v>
      </c>
      <c r="N26">
        <v>190</v>
      </c>
      <c r="O26">
        <v>190</v>
      </c>
      <c r="P26">
        <v>0</v>
      </c>
      <c r="Q26" t="s">
        <v>55</v>
      </c>
      <c r="R26">
        <v>999496387764</v>
      </c>
      <c r="S26">
        <v>999145</v>
      </c>
      <c r="T26">
        <v>999496387764</v>
      </c>
      <c r="U26">
        <v>999145</v>
      </c>
      <c r="V26" t="s">
        <v>63</v>
      </c>
      <c r="W26">
        <v>6</v>
      </c>
      <c r="X26">
        <v>33049</v>
      </c>
      <c r="Y26">
        <v>1031245</v>
      </c>
      <c r="Z26">
        <v>1064294</v>
      </c>
      <c r="AA26">
        <v>999145</v>
      </c>
      <c r="AB26">
        <v>32.203499999999998</v>
      </c>
      <c r="AC26">
        <v>0.96887299999999998</v>
      </c>
      <c r="AD26">
        <v>3.0000900000000001</v>
      </c>
      <c r="AE26">
        <v>19143824</v>
      </c>
      <c r="AF26" t="s">
        <v>400</v>
      </c>
      <c r="AG26" t="s">
        <v>401</v>
      </c>
      <c r="AH26">
        <v>13272124</v>
      </c>
      <c r="AI26">
        <v>85304</v>
      </c>
      <c r="AJ26">
        <v>11373337283844</v>
      </c>
      <c r="AK26">
        <v>652879471673</v>
      </c>
      <c r="AL26">
        <v>38469600347</v>
      </c>
      <c r="AM26">
        <v>962140833561</v>
      </c>
      <c r="AN26">
        <v>238362581659</v>
      </c>
      <c r="AO26">
        <v>1138903911582</v>
      </c>
      <c r="AP26">
        <v>11451879992</v>
      </c>
      <c r="AQ26">
        <v>0</v>
      </c>
      <c r="AR26">
        <v>1272467404</v>
      </c>
      <c r="AS26">
        <v>11451879992</v>
      </c>
      <c r="AT26">
        <v>12724347396</v>
      </c>
      <c r="AU26">
        <v>190864666</v>
      </c>
      <c r="AV26">
        <v>0</v>
      </c>
      <c r="AW26">
        <v>21207790</v>
      </c>
      <c r="AX26">
        <v>190864666</v>
      </c>
      <c r="AY26">
        <v>212072456</v>
      </c>
      <c r="AZ26">
        <v>12.635400000000001</v>
      </c>
      <c r="BA26">
        <v>3.1222300000000001</v>
      </c>
      <c r="BB26">
        <v>2492.2600000000002</v>
      </c>
      <c r="BC26">
        <v>1625.07</v>
      </c>
      <c r="BD26">
        <v>1649</v>
      </c>
      <c r="BE26">
        <v>247</v>
      </c>
      <c r="BF26">
        <f t="shared" si="3"/>
        <v>59.859669914968414</v>
      </c>
      <c r="BG26" s="31">
        <f t="shared" si="4"/>
        <v>15.95134946748421</v>
      </c>
      <c r="BH26">
        <f t="shared" si="5"/>
        <v>2548</v>
      </c>
      <c r="BI26">
        <f t="shared" si="6"/>
        <v>5947743</v>
      </c>
      <c r="BJ26">
        <f t="shared" si="7"/>
        <v>2896682</v>
      </c>
      <c r="BK26">
        <f t="shared" si="8"/>
        <v>23889382</v>
      </c>
      <c r="BL26">
        <f t="shared" si="9"/>
        <v>0</v>
      </c>
      <c r="BM26">
        <f t="shared" si="10"/>
        <v>0</v>
      </c>
      <c r="BN26" t="str">
        <f t="shared" si="0"/>
        <v>u=10%, k=2x10^6</v>
      </c>
      <c r="BO26" t="str">
        <f t="shared" si="1"/>
        <v>u=10%, k=2x10^6, collaborative</v>
      </c>
      <c r="BP26">
        <f t="shared" si="11"/>
        <v>3.4362077456473683</v>
      </c>
      <c r="BQ26">
        <f t="shared" si="13"/>
        <v>0.20247158077368418</v>
      </c>
      <c r="BR26">
        <f t="shared" si="14"/>
        <v>5.0638991240052631</v>
      </c>
      <c r="BS26">
        <f t="shared" si="15"/>
        <v>1.254539903468421</v>
      </c>
      <c r="BT26">
        <f t="shared" si="16"/>
        <v>5.9942311135894739</v>
      </c>
      <c r="BU26">
        <f t="shared" si="12"/>
        <v>43.908320447484201</v>
      </c>
    </row>
    <row r="27" spans="1:73">
      <c r="A27" t="s">
        <v>102</v>
      </c>
      <c r="B27" t="s">
        <v>158</v>
      </c>
      <c r="C27">
        <v>72</v>
      </c>
      <c r="D27" t="s">
        <v>56</v>
      </c>
      <c r="E27" t="s">
        <v>53</v>
      </c>
      <c r="F27" t="s">
        <v>54</v>
      </c>
      <c r="G27">
        <v>60000</v>
      </c>
      <c r="H27">
        <v>5</v>
      </c>
      <c r="I27">
        <v>5</v>
      </c>
      <c r="J27">
        <v>0</v>
      </c>
      <c r="K27">
        <v>1</v>
      </c>
      <c r="L27">
        <v>20000000</v>
      </c>
      <c r="M27">
        <v>24</v>
      </c>
      <c r="N27">
        <v>24</v>
      </c>
      <c r="O27">
        <v>24</v>
      </c>
      <c r="P27">
        <v>0</v>
      </c>
      <c r="Q27" t="s">
        <v>55</v>
      </c>
      <c r="R27">
        <v>100004274610576</v>
      </c>
      <c r="S27">
        <v>9999706</v>
      </c>
      <c r="T27">
        <v>100004274610576</v>
      </c>
      <c r="U27">
        <v>9999706</v>
      </c>
      <c r="V27" t="s">
        <v>63</v>
      </c>
      <c r="W27">
        <v>7</v>
      </c>
      <c r="X27">
        <v>1907743</v>
      </c>
      <c r="Y27">
        <v>12036494</v>
      </c>
      <c r="Z27">
        <v>13944237</v>
      </c>
      <c r="AA27">
        <v>9999706</v>
      </c>
      <c r="AB27">
        <v>7.3092800000000002</v>
      </c>
      <c r="AC27">
        <v>0.83078200000000002</v>
      </c>
      <c r="AD27">
        <v>4.05633</v>
      </c>
      <c r="AE27">
        <v>345240192</v>
      </c>
      <c r="AF27" t="s">
        <v>402</v>
      </c>
      <c r="AG27" t="s">
        <v>403</v>
      </c>
      <c r="AH27">
        <v>25745</v>
      </c>
      <c r="AI27">
        <v>615148</v>
      </c>
      <c r="AJ27">
        <v>1436563140448</v>
      </c>
      <c r="AK27">
        <v>50984918760</v>
      </c>
      <c r="AL27">
        <v>209879917</v>
      </c>
      <c r="AM27">
        <v>59031331121</v>
      </c>
      <c r="AN27">
        <v>38846140663</v>
      </c>
      <c r="AO27">
        <v>23090000858</v>
      </c>
      <c r="AP27">
        <v>1556561241</v>
      </c>
      <c r="AQ27">
        <v>0</v>
      </c>
      <c r="AR27">
        <v>172950014</v>
      </c>
      <c r="AS27">
        <v>1556561241</v>
      </c>
      <c r="AT27">
        <v>1729511255</v>
      </c>
      <c r="AU27">
        <v>25942687</v>
      </c>
      <c r="AV27">
        <v>0</v>
      </c>
      <c r="AW27">
        <v>2882500</v>
      </c>
      <c r="AX27">
        <v>25942687</v>
      </c>
      <c r="AY27">
        <v>28825187</v>
      </c>
      <c r="AZ27">
        <v>18.492699999999999</v>
      </c>
      <c r="BA27">
        <v>7.3153800000000002</v>
      </c>
      <c r="BB27">
        <v>2298.8200000000002</v>
      </c>
      <c r="BC27">
        <v>1490.3</v>
      </c>
      <c r="BD27">
        <v>2438</v>
      </c>
      <c r="BE27">
        <v>154</v>
      </c>
      <c r="BF27">
        <f t="shared" si="3"/>
        <v>59.856797518666667</v>
      </c>
      <c r="BG27" s="31">
        <f t="shared" si="4"/>
        <v>7.1734279716250002</v>
      </c>
      <c r="BH27">
        <f t="shared" si="5"/>
        <v>34</v>
      </c>
      <c r="BI27">
        <f t="shared" si="6"/>
        <v>95064</v>
      </c>
      <c r="BJ27">
        <f t="shared" si="7"/>
        <v>2733560</v>
      </c>
      <c r="BK27">
        <f t="shared" si="8"/>
        <v>25286914</v>
      </c>
      <c r="BL27">
        <f t="shared" si="9"/>
        <v>84782</v>
      </c>
      <c r="BM27">
        <f t="shared" si="10"/>
        <v>0</v>
      </c>
      <c r="BN27" t="str">
        <f t="shared" si="0"/>
        <v>u=10%, k=2x10^7</v>
      </c>
      <c r="BO27" t="str">
        <f t="shared" si="1"/>
        <v>u=10%, k=2x10^7, collaborative</v>
      </c>
      <c r="BP27">
        <f t="shared" si="11"/>
        <v>2.1243716149999998</v>
      </c>
      <c r="BQ27">
        <f t="shared" si="13"/>
        <v>8.7449965416666661E-3</v>
      </c>
      <c r="BR27">
        <f t="shared" si="14"/>
        <v>2.4596387967083335</v>
      </c>
      <c r="BS27">
        <f t="shared" si="15"/>
        <v>1.6185891942916666</v>
      </c>
      <c r="BT27">
        <f t="shared" si="16"/>
        <v>0.96208336908333336</v>
      </c>
      <c r="BU27">
        <f t="shared" si="12"/>
        <v>52.683369547041664</v>
      </c>
    </row>
    <row r="28" spans="1:73">
      <c r="A28" t="s">
        <v>103</v>
      </c>
      <c r="B28" t="s">
        <v>158</v>
      </c>
      <c r="C28">
        <v>72</v>
      </c>
      <c r="D28" t="s">
        <v>56</v>
      </c>
      <c r="E28" t="s">
        <v>53</v>
      </c>
      <c r="F28" t="s">
        <v>54</v>
      </c>
      <c r="G28">
        <v>60000</v>
      </c>
      <c r="H28">
        <v>5</v>
      </c>
      <c r="I28">
        <v>5</v>
      </c>
      <c r="J28">
        <v>0</v>
      </c>
      <c r="K28">
        <v>1</v>
      </c>
      <c r="L28">
        <v>20000000</v>
      </c>
      <c r="M28">
        <v>48</v>
      </c>
      <c r="N28">
        <v>48</v>
      </c>
      <c r="O28">
        <v>48</v>
      </c>
      <c r="P28">
        <v>0</v>
      </c>
      <c r="Q28" t="s">
        <v>55</v>
      </c>
      <c r="R28">
        <v>99985108387951</v>
      </c>
      <c r="S28">
        <v>10000470</v>
      </c>
      <c r="T28">
        <v>99985108387951</v>
      </c>
      <c r="U28">
        <v>10000470</v>
      </c>
      <c r="V28" t="s">
        <v>63</v>
      </c>
      <c r="W28">
        <v>7</v>
      </c>
      <c r="X28">
        <v>1848368</v>
      </c>
      <c r="Y28">
        <v>11926487</v>
      </c>
      <c r="Z28">
        <v>13774855</v>
      </c>
      <c r="AA28">
        <v>10000470</v>
      </c>
      <c r="AB28">
        <v>7.4524400000000002</v>
      </c>
      <c r="AC28">
        <v>0.83850899999999995</v>
      </c>
      <c r="AD28">
        <v>4.0424800000000003</v>
      </c>
      <c r="AE28">
        <v>338738048</v>
      </c>
      <c r="AF28" t="s">
        <v>404</v>
      </c>
      <c r="AG28" t="s">
        <v>405</v>
      </c>
      <c r="AH28">
        <v>114669</v>
      </c>
      <c r="AI28">
        <v>257304</v>
      </c>
      <c r="AJ28">
        <v>2873129998467</v>
      </c>
      <c r="AK28">
        <v>111689862241</v>
      </c>
      <c r="AL28">
        <v>1040406584</v>
      </c>
      <c r="AM28">
        <v>144634078448</v>
      </c>
      <c r="AN28">
        <v>86479382815</v>
      </c>
      <c r="AO28">
        <v>52744800405</v>
      </c>
      <c r="AP28">
        <v>2648300402</v>
      </c>
      <c r="AQ28">
        <v>0</v>
      </c>
      <c r="AR28">
        <v>294259313</v>
      </c>
      <c r="AS28">
        <v>2648300402</v>
      </c>
      <c r="AT28">
        <v>2942559715</v>
      </c>
      <c r="AU28">
        <v>44138340</v>
      </c>
      <c r="AV28">
        <v>0</v>
      </c>
      <c r="AW28">
        <v>4904321</v>
      </c>
      <c r="AX28">
        <v>44138340</v>
      </c>
      <c r="AY28">
        <v>49042661</v>
      </c>
      <c r="AZ28">
        <v>18.760200000000001</v>
      </c>
      <c r="BA28">
        <v>7.5037399999999996</v>
      </c>
      <c r="BB28">
        <v>2698.02</v>
      </c>
      <c r="BC28">
        <v>1850.33</v>
      </c>
      <c r="BD28">
        <v>2488</v>
      </c>
      <c r="BE28">
        <v>183</v>
      </c>
      <c r="BF28">
        <f t="shared" si="3"/>
        <v>59.856874968062499</v>
      </c>
      <c r="BG28" s="31">
        <f t="shared" si="4"/>
        <v>8.2622610519375002</v>
      </c>
      <c r="BH28">
        <f t="shared" si="5"/>
        <v>58</v>
      </c>
      <c r="BI28">
        <f t="shared" si="6"/>
        <v>180518</v>
      </c>
      <c r="BJ28">
        <f t="shared" si="7"/>
        <v>3993328</v>
      </c>
      <c r="BK28">
        <f t="shared" si="8"/>
        <v>41878872</v>
      </c>
      <c r="BL28">
        <f t="shared" si="9"/>
        <v>136746</v>
      </c>
      <c r="BM28">
        <f t="shared" si="10"/>
        <v>0</v>
      </c>
      <c r="BN28" t="str">
        <f t="shared" si="0"/>
        <v>u=10%, k=2x10^7</v>
      </c>
      <c r="BO28" t="str">
        <f t="shared" si="1"/>
        <v>u=10%, k=2x10^7, collaborative</v>
      </c>
      <c r="BP28">
        <f t="shared" si="11"/>
        <v>2.3268721300208335</v>
      </c>
      <c r="BQ28">
        <f t="shared" si="13"/>
        <v>2.1675137166666667E-2</v>
      </c>
      <c r="BR28">
        <f t="shared" si="14"/>
        <v>3.0132099676666666</v>
      </c>
      <c r="BS28">
        <f t="shared" si="15"/>
        <v>1.8016538086458331</v>
      </c>
      <c r="BT28">
        <f t="shared" si="16"/>
        <v>1.0988500084374999</v>
      </c>
      <c r="BU28">
        <f t="shared" si="12"/>
        <v>51.594613916124999</v>
      </c>
    </row>
    <row r="29" spans="1:73">
      <c r="A29" t="s">
        <v>104</v>
      </c>
      <c r="B29" t="s">
        <v>158</v>
      </c>
      <c r="C29">
        <v>72</v>
      </c>
      <c r="D29" t="s">
        <v>56</v>
      </c>
      <c r="E29" t="s">
        <v>53</v>
      </c>
      <c r="F29" t="s">
        <v>54</v>
      </c>
      <c r="G29">
        <v>60000</v>
      </c>
      <c r="H29">
        <v>5</v>
      </c>
      <c r="I29">
        <v>5</v>
      </c>
      <c r="J29">
        <v>0</v>
      </c>
      <c r="K29">
        <v>1</v>
      </c>
      <c r="L29">
        <v>20000000</v>
      </c>
      <c r="M29">
        <v>96</v>
      </c>
      <c r="N29">
        <v>96</v>
      </c>
      <c r="O29">
        <v>96</v>
      </c>
      <c r="P29">
        <v>0</v>
      </c>
      <c r="Q29" t="s">
        <v>55</v>
      </c>
      <c r="R29">
        <v>99985000188821</v>
      </c>
      <c r="S29">
        <v>9998011</v>
      </c>
      <c r="T29">
        <v>99985000188821</v>
      </c>
      <c r="U29">
        <v>9998011</v>
      </c>
      <c r="V29" t="s">
        <v>63</v>
      </c>
      <c r="W29">
        <v>7</v>
      </c>
      <c r="X29">
        <v>1870195</v>
      </c>
      <c r="Y29">
        <v>11963909</v>
      </c>
      <c r="Z29">
        <v>13834104</v>
      </c>
      <c r="AA29">
        <v>9998011</v>
      </c>
      <c r="AB29">
        <v>7.3971499999999999</v>
      </c>
      <c r="AC29">
        <v>0.83568100000000001</v>
      </c>
      <c r="AD29">
        <v>4.0480499999999999</v>
      </c>
      <c r="AE29">
        <v>341079072</v>
      </c>
      <c r="AF29" t="s">
        <v>406</v>
      </c>
      <c r="AG29" t="s">
        <v>407</v>
      </c>
      <c r="AH29">
        <v>469835</v>
      </c>
      <c r="AI29">
        <v>133126</v>
      </c>
      <c r="AJ29">
        <v>5746272578834</v>
      </c>
      <c r="AK29">
        <v>221658470654</v>
      </c>
      <c r="AL29">
        <v>4878321331</v>
      </c>
      <c r="AM29">
        <v>325875781887</v>
      </c>
      <c r="AN29">
        <v>278986172485</v>
      </c>
      <c r="AO29">
        <v>110147970643</v>
      </c>
      <c r="AP29">
        <v>5253291590</v>
      </c>
      <c r="AQ29">
        <v>0</v>
      </c>
      <c r="AR29">
        <v>583655048</v>
      </c>
      <c r="AS29">
        <v>5253291590</v>
      </c>
      <c r="AT29">
        <v>5836946638</v>
      </c>
      <c r="AU29">
        <v>87554859</v>
      </c>
      <c r="AV29">
        <v>0</v>
      </c>
      <c r="AW29">
        <v>9727584</v>
      </c>
      <c r="AX29">
        <v>87554859</v>
      </c>
      <c r="AY29">
        <v>97282443</v>
      </c>
      <c r="AZ29">
        <v>18.988</v>
      </c>
      <c r="BA29">
        <v>7.95052</v>
      </c>
      <c r="BB29">
        <v>2713.63</v>
      </c>
      <c r="BC29">
        <v>1823.06</v>
      </c>
      <c r="BD29">
        <v>2611</v>
      </c>
      <c r="BE29">
        <v>260</v>
      </c>
      <c r="BF29">
        <f t="shared" si="3"/>
        <v>59.857006029520839</v>
      </c>
      <c r="BG29" s="31">
        <f t="shared" si="4"/>
        <v>9.8077783020833333</v>
      </c>
      <c r="BH29">
        <f t="shared" si="5"/>
        <v>116</v>
      </c>
      <c r="BI29">
        <f t="shared" si="6"/>
        <v>367045</v>
      </c>
      <c r="BJ29">
        <f t="shared" si="7"/>
        <v>5374576</v>
      </c>
      <c r="BK29">
        <f t="shared" si="8"/>
        <v>80032632</v>
      </c>
      <c r="BL29">
        <f t="shared" si="9"/>
        <v>235313</v>
      </c>
      <c r="BM29">
        <f t="shared" si="10"/>
        <v>0</v>
      </c>
      <c r="BN29" t="str">
        <f t="shared" si="0"/>
        <v>u=10%, k=2x10^7</v>
      </c>
      <c r="BO29" t="str">
        <f t="shared" si="1"/>
        <v>u=10%, k=2x10^7, collaborative</v>
      </c>
      <c r="BP29">
        <f t="shared" si="11"/>
        <v>2.3089424026458336</v>
      </c>
      <c r="BQ29">
        <f t="shared" si="13"/>
        <v>5.0815847197916673E-2</v>
      </c>
      <c r="BR29">
        <f t="shared" si="14"/>
        <v>3.3945393946562503</v>
      </c>
      <c r="BS29">
        <f t="shared" si="15"/>
        <v>2.9061059633854165</v>
      </c>
      <c r="BT29">
        <f t="shared" si="16"/>
        <v>1.1473746941979166</v>
      </c>
      <c r="BU29">
        <f t="shared" si="12"/>
        <v>50.049227727437504</v>
      </c>
    </row>
    <row r="30" spans="1:73">
      <c r="A30" t="s">
        <v>105</v>
      </c>
      <c r="B30" t="s">
        <v>158</v>
      </c>
      <c r="C30">
        <v>72</v>
      </c>
      <c r="D30" t="s">
        <v>56</v>
      </c>
      <c r="E30" t="s">
        <v>53</v>
      </c>
      <c r="F30" t="s">
        <v>54</v>
      </c>
      <c r="G30">
        <v>60000</v>
      </c>
      <c r="H30">
        <v>5</v>
      </c>
      <c r="I30">
        <v>5</v>
      </c>
      <c r="J30">
        <v>0</v>
      </c>
      <c r="K30">
        <v>1</v>
      </c>
      <c r="L30">
        <v>20000000</v>
      </c>
      <c r="M30">
        <v>144</v>
      </c>
      <c r="N30">
        <v>144</v>
      </c>
      <c r="O30">
        <v>144</v>
      </c>
      <c r="P30">
        <v>0</v>
      </c>
      <c r="Q30" t="s">
        <v>55</v>
      </c>
      <c r="R30">
        <v>100008055042154</v>
      </c>
      <c r="S30">
        <v>10001527</v>
      </c>
      <c r="T30">
        <v>100008055042154</v>
      </c>
      <c r="U30">
        <v>10001527</v>
      </c>
      <c r="V30" t="s">
        <v>63</v>
      </c>
      <c r="W30">
        <v>7</v>
      </c>
      <c r="X30">
        <v>1902178</v>
      </c>
      <c r="Y30">
        <v>12023851</v>
      </c>
      <c r="Z30">
        <v>13926029</v>
      </c>
      <c r="AA30">
        <v>10001527</v>
      </c>
      <c r="AB30">
        <v>7.3211000000000004</v>
      </c>
      <c r="AC30">
        <v>0.83180699999999996</v>
      </c>
      <c r="AD30">
        <v>4.05532</v>
      </c>
      <c r="AE30">
        <v>344585056</v>
      </c>
      <c r="AF30" t="s">
        <v>408</v>
      </c>
      <c r="AG30" t="s">
        <v>409</v>
      </c>
      <c r="AH30">
        <v>1000119</v>
      </c>
      <c r="AI30">
        <v>88626</v>
      </c>
      <c r="AJ30">
        <v>8619378033001</v>
      </c>
      <c r="AK30">
        <v>321502533393</v>
      </c>
      <c r="AL30">
        <v>8898035569</v>
      </c>
      <c r="AM30">
        <v>485454060031</v>
      </c>
      <c r="AN30">
        <v>520141322000</v>
      </c>
      <c r="AO30">
        <v>170049091824</v>
      </c>
      <c r="AP30">
        <v>7583000776</v>
      </c>
      <c r="AQ30">
        <v>0</v>
      </c>
      <c r="AR30">
        <v>842534952</v>
      </c>
      <c r="AS30">
        <v>7583000776</v>
      </c>
      <c r="AT30">
        <v>8425535728</v>
      </c>
      <c r="AU30">
        <v>126383346</v>
      </c>
      <c r="AV30">
        <v>0</v>
      </c>
      <c r="AW30">
        <v>14042249</v>
      </c>
      <c r="AX30">
        <v>126383346</v>
      </c>
      <c r="AY30">
        <v>140425595</v>
      </c>
      <c r="AZ30">
        <v>19.101099999999999</v>
      </c>
      <c r="BA30">
        <v>8.2666799999999991</v>
      </c>
      <c r="BB30">
        <v>2812.49</v>
      </c>
      <c r="BC30">
        <v>1896.24</v>
      </c>
      <c r="BD30">
        <v>2774</v>
      </c>
      <c r="BE30">
        <v>281</v>
      </c>
      <c r="BF30">
        <f t="shared" si="3"/>
        <v>59.856791895840274</v>
      </c>
      <c r="BG30" s="31">
        <f t="shared" si="4"/>
        <v>10.45864613067361</v>
      </c>
      <c r="BH30">
        <f t="shared" si="5"/>
        <v>168</v>
      </c>
      <c r="BI30">
        <f t="shared" si="6"/>
        <v>531346</v>
      </c>
      <c r="BJ30">
        <f t="shared" si="7"/>
        <v>4450296</v>
      </c>
      <c r="BK30">
        <f t="shared" si="8"/>
        <v>112719511</v>
      </c>
      <c r="BL30">
        <f t="shared" si="9"/>
        <v>282828</v>
      </c>
      <c r="BM30">
        <f t="shared" si="10"/>
        <v>0</v>
      </c>
      <c r="BN30" t="str">
        <f t="shared" si="0"/>
        <v>u=10%, k=2x10^7</v>
      </c>
      <c r="BO30" t="str">
        <f t="shared" si="1"/>
        <v>u=10%, k=2x10^7, collaborative</v>
      </c>
      <c r="BP30">
        <f t="shared" si="11"/>
        <v>2.2326564818958334</v>
      </c>
      <c r="BQ30">
        <f t="shared" si="13"/>
        <v>6.1791913673611108E-2</v>
      </c>
      <c r="BR30">
        <f t="shared" si="14"/>
        <v>3.3712087502152777</v>
      </c>
      <c r="BS30">
        <f t="shared" si="15"/>
        <v>3.6120925138888884</v>
      </c>
      <c r="BT30">
        <f t="shared" si="16"/>
        <v>1.1808964709999998</v>
      </c>
      <c r="BU30">
        <f t="shared" si="12"/>
        <v>49.39814576516666</v>
      </c>
    </row>
    <row r="31" spans="1:73">
      <c r="A31" t="s">
        <v>106</v>
      </c>
      <c r="B31" t="s">
        <v>158</v>
      </c>
      <c r="C31">
        <v>72</v>
      </c>
      <c r="D31" t="s">
        <v>56</v>
      </c>
      <c r="E31" t="s">
        <v>53</v>
      </c>
      <c r="F31" t="s">
        <v>54</v>
      </c>
      <c r="G31">
        <v>60000</v>
      </c>
      <c r="H31">
        <v>5</v>
      </c>
      <c r="I31">
        <v>5</v>
      </c>
      <c r="J31">
        <v>0</v>
      </c>
      <c r="K31">
        <v>1</v>
      </c>
      <c r="L31">
        <v>20000000</v>
      </c>
      <c r="M31">
        <v>190</v>
      </c>
      <c r="N31">
        <v>190</v>
      </c>
      <c r="O31">
        <v>190</v>
      </c>
      <c r="P31">
        <v>0</v>
      </c>
      <c r="Q31" t="s">
        <v>55</v>
      </c>
      <c r="R31">
        <v>100013799170242</v>
      </c>
      <c r="S31">
        <v>10000330</v>
      </c>
      <c r="T31">
        <v>100013799170242</v>
      </c>
      <c r="U31">
        <v>10000330</v>
      </c>
      <c r="V31" t="s">
        <v>63</v>
      </c>
      <c r="W31">
        <v>7</v>
      </c>
      <c r="X31">
        <v>1744353</v>
      </c>
      <c r="Y31">
        <v>11692864</v>
      </c>
      <c r="Z31">
        <v>13437217</v>
      </c>
      <c r="AA31">
        <v>10000330</v>
      </c>
      <c r="AB31">
        <v>7.7032699999999998</v>
      </c>
      <c r="AC31">
        <v>0.85525099999999998</v>
      </c>
      <c r="AD31">
        <v>4.0240400000000003</v>
      </c>
      <c r="AE31">
        <v>326645216</v>
      </c>
      <c r="AF31" t="s">
        <v>410</v>
      </c>
      <c r="AG31" t="s">
        <v>411</v>
      </c>
      <c r="AH31">
        <v>1677279</v>
      </c>
      <c r="AI31">
        <v>69310</v>
      </c>
      <c r="AJ31">
        <v>11372812727871</v>
      </c>
      <c r="AK31">
        <v>428203783888</v>
      </c>
      <c r="AL31">
        <v>15851172460</v>
      </c>
      <c r="AM31">
        <v>684542397973</v>
      </c>
      <c r="AN31">
        <v>799595792546</v>
      </c>
      <c r="AO31">
        <v>240608764989</v>
      </c>
      <c r="AP31">
        <v>9527512374</v>
      </c>
      <c r="AQ31">
        <v>0</v>
      </c>
      <c r="AR31">
        <v>1058699263</v>
      </c>
      <c r="AS31">
        <v>9527512374</v>
      </c>
      <c r="AT31">
        <v>10586211637</v>
      </c>
      <c r="AU31">
        <v>158791872</v>
      </c>
      <c r="AV31">
        <v>0</v>
      </c>
      <c r="AW31">
        <v>17644987</v>
      </c>
      <c r="AX31">
        <v>158791872</v>
      </c>
      <c r="AY31">
        <v>176436860</v>
      </c>
      <c r="AZ31">
        <v>19.277100000000001</v>
      </c>
      <c r="BA31">
        <v>8.5356400000000008</v>
      </c>
      <c r="BB31">
        <v>2939.66</v>
      </c>
      <c r="BC31">
        <v>1995.23</v>
      </c>
      <c r="BD31">
        <v>2877</v>
      </c>
      <c r="BE31">
        <v>407</v>
      </c>
      <c r="BF31">
        <f t="shared" si="3"/>
        <v>59.856909094057897</v>
      </c>
      <c r="BG31" s="31">
        <f t="shared" si="4"/>
        <v>11.414746904505263</v>
      </c>
      <c r="BH31">
        <f t="shared" si="5"/>
        <v>211</v>
      </c>
      <c r="BI31">
        <f t="shared" si="6"/>
        <v>669806</v>
      </c>
      <c r="BJ31">
        <f t="shared" si="7"/>
        <v>5648591</v>
      </c>
      <c r="BK31">
        <f t="shared" si="8"/>
        <v>141731044</v>
      </c>
      <c r="BL31">
        <f t="shared" si="9"/>
        <v>356334</v>
      </c>
      <c r="BM31">
        <f t="shared" si="10"/>
        <v>0</v>
      </c>
      <c r="BN31" t="str">
        <f t="shared" si="0"/>
        <v>u=10%, k=2x10^7</v>
      </c>
      <c r="BO31" t="str">
        <f t="shared" si="1"/>
        <v>u=10%, k=2x10^7, collaborative</v>
      </c>
      <c r="BP31">
        <f t="shared" si="11"/>
        <v>2.2537041257263155</v>
      </c>
      <c r="BQ31">
        <f t="shared" si="13"/>
        <v>8.3427223473684212E-2</v>
      </c>
      <c r="BR31">
        <f t="shared" si="14"/>
        <v>3.6028547261736841</v>
      </c>
      <c r="BS31">
        <f t="shared" si="15"/>
        <v>4.208398908136842</v>
      </c>
      <c r="BT31">
        <f t="shared" si="16"/>
        <v>1.266361920994737</v>
      </c>
      <c r="BU31">
        <f t="shared" si="12"/>
        <v>48.442162189552633</v>
      </c>
    </row>
    <row r="32" spans="1:73">
      <c r="A32" t="s">
        <v>107</v>
      </c>
      <c r="B32" t="s">
        <v>158</v>
      </c>
      <c r="C32">
        <v>72</v>
      </c>
      <c r="D32" t="s">
        <v>56</v>
      </c>
      <c r="E32" t="s">
        <v>53</v>
      </c>
      <c r="F32" t="s">
        <v>54</v>
      </c>
      <c r="G32">
        <v>60000</v>
      </c>
      <c r="H32">
        <v>5</v>
      </c>
      <c r="I32">
        <v>5</v>
      </c>
      <c r="J32">
        <v>0</v>
      </c>
      <c r="K32">
        <v>1</v>
      </c>
      <c r="L32">
        <v>200000000</v>
      </c>
      <c r="M32">
        <v>24</v>
      </c>
      <c r="N32">
        <v>24</v>
      </c>
      <c r="O32">
        <v>24</v>
      </c>
      <c r="P32">
        <v>0</v>
      </c>
      <c r="Q32" t="s">
        <v>55</v>
      </c>
      <c r="R32">
        <v>9998472086957380</v>
      </c>
      <c r="S32">
        <v>99989059</v>
      </c>
      <c r="T32">
        <v>9998472086957380</v>
      </c>
      <c r="U32">
        <v>99989059</v>
      </c>
      <c r="V32" t="s">
        <v>63</v>
      </c>
      <c r="W32">
        <v>7</v>
      </c>
      <c r="X32">
        <v>14396332</v>
      </c>
      <c r="Y32">
        <v>116986469</v>
      </c>
      <c r="Z32">
        <v>131382801</v>
      </c>
      <c r="AA32">
        <v>99989059</v>
      </c>
      <c r="AB32">
        <v>9.1261299999999999</v>
      </c>
      <c r="AC32">
        <v>0.85470599999999997</v>
      </c>
      <c r="AD32">
        <v>4.0671999999999997</v>
      </c>
      <c r="AE32">
        <v>3027172144</v>
      </c>
      <c r="AF32" t="s">
        <v>412</v>
      </c>
      <c r="AG32" t="s">
        <v>413</v>
      </c>
      <c r="AH32">
        <v>2361</v>
      </c>
      <c r="AI32">
        <v>529166</v>
      </c>
      <c r="AJ32">
        <v>1436562705229</v>
      </c>
      <c r="AK32">
        <v>28857464685</v>
      </c>
      <c r="AL32">
        <v>30418724</v>
      </c>
      <c r="AM32">
        <v>38021299974</v>
      </c>
      <c r="AN32">
        <v>28902377267</v>
      </c>
      <c r="AO32">
        <v>12049458631</v>
      </c>
      <c r="AP32">
        <v>1307191988</v>
      </c>
      <c r="AQ32">
        <v>0</v>
      </c>
      <c r="AR32">
        <v>145237381</v>
      </c>
      <c r="AS32">
        <v>1307191988</v>
      </c>
      <c r="AT32">
        <v>1452429369</v>
      </c>
      <c r="AU32">
        <v>21786533</v>
      </c>
      <c r="AV32">
        <v>0</v>
      </c>
      <c r="AW32">
        <v>2420623</v>
      </c>
      <c r="AX32">
        <v>21786533</v>
      </c>
      <c r="AY32">
        <v>24207156</v>
      </c>
      <c r="AZ32">
        <v>20.878799999999998</v>
      </c>
      <c r="BA32">
        <v>9.4419299999999993</v>
      </c>
      <c r="BB32">
        <v>2739.78</v>
      </c>
      <c r="BC32">
        <v>2018.76</v>
      </c>
      <c r="BD32">
        <v>10167</v>
      </c>
      <c r="BE32">
        <v>1534</v>
      </c>
      <c r="BF32">
        <f t="shared" si="3"/>
        <v>59.85677938454166</v>
      </c>
      <c r="BG32" s="31">
        <f t="shared" si="4"/>
        <v>4.4942091367083332</v>
      </c>
      <c r="BH32">
        <f t="shared" si="5"/>
        <v>2</v>
      </c>
      <c r="BI32">
        <f t="shared" si="6"/>
        <v>12734</v>
      </c>
      <c r="BJ32">
        <f t="shared" si="7"/>
        <v>1336134</v>
      </c>
      <c r="BK32">
        <f t="shared" si="8"/>
        <v>12288118</v>
      </c>
      <c r="BL32">
        <f t="shared" si="9"/>
        <v>2023810</v>
      </c>
      <c r="BM32">
        <f t="shared" si="10"/>
        <v>0</v>
      </c>
      <c r="BN32" t="str">
        <f t="shared" si="0"/>
        <v>u=10%, k=2x10^8</v>
      </c>
      <c r="BO32" t="str">
        <f t="shared" si="1"/>
        <v>u=10%, k=2x10^8, collaborative</v>
      </c>
      <c r="BP32">
        <f t="shared" si="11"/>
        <v>1.2023943618749999</v>
      </c>
      <c r="BQ32">
        <f t="shared" si="13"/>
        <v>1.2674468333333333E-3</v>
      </c>
      <c r="BR32">
        <f t="shared" si="14"/>
        <v>1.58422083225</v>
      </c>
      <c r="BS32">
        <f t="shared" si="15"/>
        <v>1.2042657194583333</v>
      </c>
      <c r="BT32">
        <f t="shared" si="16"/>
        <v>0.50206077629166668</v>
      </c>
      <c r="BU32">
        <f t="shared" si="12"/>
        <v>55.362570247833325</v>
      </c>
    </row>
    <row r="33" spans="1:73">
      <c r="A33" t="s">
        <v>108</v>
      </c>
      <c r="B33" t="s">
        <v>158</v>
      </c>
      <c r="C33">
        <v>72</v>
      </c>
      <c r="D33" t="s">
        <v>56</v>
      </c>
      <c r="E33" t="s">
        <v>53</v>
      </c>
      <c r="F33" t="s">
        <v>54</v>
      </c>
      <c r="G33">
        <v>60000</v>
      </c>
      <c r="H33">
        <v>5</v>
      </c>
      <c r="I33">
        <v>5</v>
      </c>
      <c r="J33">
        <v>0</v>
      </c>
      <c r="K33">
        <v>1</v>
      </c>
      <c r="L33">
        <v>200000000</v>
      </c>
      <c r="M33">
        <v>48</v>
      </c>
      <c r="N33">
        <v>48</v>
      </c>
      <c r="O33">
        <v>48</v>
      </c>
      <c r="P33">
        <v>0</v>
      </c>
      <c r="Q33" t="s">
        <v>55</v>
      </c>
      <c r="R33">
        <v>1.000022647809E+16</v>
      </c>
      <c r="S33">
        <v>99997404</v>
      </c>
      <c r="T33">
        <v>1.000022647809E+16</v>
      </c>
      <c r="U33">
        <v>99997404</v>
      </c>
      <c r="V33" t="s">
        <v>63</v>
      </c>
      <c r="W33">
        <v>7</v>
      </c>
      <c r="X33">
        <v>14560523</v>
      </c>
      <c r="Y33">
        <v>117394819</v>
      </c>
      <c r="Z33">
        <v>131955342</v>
      </c>
      <c r="AA33">
        <v>99997404</v>
      </c>
      <c r="AB33">
        <v>9.0625400000000003</v>
      </c>
      <c r="AC33">
        <v>0.85180400000000001</v>
      </c>
      <c r="AD33">
        <v>4.07165</v>
      </c>
      <c r="AE33">
        <v>3047088416</v>
      </c>
      <c r="AF33" t="s">
        <v>414</v>
      </c>
      <c r="AG33" t="s">
        <v>415</v>
      </c>
      <c r="AH33">
        <v>13818</v>
      </c>
      <c r="AI33">
        <v>211726</v>
      </c>
      <c r="AJ33">
        <v>2873125337878</v>
      </c>
      <c r="AK33">
        <v>82506823492</v>
      </c>
      <c r="AL33">
        <v>206233138</v>
      </c>
      <c r="AM33">
        <v>110084801098</v>
      </c>
      <c r="AN33">
        <v>77050423362</v>
      </c>
      <c r="AO33">
        <v>35061437470</v>
      </c>
      <c r="AP33">
        <v>2184604197</v>
      </c>
      <c r="AQ33">
        <v>0</v>
      </c>
      <c r="AR33">
        <v>242729725</v>
      </c>
      <c r="AS33">
        <v>2184604197</v>
      </c>
      <c r="AT33">
        <v>2427333922</v>
      </c>
      <c r="AU33">
        <v>36410069</v>
      </c>
      <c r="AV33">
        <v>0</v>
      </c>
      <c r="AW33">
        <v>4045495</v>
      </c>
      <c r="AX33">
        <v>36410069</v>
      </c>
      <c r="AY33">
        <v>40455565</v>
      </c>
      <c r="AZ33">
        <v>21.513500000000001</v>
      </c>
      <c r="BA33">
        <v>9.8220899999999993</v>
      </c>
      <c r="BB33">
        <v>3243.66</v>
      </c>
      <c r="BC33">
        <v>2423.59</v>
      </c>
      <c r="BD33">
        <v>13577</v>
      </c>
      <c r="BE33">
        <v>1261</v>
      </c>
      <c r="BF33">
        <f t="shared" si="3"/>
        <v>59.856777872458338</v>
      </c>
      <c r="BG33" s="31">
        <f t="shared" si="4"/>
        <v>6.3522858033333334</v>
      </c>
      <c r="BH33">
        <f t="shared" si="5"/>
        <v>4</v>
      </c>
      <c r="BI33">
        <f t="shared" si="6"/>
        <v>34299</v>
      </c>
      <c r="BJ33">
        <f t="shared" si="7"/>
        <v>2133594</v>
      </c>
      <c r="BK33">
        <f t="shared" si="8"/>
        <v>20238733</v>
      </c>
      <c r="BL33">
        <f t="shared" si="9"/>
        <v>3349938</v>
      </c>
      <c r="BM33">
        <f t="shared" si="10"/>
        <v>0</v>
      </c>
      <c r="BN33" t="str">
        <f t="shared" si="0"/>
        <v>u=10%, k=2x10^8</v>
      </c>
      <c r="BO33" t="str">
        <f t="shared" si="1"/>
        <v>u=10%, k=2x10^8, collaborative</v>
      </c>
      <c r="BP33">
        <f t="shared" si="11"/>
        <v>1.7188921560833332</v>
      </c>
      <c r="BQ33">
        <f t="shared" si="13"/>
        <v>4.2965237083333338E-3</v>
      </c>
      <c r="BR33">
        <f t="shared" si="14"/>
        <v>2.2934333562083333</v>
      </c>
      <c r="BS33">
        <f t="shared" si="15"/>
        <v>1.6052171533750001</v>
      </c>
      <c r="BT33">
        <f t="shared" si="16"/>
        <v>0.73044661395833332</v>
      </c>
      <c r="BU33">
        <f t="shared" si="12"/>
        <v>53.504492069125007</v>
      </c>
    </row>
    <row r="34" spans="1:73">
      <c r="A34" t="s">
        <v>109</v>
      </c>
      <c r="B34" t="s">
        <v>158</v>
      </c>
      <c r="C34">
        <v>72</v>
      </c>
      <c r="D34" t="s">
        <v>56</v>
      </c>
      <c r="E34" t="s">
        <v>53</v>
      </c>
      <c r="F34" t="s">
        <v>54</v>
      </c>
      <c r="G34">
        <v>60000</v>
      </c>
      <c r="H34">
        <v>5</v>
      </c>
      <c r="I34">
        <v>5</v>
      </c>
      <c r="J34">
        <v>0</v>
      </c>
      <c r="K34">
        <v>1</v>
      </c>
      <c r="L34">
        <v>200000000</v>
      </c>
      <c r="M34">
        <v>96</v>
      </c>
      <c r="N34">
        <v>96</v>
      </c>
      <c r="O34">
        <v>96</v>
      </c>
      <c r="P34">
        <v>0</v>
      </c>
      <c r="Q34" t="s">
        <v>55</v>
      </c>
      <c r="R34">
        <v>9999550660464430</v>
      </c>
      <c r="S34">
        <v>100000327</v>
      </c>
      <c r="T34">
        <v>9999550660464430</v>
      </c>
      <c r="U34">
        <v>100000327</v>
      </c>
      <c r="V34" t="s">
        <v>63</v>
      </c>
      <c r="W34">
        <v>7</v>
      </c>
      <c r="X34">
        <v>12026378</v>
      </c>
      <c r="Y34">
        <v>112044191</v>
      </c>
      <c r="Z34">
        <v>124070569</v>
      </c>
      <c r="AA34">
        <v>100000327</v>
      </c>
      <c r="AB34">
        <v>10.3165</v>
      </c>
      <c r="AC34">
        <v>0.89250799999999997</v>
      </c>
      <c r="AD34">
        <v>4.0205700000000002</v>
      </c>
      <c r="AE34">
        <v>2755104736</v>
      </c>
      <c r="AF34" t="s">
        <v>416</v>
      </c>
      <c r="AG34" t="s">
        <v>417</v>
      </c>
      <c r="AH34">
        <v>83322</v>
      </c>
      <c r="AI34">
        <v>82726</v>
      </c>
      <c r="AJ34">
        <v>5746398327047</v>
      </c>
      <c r="AK34">
        <v>183173351192</v>
      </c>
      <c r="AL34">
        <v>1599511172</v>
      </c>
      <c r="AM34">
        <v>327960088250</v>
      </c>
      <c r="AN34">
        <v>254782574954</v>
      </c>
      <c r="AO34">
        <v>85248509283</v>
      </c>
      <c r="AP34">
        <v>4088267795</v>
      </c>
      <c r="AQ34">
        <v>0</v>
      </c>
      <c r="AR34">
        <v>454263252</v>
      </c>
      <c r="AS34">
        <v>4088267795</v>
      </c>
      <c r="AT34">
        <v>4542531047</v>
      </c>
      <c r="AU34">
        <v>68137796</v>
      </c>
      <c r="AV34">
        <v>0</v>
      </c>
      <c r="AW34">
        <v>7571054</v>
      </c>
      <c r="AX34">
        <v>68137796</v>
      </c>
      <c r="AY34">
        <v>75708850</v>
      </c>
      <c r="AZ34">
        <v>22.123799999999999</v>
      </c>
      <c r="BA34">
        <v>10.849600000000001</v>
      </c>
      <c r="BB34">
        <v>3352.82</v>
      </c>
      <c r="BC34">
        <v>2477.9</v>
      </c>
      <c r="BD34">
        <v>13169</v>
      </c>
      <c r="BE34">
        <v>1074</v>
      </c>
      <c r="BF34">
        <f t="shared" si="3"/>
        <v>59.858315906739584</v>
      </c>
      <c r="BG34" s="31">
        <f t="shared" si="4"/>
        <v>8.8829586963645841</v>
      </c>
      <c r="BH34">
        <f t="shared" si="5"/>
        <v>9</v>
      </c>
      <c r="BI34">
        <f t="shared" si="6"/>
        <v>89195</v>
      </c>
      <c r="BJ34">
        <f t="shared" si="7"/>
        <v>3550568</v>
      </c>
      <c r="BK34">
        <f t="shared" si="8"/>
        <v>35992412</v>
      </c>
      <c r="BL34">
        <f t="shared" si="9"/>
        <v>6070777</v>
      </c>
      <c r="BM34">
        <f t="shared" si="10"/>
        <v>0</v>
      </c>
      <c r="BN34" t="str">
        <f t="shared" si="0"/>
        <v>u=10%, k=2x10^8</v>
      </c>
      <c r="BO34" t="str">
        <f t="shared" si="1"/>
        <v>u=10%, k=2x10^8, collaborative</v>
      </c>
      <c r="BP34">
        <f t="shared" si="11"/>
        <v>1.9080557415833335</v>
      </c>
      <c r="BQ34">
        <f t="shared" si="13"/>
        <v>1.6661574708333331E-2</v>
      </c>
      <c r="BR34">
        <f t="shared" si="14"/>
        <v>3.4162509192708335</v>
      </c>
      <c r="BS34">
        <f t="shared" si="15"/>
        <v>2.6539851557708336</v>
      </c>
      <c r="BT34">
        <f t="shared" si="16"/>
        <v>0.88800530503125008</v>
      </c>
      <c r="BU34">
        <f t="shared" si="12"/>
        <v>50.975357210375002</v>
      </c>
    </row>
    <row r="35" spans="1:73">
      <c r="A35" t="s">
        <v>110</v>
      </c>
      <c r="B35" t="s">
        <v>158</v>
      </c>
      <c r="C35">
        <v>72</v>
      </c>
      <c r="D35" t="s">
        <v>56</v>
      </c>
      <c r="E35" t="s">
        <v>53</v>
      </c>
      <c r="F35" t="s">
        <v>54</v>
      </c>
      <c r="G35">
        <v>60000</v>
      </c>
      <c r="H35">
        <v>5</v>
      </c>
      <c r="I35">
        <v>5</v>
      </c>
      <c r="J35">
        <v>0</v>
      </c>
      <c r="K35">
        <v>1</v>
      </c>
      <c r="L35">
        <v>200000000</v>
      </c>
      <c r="M35">
        <v>144</v>
      </c>
      <c r="N35">
        <v>144</v>
      </c>
      <c r="O35">
        <v>144</v>
      </c>
      <c r="P35">
        <v>0</v>
      </c>
      <c r="Q35" t="s">
        <v>55</v>
      </c>
      <c r="R35">
        <v>9999640943029210</v>
      </c>
      <c r="S35">
        <v>100002965</v>
      </c>
      <c r="T35">
        <v>9999640943029210</v>
      </c>
      <c r="U35">
        <v>100002965</v>
      </c>
      <c r="V35" t="s">
        <v>63</v>
      </c>
      <c r="W35">
        <v>7</v>
      </c>
      <c r="X35">
        <v>11299613</v>
      </c>
      <c r="Y35">
        <v>110581723</v>
      </c>
      <c r="Z35">
        <v>121881336</v>
      </c>
      <c r="AA35">
        <v>100002965</v>
      </c>
      <c r="AB35">
        <v>10.786300000000001</v>
      </c>
      <c r="AC35">
        <v>0.904335</v>
      </c>
      <c r="AD35">
        <v>4.0057999999999998</v>
      </c>
      <c r="AE35">
        <v>2673303600</v>
      </c>
      <c r="AF35" t="s">
        <v>418</v>
      </c>
      <c r="AG35" t="s">
        <v>419</v>
      </c>
      <c r="AH35">
        <v>173434</v>
      </c>
      <c r="AI35">
        <v>48388</v>
      </c>
      <c r="AJ35">
        <v>8619727087689</v>
      </c>
      <c r="AK35">
        <v>266254071063</v>
      </c>
      <c r="AL35">
        <v>5423165896</v>
      </c>
      <c r="AM35">
        <v>577553797660</v>
      </c>
      <c r="AN35">
        <v>486277299034</v>
      </c>
      <c r="AO35">
        <v>135372283676</v>
      </c>
      <c r="AP35">
        <v>5860123145</v>
      </c>
      <c r="AQ35">
        <v>0</v>
      </c>
      <c r="AR35">
        <v>651124672</v>
      </c>
      <c r="AS35">
        <v>5860123145</v>
      </c>
      <c r="AT35">
        <v>6511247817</v>
      </c>
      <c r="AU35">
        <v>97668719</v>
      </c>
      <c r="AV35">
        <v>0</v>
      </c>
      <c r="AW35">
        <v>10852077</v>
      </c>
      <c r="AX35">
        <v>97668719</v>
      </c>
      <c r="AY35">
        <v>108520796</v>
      </c>
      <c r="AZ35">
        <v>22.266999999999999</v>
      </c>
      <c r="BA35">
        <v>11.1889</v>
      </c>
      <c r="BB35">
        <v>3438.84</v>
      </c>
      <c r="BC35">
        <v>2547.42</v>
      </c>
      <c r="BD35">
        <v>14039</v>
      </c>
      <c r="BE35">
        <v>1026</v>
      </c>
      <c r="BF35">
        <f t="shared" si="3"/>
        <v>59.859215886729167</v>
      </c>
      <c r="BG35" s="31">
        <f t="shared" si="4"/>
        <v>10.214448731451389</v>
      </c>
      <c r="BH35">
        <f t="shared" si="5"/>
        <v>13</v>
      </c>
      <c r="BI35">
        <f t="shared" si="6"/>
        <v>129955</v>
      </c>
      <c r="BJ35">
        <f t="shared" si="7"/>
        <v>4548385</v>
      </c>
      <c r="BK35">
        <f t="shared" si="8"/>
        <v>50686176</v>
      </c>
      <c r="BL35">
        <f t="shared" si="9"/>
        <v>8668903</v>
      </c>
      <c r="BM35">
        <f t="shared" si="10"/>
        <v>0</v>
      </c>
      <c r="BN35" t="str">
        <f t="shared" si="0"/>
        <v>u=10%, k=2x10^8</v>
      </c>
      <c r="BO35" t="str">
        <f t="shared" si="1"/>
        <v>u=10%, k=2x10^8, collaborative</v>
      </c>
      <c r="BP35">
        <f t="shared" si="11"/>
        <v>1.8489866046041668</v>
      </c>
      <c r="BQ35">
        <f t="shared" si="13"/>
        <v>3.7660874277777784E-2</v>
      </c>
      <c r="BR35">
        <f t="shared" si="14"/>
        <v>4.0107902615277773</v>
      </c>
      <c r="BS35">
        <f t="shared" si="15"/>
        <v>3.3769256877361111</v>
      </c>
      <c r="BT35">
        <f t="shared" si="16"/>
        <v>0.94008530330555551</v>
      </c>
      <c r="BU35">
        <f t="shared" si="12"/>
        <v>49.644767155277776</v>
      </c>
    </row>
    <row r="36" spans="1:73">
      <c r="A36" t="s">
        <v>111</v>
      </c>
      <c r="B36" t="s">
        <v>158</v>
      </c>
      <c r="C36">
        <v>72</v>
      </c>
      <c r="D36" t="s">
        <v>56</v>
      </c>
      <c r="E36" t="s">
        <v>53</v>
      </c>
      <c r="F36" t="s">
        <v>54</v>
      </c>
      <c r="G36">
        <v>60000</v>
      </c>
      <c r="H36">
        <v>5</v>
      </c>
      <c r="I36">
        <v>5</v>
      </c>
      <c r="J36">
        <v>0</v>
      </c>
      <c r="K36">
        <v>1</v>
      </c>
      <c r="L36">
        <v>200000000</v>
      </c>
      <c r="M36">
        <v>190</v>
      </c>
      <c r="N36">
        <v>190</v>
      </c>
      <c r="O36">
        <v>190</v>
      </c>
      <c r="P36">
        <v>0</v>
      </c>
      <c r="Q36" t="s">
        <v>55</v>
      </c>
      <c r="R36">
        <v>9999845435199330</v>
      </c>
      <c r="S36">
        <v>99993940</v>
      </c>
      <c r="T36">
        <v>9999845435199330</v>
      </c>
      <c r="U36">
        <v>99993940</v>
      </c>
      <c r="V36" t="s">
        <v>63</v>
      </c>
      <c r="W36">
        <v>7</v>
      </c>
      <c r="X36">
        <v>14951033</v>
      </c>
      <c r="Y36">
        <v>118276591</v>
      </c>
      <c r="Z36">
        <v>133227624</v>
      </c>
      <c r="AA36">
        <v>99993940</v>
      </c>
      <c r="AB36">
        <v>8.9109300000000005</v>
      </c>
      <c r="AC36">
        <v>0.84542499999999998</v>
      </c>
      <c r="AD36">
        <v>4.0822000000000003</v>
      </c>
      <c r="AE36">
        <v>3092804176</v>
      </c>
      <c r="AF36" t="s">
        <v>420</v>
      </c>
      <c r="AG36" t="s">
        <v>421</v>
      </c>
      <c r="AH36">
        <v>276254</v>
      </c>
      <c r="AI36">
        <v>34276</v>
      </c>
      <c r="AJ36">
        <v>11373127264784</v>
      </c>
      <c r="AK36">
        <v>338409999331</v>
      </c>
      <c r="AL36">
        <v>11141629054</v>
      </c>
      <c r="AM36">
        <v>819369213865</v>
      </c>
      <c r="AN36">
        <v>716993088208</v>
      </c>
      <c r="AO36">
        <v>183610289006</v>
      </c>
      <c r="AP36">
        <v>7494001179</v>
      </c>
      <c r="AQ36">
        <v>0</v>
      </c>
      <c r="AR36">
        <v>832650608</v>
      </c>
      <c r="AS36">
        <v>7494001179</v>
      </c>
      <c r="AT36">
        <v>8326651787</v>
      </c>
      <c r="AU36">
        <v>124900019</v>
      </c>
      <c r="AV36">
        <v>0</v>
      </c>
      <c r="AW36">
        <v>13877510</v>
      </c>
      <c r="AX36">
        <v>124900019</v>
      </c>
      <c r="AY36">
        <v>138777529</v>
      </c>
      <c r="AZ36">
        <v>22.279499999999999</v>
      </c>
      <c r="BA36">
        <v>11.346299999999999</v>
      </c>
      <c r="BB36">
        <v>3501.81</v>
      </c>
      <c r="BC36">
        <v>2612.04</v>
      </c>
      <c r="BD36">
        <v>14278</v>
      </c>
      <c r="BE36">
        <v>1088</v>
      </c>
      <c r="BF36">
        <f t="shared" si="3"/>
        <v>59.858564551494737</v>
      </c>
      <c r="BG36" s="31">
        <f t="shared" si="4"/>
        <v>10.892232734021052</v>
      </c>
      <c r="BH36">
        <f t="shared" si="5"/>
        <v>16</v>
      </c>
      <c r="BI36">
        <f t="shared" si="6"/>
        <v>159948</v>
      </c>
      <c r="BJ36">
        <f t="shared" si="7"/>
        <v>5541019</v>
      </c>
      <c r="BK36">
        <f t="shared" si="8"/>
        <v>64554848</v>
      </c>
      <c r="BL36">
        <f t="shared" si="9"/>
        <v>11119619</v>
      </c>
      <c r="BM36">
        <f t="shared" si="10"/>
        <v>0</v>
      </c>
      <c r="BN36" t="str">
        <f t="shared" si="0"/>
        <v>u=10%, k=2x10^8</v>
      </c>
      <c r="BO36" t="str">
        <f t="shared" si="1"/>
        <v>u=10%, k=2x10^8, collaborative</v>
      </c>
      <c r="BP36">
        <f t="shared" si="11"/>
        <v>1.7811052596368422</v>
      </c>
      <c r="BQ36">
        <f t="shared" si="13"/>
        <v>5.8640152915789466E-2</v>
      </c>
      <c r="BR36">
        <f t="shared" si="14"/>
        <v>4.3124695466578951</v>
      </c>
      <c r="BS36">
        <f t="shared" si="15"/>
        <v>3.7736478326736842</v>
      </c>
      <c r="BT36">
        <f t="shared" si="16"/>
        <v>0.96636994213684202</v>
      </c>
      <c r="BU36">
        <f t="shared" si="12"/>
        <v>48.966331817473687</v>
      </c>
    </row>
    <row r="37" spans="1:73">
      <c r="A37" t="s">
        <v>112</v>
      </c>
      <c r="B37" t="s">
        <v>158</v>
      </c>
      <c r="C37">
        <v>72</v>
      </c>
      <c r="D37" t="s">
        <v>56</v>
      </c>
      <c r="E37" t="s">
        <v>53</v>
      </c>
      <c r="F37" t="s">
        <v>54</v>
      </c>
      <c r="G37">
        <v>60000</v>
      </c>
      <c r="H37">
        <v>5</v>
      </c>
      <c r="I37">
        <v>5</v>
      </c>
      <c r="J37">
        <v>0</v>
      </c>
      <c r="K37">
        <v>1</v>
      </c>
      <c r="L37">
        <v>2000000000</v>
      </c>
      <c r="M37">
        <v>24</v>
      </c>
      <c r="N37">
        <v>24</v>
      </c>
      <c r="O37">
        <v>24</v>
      </c>
      <c r="P37">
        <v>0</v>
      </c>
      <c r="Q37" t="s">
        <v>55</v>
      </c>
      <c r="R37">
        <v>9.9998976660014502E+17</v>
      </c>
      <c r="S37">
        <v>999997935</v>
      </c>
      <c r="T37">
        <v>9.9998976660014502E+17</v>
      </c>
      <c r="U37">
        <v>999997935</v>
      </c>
      <c r="V37" t="s">
        <v>63</v>
      </c>
      <c r="W37">
        <v>7</v>
      </c>
      <c r="X37">
        <v>107434921</v>
      </c>
      <c r="Y37">
        <v>1125441934</v>
      </c>
      <c r="Z37">
        <v>1232876855</v>
      </c>
      <c r="AA37">
        <v>999997935</v>
      </c>
      <c r="AB37">
        <v>11.4756</v>
      </c>
      <c r="AC37">
        <v>0.88853800000000005</v>
      </c>
      <c r="AD37">
        <v>4.04739</v>
      </c>
      <c r="AE37">
        <v>26617618016</v>
      </c>
      <c r="AF37" t="s">
        <v>422</v>
      </c>
      <c r="AG37" t="s">
        <v>422</v>
      </c>
      <c r="AI37">
        <v>388274</v>
      </c>
      <c r="AJ37">
        <v>1436562529968</v>
      </c>
      <c r="AK37">
        <v>868820150</v>
      </c>
      <c r="AM37">
        <v>1734373923</v>
      </c>
      <c r="AN37">
        <v>2103726568</v>
      </c>
      <c r="AO37">
        <v>253757365</v>
      </c>
      <c r="AP37">
        <v>945228193</v>
      </c>
      <c r="AQ37">
        <v>0</v>
      </c>
      <c r="AR37">
        <v>105032831</v>
      </c>
      <c r="AS37">
        <v>945228193</v>
      </c>
      <c r="AT37">
        <v>1050261024</v>
      </c>
      <c r="AU37">
        <v>15753803</v>
      </c>
      <c r="AV37">
        <v>0</v>
      </c>
      <c r="AW37">
        <v>1750547</v>
      </c>
      <c r="AX37">
        <v>15753803</v>
      </c>
      <c r="AY37">
        <v>17504350</v>
      </c>
      <c r="AZ37">
        <v>22.9391</v>
      </c>
      <c r="BA37">
        <v>13.5069</v>
      </c>
      <c r="BB37">
        <v>3815.29</v>
      </c>
      <c r="BC37">
        <v>3043.29</v>
      </c>
      <c r="BD37">
        <v>61804</v>
      </c>
      <c r="BE37">
        <v>16250</v>
      </c>
      <c r="BF37">
        <f t="shared" si="3"/>
        <v>59.856772081999999</v>
      </c>
      <c r="BG37" s="31">
        <f t="shared" si="4"/>
        <v>0.20669491691666667</v>
      </c>
      <c r="BH37">
        <f t="shared" si="5"/>
        <v>0</v>
      </c>
      <c r="BI37">
        <f t="shared" si="6"/>
        <v>0</v>
      </c>
      <c r="BJ37">
        <f t="shared" si="7"/>
        <v>0</v>
      </c>
      <c r="BK37">
        <f t="shared" si="8"/>
        <v>1021297</v>
      </c>
      <c r="BL37">
        <f t="shared" si="9"/>
        <v>1101795</v>
      </c>
      <c r="BM37">
        <f t="shared" si="10"/>
        <v>0</v>
      </c>
      <c r="BN37" t="str">
        <f t="shared" si="0"/>
        <v>u=10%, k=2x10^9</v>
      </c>
      <c r="BO37" t="str">
        <f t="shared" si="1"/>
        <v>u=10%, k=2x10^9, collaborative</v>
      </c>
      <c r="BP37">
        <f t="shared" si="11"/>
        <v>3.6200839583333332E-2</v>
      </c>
      <c r="BQ37">
        <f t="shared" si="13"/>
        <v>0</v>
      </c>
      <c r="BR37">
        <f t="shared" si="14"/>
        <v>7.2265580124999992E-2</v>
      </c>
      <c r="BS37">
        <f t="shared" si="15"/>
        <v>8.7655273666666658E-2</v>
      </c>
      <c r="BT37">
        <f t="shared" si="16"/>
        <v>1.0573223541666668E-2</v>
      </c>
      <c r="BU37">
        <f t="shared" si="12"/>
        <v>59.650077165083331</v>
      </c>
    </row>
    <row r="38" spans="1:73">
      <c r="A38" t="s">
        <v>113</v>
      </c>
      <c r="B38" t="s">
        <v>158</v>
      </c>
      <c r="C38">
        <v>72</v>
      </c>
      <c r="D38" t="s">
        <v>56</v>
      </c>
      <c r="E38" t="s">
        <v>53</v>
      </c>
      <c r="F38" t="s">
        <v>54</v>
      </c>
      <c r="G38">
        <v>60000</v>
      </c>
      <c r="H38">
        <v>5</v>
      </c>
      <c r="I38">
        <v>5</v>
      </c>
      <c r="J38">
        <v>0</v>
      </c>
      <c r="K38">
        <v>1</v>
      </c>
      <c r="L38">
        <v>2000000000</v>
      </c>
      <c r="M38">
        <v>48</v>
      </c>
      <c r="N38">
        <v>48</v>
      </c>
      <c r="O38">
        <v>48</v>
      </c>
      <c r="P38">
        <v>0</v>
      </c>
      <c r="Q38" t="s">
        <v>55</v>
      </c>
      <c r="R38">
        <v>9.9997816395205798E+17</v>
      </c>
      <c r="S38">
        <v>1000002380</v>
      </c>
      <c r="T38">
        <v>9.9997816395205798E+17</v>
      </c>
      <c r="U38">
        <v>1000002380</v>
      </c>
      <c r="V38" t="s">
        <v>63</v>
      </c>
      <c r="W38">
        <v>7</v>
      </c>
      <c r="X38">
        <v>119340466</v>
      </c>
      <c r="Y38">
        <v>1150578024</v>
      </c>
      <c r="Z38">
        <v>1269918490</v>
      </c>
      <c r="AA38">
        <v>1000002380</v>
      </c>
      <c r="AB38">
        <v>10.6411</v>
      </c>
      <c r="AC38">
        <v>0.86912999999999996</v>
      </c>
      <c r="AD38">
        <v>4.07308</v>
      </c>
      <c r="AE38">
        <v>27993030016</v>
      </c>
      <c r="AF38" t="s">
        <v>423</v>
      </c>
      <c r="AG38" t="s">
        <v>423</v>
      </c>
      <c r="AI38">
        <v>171134</v>
      </c>
      <c r="AJ38">
        <v>2873124933373</v>
      </c>
      <c r="AK38">
        <v>5126808459</v>
      </c>
      <c r="AM38">
        <v>9115979812</v>
      </c>
      <c r="AN38">
        <v>9039135102</v>
      </c>
      <c r="AO38">
        <v>1729531034</v>
      </c>
      <c r="AP38">
        <v>1697824030</v>
      </c>
      <c r="AQ38">
        <v>0</v>
      </c>
      <c r="AR38">
        <v>188654943</v>
      </c>
      <c r="AS38">
        <v>1697824030</v>
      </c>
      <c r="AT38">
        <v>1886478973</v>
      </c>
      <c r="AU38">
        <v>28297067</v>
      </c>
      <c r="AV38">
        <v>0</v>
      </c>
      <c r="AW38">
        <v>3144249</v>
      </c>
      <c r="AX38">
        <v>28297067</v>
      </c>
      <c r="AY38">
        <v>31441316</v>
      </c>
      <c r="AZ38">
        <v>23.187999999999999</v>
      </c>
      <c r="BA38">
        <v>13.7056</v>
      </c>
      <c r="BB38">
        <v>4247.99</v>
      </c>
      <c r="BC38">
        <v>3541.81</v>
      </c>
      <c r="BD38">
        <v>63665</v>
      </c>
      <c r="BE38">
        <v>11694</v>
      </c>
      <c r="BF38">
        <f t="shared" si="3"/>
        <v>59.856769445270835</v>
      </c>
      <c r="BG38" s="31">
        <f t="shared" si="4"/>
        <v>0.52107196681250001</v>
      </c>
      <c r="BH38">
        <f t="shared" si="5"/>
        <v>0</v>
      </c>
      <c r="BI38">
        <f t="shared" si="6"/>
        <v>0</v>
      </c>
      <c r="BJ38">
        <f t="shared" si="7"/>
        <v>0</v>
      </c>
      <c r="BK38">
        <f t="shared" si="8"/>
        <v>4883923</v>
      </c>
      <c r="BL38">
        <f t="shared" si="9"/>
        <v>2898576</v>
      </c>
      <c r="BM38">
        <f t="shared" si="10"/>
        <v>0</v>
      </c>
      <c r="BN38" t="str">
        <f t="shared" si="0"/>
        <v>u=10%, k=2x10^9</v>
      </c>
      <c r="BO38" t="str">
        <f t="shared" si="1"/>
        <v>u=10%, k=2x10^9, collaborative</v>
      </c>
      <c r="BP38">
        <f t="shared" si="11"/>
        <v>0.1068085095625</v>
      </c>
      <c r="BQ38">
        <f t="shared" si="13"/>
        <v>0</v>
      </c>
      <c r="BR38">
        <f t="shared" si="14"/>
        <v>0.18991624608333335</v>
      </c>
      <c r="BS38">
        <f t="shared" si="15"/>
        <v>0.18831531462499998</v>
      </c>
      <c r="BT38">
        <f t="shared" si="16"/>
        <v>3.6031896541666671E-2</v>
      </c>
      <c r="BU38">
        <f t="shared" si="12"/>
        <v>59.335697478458336</v>
      </c>
    </row>
    <row r="39" spans="1:73">
      <c r="A39" t="s">
        <v>114</v>
      </c>
      <c r="B39" t="s">
        <v>158</v>
      </c>
      <c r="C39">
        <v>72</v>
      </c>
      <c r="D39" t="s">
        <v>56</v>
      </c>
      <c r="E39" t="s">
        <v>53</v>
      </c>
      <c r="F39" t="s">
        <v>54</v>
      </c>
      <c r="G39">
        <v>60000</v>
      </c>
      <c r="H39">
        <v>5</v>
      </c>
      <c r="I39">
        <v>5</v>
      </c>
      <c r="J39">
        <v>0</v>
      </c>
      <c r="K39">
        <v>1</v>
      </c>
      <c r="L39">
        <v>2000000000</v>
      </c>
      <c r="M39">
        <v>96</v>
      </c>
      <c r="N39">
        <v>96</v>
      </c>
      <c r="O39">
        <v>96</v>
      </c>
      <c r="P39">
        <v>0</v>
      </c>
      <c r="Q39" t="s">
        <v>55</v>
      </c>
      <c r="R39">
        <v>1.00002102840946E+18</v>
      </c>
      <c r="S39">
        <v>999987967</v>
      </c>
      <c r="T39">
        <v>1.00002102840946E+18</v>
      </c>
      <c r="U39">
        <v>999987967</v>
      </c>
      <c r="V39" t="s">
        <v>63</v>
      </c>
      <c r="W39">
        <v>7</v>
      </c>
      <c r="X39">
        <v>126481313</v>
      </c>
      <c r="Y39">
        <v>1167750143</v>
      </c>
      <c r="Z39">
        <v>1294231456</v>
      </c>
      <c r="AA39">
        <v>999987967</v>
      </c>
      <c r="AB39">
        <v>10.2326</v>
      </c>
      <c r="AC39">
        <v>0.85633700000000001</v>
      </c>
      <c r="AD39">
        <v>4.0897800000000002</v>
      </c>
      <c r="AE39">
        <v>28867337088</v>
      </c>
      <c r="AF39" t="s">
        <v>424</v>
      </c>
      <c r="AG39" t="s">
        <v>425</v>
      </c>
      <c r="AH39">
        <v>13</v>
      </c>
      <c r="AI39">
        <v>89464</v>
      </c>
      <c r="AJ39">
        <v>5746250300384</v>
      </c>
      <c r="AK39">
        <v>31216474066</v>
      </c>
      <c r="AL39">
        <v>15294</v>
      </c>
      <c r="AM39">
        <v>45291661462</v>
      </c>
      <c r="AN39">
        <v>40566453596</v>
      </c>
      <c r="AO39">
        <v>10727326446</v>
      </c>
      <c r="AP39">
        <v>3574112377</v>
      </c>
      <c r="AQ39">
        <v>0</v>
      </c>
      <c r="AR39">
        <v>397119471</v>
      </c>
      <c r="AS39">
        <v>3574112377</v>
      </c>
      <c r="AT39">
        <v>3971231848</v>
      </c>
      <c r="AU39">
        <v>59568539</v>
      </c>
      <c r="AV39">
        <v>0</v>
      </c>
      <c r="AW39">
        <v>6618657</v>
      </c>
      <c r="AX39">
        <v>59568539</v>
      </c>
      <c r="AY39">
        <v>66187197</v>
      </c>
      <c r="AZ39">
        <v>23.626799999999999</v>
      </c>
      <c r="BA39">
        <v>14.7088</v>
      </c>
      <c r="BB39">
        <v>4031.79</v>
      </c>
      <c r="BC39">
        <v>3263.6</v>
      </c>
      <c r="BD39">
        <v>66634</v>
      </c>
      <c r="BE39">
        <v>9927</v>
      </c>
      <c r="BF39">
        <f t="shared" si="3"/>
        <v>59.856773962333335</v>
      </c>
      <c r="BG39" s="31">
        <f t="shared" si="4"/>
        <v>1.3312701131666667</v>
      </c>
      <c r="BH39">
        <f t="shared" si="5"/>
        <v>0</v>
      </c>
      <c r="BI39">
        <f t="shared" si="6"/>
        <v>0</v>
      </c>
      <c r="BJ39">
        <f t="shared" si="7"/>
        <v>415910</v>
      </c>
      <c r="BK39">
        <f t="shared" si="8"/>
        <v>25481670</v>
      </c>
      <c r="BL39">
        <f t="shared" si="9"/>
        <v>7826456</v>
      </c>
      <c r="BM39">
        <f t="shared" si="10"/>
        <v>0</v>
      </c>
      <c r="BN39" t="str">
        <f t="shared" si="0"/>
        <v>u=10%, k=2x10^9</v>
      </c>
      <c r="BO39" t="str">
        <f t="shared" si="1"/>
        <v>u=10%, k=2x10^9, collaborative</v>
      </c>
      <c r="BP39">
        <f t="shared" si="11"/>
        <v>0.32517160485416668</v>
      </c>
      <c r="BQ39">
        <f t="shared" si="13"/>
        <v>1.593125E-7</v>
      </c>
      <c r="BR39">
        <f t="shared" si="14"/>
        <v>0.47178814022916665</v>
      </c>
      <c r="BS39">
        <f t="shared" si="15"/>
        <v>0.42256722495833338</v>
      </c>
      <c r="BT39">
        <f t="shared" si="16"/>
        <v>0.11174298381249999</v>
      </c>
      <c r="BU39">
        <f t="shared" si="12"/>
        <v>58.525503849166668</v>
      </c>
    </row>
    <row r="40" spans="1:73">
      <c r="A40" t="s">
        <v>115</v>
      </c>
      <c r="B40" t="s">
        <v>158</v>
      </c>
      <c r="C40">
        <v>72</v>
      </c>
      <c r="D40" t="s">
        <v>56</v>
      </c>
      <c r="E40" t="s">
        <v>53</v>
      </c>
      <c r="F40" t="s">
        <v>54</v>
      </c>
      <c r="G40">
        <v>60000</v>
      </c>
      <c r="H40">
        <v>5</v>
      </c>
      <c r="I40">
        <v>5</v>
      </c>
      <c r="J40">
        <v>0</v>
      </c>
      <c r="K40">
        <v>1</v>
      </c>
      <c r="L40">
        <v>2000000000</v>
      </c>
      <c r="M40">
        <v>144</v>
      </c>
      <c r="N40">
        <v>144</v>
      </c>
      <c r="O40">
        <v>144</v>
      </c>
      <c r="P40">
        <v>0</v>
      </c>
      <c r="Q40" t="s">
        <v>55</v>
      </c>
      <c r="R40">
        <v>9.9998939656231104E+17</v>
      </c>
      <c r="S40">
        <v>1000007126</v>
      </c>
      <c r="T40">
        <v>9.9998939656231104E+17</v>
      </c>
      <c r="U40">
        <v>1000007126</v>
      </c>
      <c r="V40" t="s">
        <v>63</v>
      </c>
      <c r="W40">
        <v>7</v>
      </c>
      <c r="X40">
        <v>88490873</v>
      </c>
      <c r="Y40">
        <v>1086884901</v>
      </c>
      <c r="Z40">
        <v>1175375774</v>
      </c>
      <c r="AA40">
        <v>1000007126</v>
      </c>
      <c r="AB40">
        <v>13.282500000000001</v>
      </c>
      <c r="AC40">
        <v>0.92006699999999997</v>
      </c>
      <c r="AD40">
        <v>4.0080999999999998</v>
      </c>
      <c r="AE40">
        <v>24469946080</v>
      </c>
      <c r="AF40" t="s">
        <v>426</v>
      </c>
      <c r="AG40" t="s">
        <v>427</v>
      </c>
      <c r="AH40">
        <v>25819</v>
      </c>
      <c r="AI40">
        <v>48316</v>
      </c>
      <c r="AJ40">
        <v>8619552697598</v>
      </c>
      <c r="AK40">
        <v>187175426322</v>
      </c>
      <c r="AL40">
        <v>1856763142</v>
      </c>
      <c r="AM40">
        <v>629521012751</v>
      </c>
      <c r="AN40">
        <v>195308182342</v>
      </c>
      <c r="AO40">
        <v>106578246491</v>
      </c>
      <c r="AP40">
        <v>4646771685</v>
      </c>
      <c r="AQ40">
        <v>0</v>
      </c>
      <c r="AR40">
        <v>516306276</v>
      </c>
      <c r="AS40">
        <v>4646771685</v>
      </c>
      <c r="AT40">
        <v>5163077961</v>
      </c>
      <c r="AU40">
        <v>77446194</v>
      </c>
      <c r="AV40">
        <v>0</v>
      </c>
      <c r="AW40">
        <v>8605104</v>
      </c>
      <c r="AX40">
        <v>77446194</v>
      </c>
      <c r="AY40">
        <v>86051299</v>
      </c>
      <c r="AZ40">
        <v>25.222000000000001</v>
      </c>
      <c r="BA40">
        <v>15.911099999999999</v>
      </c>
      <c r="BB40">
        <v>4391.33</v>
      </c>
      <c r="BC40">
        <v>3549.12</v>
      </c>
      <c r="BD40">
        <v>103677</v>
      </c>
      <c r="BE40">
        <v>9328</v>
      </c>
      <c r="BF40">
        <f t="shared" si="3"/>
        <v>59.858004844430553</v>
      </c>
      <c r="BG40" s="31">
        <f t="shared" si="4"/>
        <v>7.7808307711666664</v>
      </c>
      <c r="BH40">
        <f t="shared" si="5"/>
        <v>1</v>
      </c>
      <c r="BI40">
        <f t="shared" si="6"/>
        <v>31587</v>
      </c>
      <c r="BJ40">
        <f t="shared" si="7"/>
        <v>2161468</v>
      </c>
      <c r="BK40">
        <f t="shared" si="8"/>
        <v>33496193</v>
      </c>
      <c r="BL40">
        <f t="shared" si="9"/>
        <v>9467441</v>
      </c>
      <c r="BM40">
        <f t="shared" si="10"/>
        <v>0</v>
      </c>
      <c r="BN40" t="str">
        <f t="shared" si="0"/>
        <v>u=10%, k=2x10^9</v>
      </c>
      <c r="BO40" t="str">
        <f t="shared" si="1"/>
        <v>u=10%, k=2x10^9, collaborative</v>
      </c>
      <c r="BP40">
        <f t="shared" si="11"/>
        <v>1.2998293494583333</v>
      </c>
      <c r="BQ40">
        <f t="shared" si="13"/>
        <v>1.2894188486111111E-2</v>
      </c>
      <c r="BR40">
        <f t="shared" si="14"/>
        <v>4.3716736996597216</v>
      </c>
      <c r="BS40">
        <f t="shared" si="15"/>
        <v>1.3563068218194445</v>
      </c>
      <c r="BT40">
        <f t="shared" si="16"/>
        <v>0.74012671174305555</v>
      </c>
      <c r="BU40">
        <f t="shared" si="12"/>
        <v>52.07717407326389</v>
      </c>
    </row>
    <row r="41" spans="1:73">
      <c r="A41" t="s">
        <v>116</v>
      </c>
      <c r="B41" t="s">
        <v>158</v>
      </c>
      <c r="C41">
        <v>72</v>
      </c>
      <c r="D41" t="s">
        <v>56</v>
      </c>
      <c r="E41" t="s">
        <v>53</v>
      </c>
      <c r="F41" t="s">
        <v>54</v>
      </c>
      <c r="G41">
        <v>60000</v>
      </c>
      <c r="H41">
        <v>5</v>
      </c>
      <c r="I41">
        <v>5</v>
      </c>
      <c r="J41">
        <v>0</v>
      </c>
      <c r="K41">
        <v>1</v>
      </c>
      <c r="L41">
        <v>2000000000</v>
      </c>
      <c r="M41">
        <v>190</v>
      </c>
      <c r="N41">
        <v>190</v>
      </c>
      <c r="O41">
        <v>190</v>
      </c>
      <c r="P41">
        <v>0</v>
      </c>
      <c r="Q41" t="s">
        <v>55</v>
      </c>
      <c r="R41">
        <v>9.9997997547376499E+17</v>
      </c>
      <c r="S41">
        <v>999997546</v>
      </c>
      <c r="T41">
        <v>9.9997997547376499E+17</v>
      </c>
      <c r="U41">
        <v>999997546</v>
      </c>
      <c r="V41" t="s">
        <v>63</v>
      </c>
      <c r="W41">
        <v>7</v>
      </c>
      <c r="X41">
        <v>116872041</v>
      </c>
      <c r="Y41">
        <v>1145260651</v>
      </c>
      <c r="Z41">
        <v>1262132692</v>
      </c>
      <c r="AA41">
        <v>999997546</v>
      </c>
      <c r="AB41">
        <v>10.799300000000001</v>
      </c>
      <c r="AC41">
        <v>0.87316199999999999</v>
      </c>
      <c r="AD41">
        <v>4.0676899999999998</v>
      </c>
      <c r="AE41">
        <v>27705364272</v>
      </c>
      <c r="AF41" t="s">
        <v>428</v>
      </c>
      <c r="AG41" t="s">
        <v>429</v>
      </c>
      <c r="AH41">
        <v>34037</v>
      </c>
      <c r="AI41">
        <v>34538</v>
      </c>
      <c r="AJ41">
        <v>11372786984515</v>
      </c>
      <c r="AK41">
        <v>234262771089</v>
      </c>
      <c r="AL41">
        <v>4034898701</v>
      </c>
      <c r="AM41">
        <v>734285936267</v>
      </c>
      <c r="AN41">
        <v>228106008413</v>
      </c>
      <c r="AO41">
        <v>326284031186</v>
      </c>
      <c r="AP41">
        <v>6006404923</v>
      </c>
      <c r="AQ41">
        <v>0</v>
      </c>
      <c r="AR41">
        <v>667377449</v>
      </c>
      <c r="AS41">
        <v>6006404923</v>
      </c>
      <c r="AT41">
        <v>6673782372</v>
      </c>
      <c r="AU41">
        <v>100106748</v>
      </c>
      <c r="AV41">
        <v>0</v>
      </c>
      <c r="AW41">
        <v>11122957</v>
      </c>
      <c r="AX41">
        <v>100106748</v>
      </c>
      <c r="AY41">
        <v>111229706</v>
      </c>
      <c r="AZ41">
        <v>24.844200000000001</v>
      </c>
      <c r="BA41">
        <v>15.7326</v>
      </c>
      <c r="BB41">
        <v>4492.42</v>
      </c>
      <c r="BC41">
        <v>3642.12</v>
      </c>
      <c r="BD41">
        <v>120152</v>
      </c>
      <c r="BE41">
        <v>9550</v>
      </c>
      <c r="BF41">
        <f t="shared" si="3"/>
        <v>59.856773602710525</v>
      </c>
      <c r="BG41" s="31">
        <f t="shared" si="4"/>
        <v>8.0367033981894735</v>
      </c>
      <c r="BH41">
        <f t="shared" si="5"/>
        <v>1</v>
      </c>
      <c r="BI41">
        <f t="shared" si="6"/>
        <v>31577</v>
      </c>
      <c r="BJ41">
        <f t="shared" si="7"/>
        <v>2150362</v>
      </c>
      <c r="BK41">
        <f t="shared" si="8"/>
        <v>37054955</v>
      </c>
      <c r="BL41">
        <f t="shared" si="9"/>
        <v>11831797</v>
      </c>
      <c r="BM41">
        <f t="shared" si="10"/>
        <v>0</v>
      </c>
      <c r="BN41" t="str">
        <f t="shared" si="0"/>
        <v>u=10%, k=2x10^9</v>
      </c>
      <c r="BO41" t="str">
        <f t="shared" si="1"/>
        <v>u=10%, k=2x10^9, collaborative</v>
      </c>
      <c r="BP41">
        <f t="shared" si="11"/>
        <v>1.2329619531</v>
      </c>
      <c r="BQ41">
        <f t="shared" si="13"/>
        <v>2.123630895263158E-2</v>
      </c>
      <c r="BR41">
        <f t="shared" si="14"/>
        <v>3.8646628224578947</v>
      </c>
      <c r="BS41">
        <f t="shared" si="15"/>
        <v>1.2005579390157894</v>
      </c>
      <c r="BT41">
        <f t="shared" si="16"/>
        <v>1.7172843746631579</v>
      </c>
      <c r="BU41">
        <f t="shared" si="12"/>
        <v>51.820070204521052</v>
      </c>
    </row>
    <row r="42" spans="1:73">
      <c r="A42" t="s">
        <v>137</v>
      </c>
      <c r="B42" t="s">
        <v>158</v>
      </c>
      <c r="C42">
        <v>72</v>
      </c>
      <c r="D42" t="s">
        <v>56</v>
      </c>
      <c r="E42" t="s">
        <v>53</v>
      </c>
      <c r="F42" t="s">
        <v>54</v>
      </c>
      <c r="G42">
        <v>60000</v>
      </c>
      <c r="H42">
        <v>20</v>
      </c>
      <c r="I42">
        <v>20</v>
      </c>
      <c r="J42">
        <v>0</v>
      </c>
      <c r="K42">
        <v>1</v>
      </c>
      <c r="L42">
        <v>2000000</v>
      </c>
      <c r="M42">
        <v>24</v>
      </c>
      <c r="N42">
        <v>24</v>
      </c>
      <c r="O42">
        <v>24</v>
      </c>
      <c r="P42">
        <v>0</v>
      </c>
      <c r="Q42" t="s">
        <v>55</v>
      </c>
      <c r="R42">
        <v>1000646285503</v>
      </c>
      <c r="S42">
        <v>1000737</v>
      </c>
      <c r="T42">
        <v>1000646285503</v>
      </c>
      <c r="U42">
        <v>1000737</v>
      </c>
      <c r="V42" t="s">
        <v>63</v>
      </c>
      <c r="W42">
        <v>6</v>
      </c>
      <c r="X42">
        <v>44171</v>
      </c>
      <c r="Y42">
        <v>1055209</v>
      </c>
      <c r="Z42">
        <v>1099380</v>
      </c>
      <c r="AA42">
        <v>1000737</v>
      </c>
      <c r="AB42">
        <v>24.889199999999999</v>
      </c>
      <c r="AC42">
        <v>0.94837800000000005</v>
      </c>
      <c r="AD42">
        <v>3.0226600000000001</v>
      </c>
      <c r="AE42">
        <v>20421200</v>
      </c>
      <c r="AF42" t="s">
        <v>430</v>
      </c>
      <c r="AG42" t="s">
        <v>431</v>
      </c>
      <c r="AH42">
        <v>916480</v>
      </c>
      <c r="AI42">
        <v>1035708</v>
      </c>
      <c r="AJ42">
        <v>1436555174291</v>
      </c>
      <c r="AK42">
        <v>93819779402</v>
      </c>
      <c r="AL42">
        <v>1091560964</v>
      </c>
      <c r="AM42">
        <v>109325344354</v>
      </c>
      <c r="AN42">
        <v>78709219494</v>
      </c>
      <c r="AO42">
        <v>44109493483</v>
      </c>
      <c r="AP42">
        <v>1523269666</v>
      </c>
      <c r="AQ42">
        <v>0</v>
      </c>
      <c r="AR42">
        <v>1015446923</v>
      </c>
      <c r="AS42">
        <v>1523269666</v>
      </c>
      <c r="AT42">
        <v>2538716589</v>
      </c>
      <c r="AU42">
        <v>25387827</v>
      </c>
      <c r="AV42">
        <v>0</v>
      </c>
      <c r="AW42">
        <v>16924115</v>
      </c>
      <c r="AX42">
        <v>25387827</v>
      </c>
      <c r="AY42">
        <v>42311943</v>
      </c>
      <c r="AZ42">
        <v>15.728</v>
      </c>
      <c r="BA42">
        <v>1.05752</v>
      </c>
      <c r="BB42">
        <v>1580.09</v>
      </c>
      <c r="BC42">
        <v>619.154</v>
      </c>
      <c r="BD42">
        <v>1238</v>
      </c>
      <c r="BE42">
        <v>27</v>
      </c>
      <c r="BF42">
        <f t="shared" si="3"/>
        <v>59.856465595458332</v>
      </c>
      <c r="BG42" s="31">
        <f t="shared" si="4"/>
        <v>13.627308237374999</v>
      </c>
      <c r="BH42">
        <f t="shared" si="5"/>
        <v>2031</v>
      </c>
      <c r="BI42">
        <f t="shared" si="6"/>
        <v>1818766</v>
      </c>
      <c r="BJ42">
        <f t="shared" si="7"/>
        <v>26233911</v>
      </c>
      <c r="BK42">
        <f t="shared" si="8"/>
        <v>29397131</v>
      </c>
      <c r="BL42">
        <f t="shared" si="9"/>
        <v>0</v>
      </c>
      <c r="BM42">
        <f t="shared" si="10"/>
        <v>0</v>
      </c>
      <c r="BN42" t="str">
        <f t="shared" si="0"/>
        <v>u=40%, k=2x10^6</v>
      </c>
      <c r="BO42" t="str">
        <f t="shared" si="1"/>
        <v>u=40%, k=2x10^6, collaborative</v>
      </c>
      <c r="BP42">
        <f t="shared" si="11"/>
        <v>3.9091574750833331</v>
      </c>
      <c r="BQ42">
        <f t="shared" si="13"/>
        <v>4.548170683333333E-2</v>
      </c>
      <c r="BR42">
        <f t="shared" si="14"/>
        <v>4.5552226814166668</v>
      </c>
      <c r="BS42">
        <f t="shared" si="15"/>
        <v>3.2795508122499997</v>
      </c>
      <c r="BT42">
        <f t="shared" si="16"/>
        <v>1.8378955617916668</v>
      </c>
      <c r="BU42">
        <f t="shared" si="12"/>
        <v>46.229157358083334</v>
      </c>
    </row>
    <row r="43" spans="1:73">
      <c r="A43" t="s">
        <v>138</v>
      </c>
      <c r="B43" t="s">
        <v>158</v>
      </c>
      <c r="C43">
        <v>72</v>
      </c>
      <c r="D43" t="s">
        <v>56</v>
      </c>
      <c r="E43" t="s">
        <v>53</v>
      </c>
      <c r="F43" t="s">
        <v>54</v>
      </c>
      <c r="G43">
        <v>60000</v>
      </c>
      <c r="H43">
        <v>20</v>
      </c>
      <c r="I43">
        <v>20</v>
      </c>
      <c r="J43">
        <v>0</v>
      </c>
      <c r="K43">
        <v>1</v>
      </c>
      <c r="L43">
        <v>2000000</v>
      </c>
      <c r="M43">
        <v>48</v>
      </c>
      <c r="N43">
        <v>48</v>
      </c>
      <c r="O43">
        <v>48</v>
      </c>
      <c r="P43">
        <v>0</v>
      </c>
      <c r="Q43" t="s">
        <v>55</v>
      </c>
      <c r="R43">
        <v>1001162100999</v>
      </c>
      <c r="S43">
        <v>1000620</v>
      </c>
      <c r="T43">
        <v>1001162100999</v>
      </c>
      <c r="U43">
        <v>1000620</v>
      </c>
      <c r="V43" t="s">
        <v>63</v>
      </c>
      <c r="W43">
        <v>6</v>
      </c>
      <c r="X43">
        <v>67130</v>
      </c>
      <c r="Y43">
        <v>1102179</v>
      </c>
      <c r="Z43">
        <v>1169309</v>
      </c>
      <c r="AA43">
        <v>1000620</v>
      </c>
      <c r="AB43">
        <v>17.418600000000001</v>
      </c>
      <c r="AC43">
        <v>0.907856</v>
      </c>
      <c r="AD43">
        <v>3.0718399999999999</v>
      </c>
      <c r="AE43">
        <v>23045504</v>
      </c>
      <c r="AF43" t="s">
        <v>432</v>
      </c>
      <c r="AG43" t="s">
        <v>433</v>
      </c>
      <c r="AH43">
        <v>3710147</v>
      </c>
      <c r="AI43">
        <v>376236</v>
      </c>
      <c r="AJ43">
        <v>2873108681947</v>
      </c>
      <c r="AK43">
        <v>244183016581</v>
      </c>
      <c r="AL43">
        <v>4942467013</v>
      </c>
      <c r="AM43">
        <v>270769624005</v>
      </c>
      <c r="AN43">
        <v>151725621741</v>
      </c>
      <c r="AO43">
        <v>102621849616</v>
      </c>
      <c r="AP43">
        <v>2167969464</v>
      </c>
      <c r="AQ43">
        <v>0</v>
      </c>
      <c r="AR43">
        <v>1445296874</v>
      </c>
      <c r="AS43">
        <v>2167969464</v>
      </c>
      <c r="AT43">
        <v>3613266338</v>
      </c>
      <c r="AU43">
        <v>36132824</v>
      </c>
      <c r="AV43">
        <v>0</v>
      </c>
      <c r="AW43">
        <v>24088281</v>
      </c>
      <c r="AX43">
        <v>36132824</v>
      </c>
      <c r="AY43">
        <v>60221105</v>
      </c>
      <c r="AZ43">
        <v>16.230899999999998</v>
      </c>
      <c r="BA43">
        <v>1.52861</v>
      </c>
      <c r="BB43">
        <v>2174.46</v>
      </c>
      <c r="BC43">
        <v>1033.96</v>
      </c>
      <c r="BD43">
        <v>1318</v>
      </c>
      <c r="BE43">
        <v>34</v>
      </c>
      <c r="BF43">
        <f t="shared" si="3"/>
        <v>59.856430873895839</v>
      </c>
      <c r="BG43" s="31">
        <f t="shared" si="4"/>
        <v>16.130053728250001</v>
      </c>
      <c r="BH43">
        <f t="shared" si="5"/>
        <v>2891</v>
      </c>
      <c r="BI43">
        <f t="shared" si="6"/>
        <v>2848731</v>
      </c>
      <c r="BJ43">
        <f t="shared" si="7"/>
        <v>27071535</v>
      </c>
      <c r="BK43">
        <f t="shared" si="8"/>
        <v>39319431</v>
      </c>
      <c r="BL43">
        <f t="shared" si="9"/>
        <v>0</v>
      </c>
      <c r="BM43">
        <f t="shared" si="10"/>
        <v>0</v>
      </c>
      <c r="BN43" t="str">
        <f t="shared" si="0"/>
        <v>u=40%, k=2x10^6</v>
      </c>
      <c r="BO43" t="str">
        <f t="shared" si="1"/>
        <v>u=40%, k=2x10^6, collaborative</v>
      </c>
      <c r="BP43">
        <f t="shared" si="11"/>
        <v>5.0871461787708334</v>
      </c>
      <c r="BQ43">
        <f t="shared" si="13"/>
        <v>0.10296806277083333</v>
      </c>
      <c r="BR43">
        <f t="shared" si="14"/>
        <v>5.6410338334375005</v>
      </c>
      <c r="BS43">
        <f t="shared" si="15"/>
        <v>3.1609504529375001</v>
      </c>
      <c r="BT43">
        <f t="shared" si="16"/>
        <v>2.1379552003333333</v>
      </c>
      <c r="BU43">
        <f t="shared" si="12"/>
        <v>43.726377145645841</v>
      </c>
    </row>
    <row r="44" spans="1:73">
      <c r="A44" t="s">
        <v>139</v>
      </c>
      <c r="B44" t="s">
        <v>158</v>
      </c>
      <c r="C44">
        <v>72</v>
      </c>
      <c r="D44" t="s">
        <v>56</v>
      </c>
      <c r="E44" t="s">
        <v>53</v>
      </c>
      <c r="F44" t="s">
        <v>54</v>
      </c>
      <c r="G44">
        <v>60000</v>
      </c>
      <c r="H44">
        <v>20</v>
      </c>
      <c r="I44">
        <v>20</v>
      </c>
      <c r="J44">
        <v>0</v>
      </c>
      <c r="K44">
        <v>1</v>
      </c>
      <c r="L44">
        <v>2000000</v>
      </c>
      <c r="M44">
        <v>96</v>
      </c>
      <c r="N44">
        <v>96</v>
      </c>
      <c r="O44">
        <v>96</v>
      </c>
      <c r="P44">
        <v>0</v>
      </c>
      <c r="Q44" t="s">
        <v>55</v>
      </c>
      <c r="R44">
        <v>999683684784</v>
      </c>
      <c r="S44">
        <v>1000403</v>
      </c>
      <c r="T44">
        <v>999683684784</v>
      </c>
      <c r="U44">
        <v>1000403</v>
      </c>
      <c r="V44" t="s">
        <v>63</v>
      </c>
      <c r="W44">
        <v>6</v>
      </c>
      <c r="X44">
        <v>33067</v>
      </c>
      <c r="Y44">
        <v>1032484</v>
      </c>
      <c r="Z44">
        <v>1065551</v>
      </c>
      <c r="AA44">
        <v>1000403</v>
      </c>
      <c r="AB44">
        <v>32.223999999999997</v>
      </c>
      <c r="AC44">
        <v>0.96892800000000001</v>
      </c>
      <c r="AD44">
        <v>3.0000599999999999</v>
      </c>
      <c r="AE44">
        <v>19165088</v>
      </c>
      <c r="AF44" t="s">
        <v>434</v>
      </c>
      <c r="AG44" t="s">
        <v>435</v>
      </c>
      <c r="AH44">
        <v>14827291</v>
      </c>
      <c r="AI44">
        <v>124968</v>
      </c>
      <c r="AJ44">
        <v>5746228714214</v>
      </c>
      <c r="AK44">
        <v>690468331176</v>
      </c>
      <c r="AL44">
        <v>27060774851</v>
      </c>
      <c r="AM44">
        <v>745870082231</v>
      </c>
      <c r="AN44">
        <v>309298205952</v>
      </c>
      <c r="AO44">
        <v>498040019930</v>
      </c>
      <c r="AP44">
        <v>2638092950</v>
      </c>
      <c r="AQ44">
        <v>0</v>
      </c>
      <c r="AR44">
        <v>1758741222</v>
      </c>
      <c r="AS44">
        <v>2638092950</v>
      </c>
      <c r="AT44">
        <v>4396834172</v>
      </c>
      <c r="AU44">
        <v>43968215</v>
      </c>
      <c r="AV44">
        <v>0</v>
      </c>
      <c r="AW44">
        <v>29312353</v>
      </c>
      <c r="AX44">
        <v>43968215</v>
      </c>
      <c r="AY44">
        <v>73280569</v>
      </c>
      <c r="AZ44">
        <v>19.433499999999999</v>
      </c>
      <c r="BA44">
        <v>6.0539100000000001</v>
      </c>
      <c r="BB44">
        <v>3645.6</v>
      </c>
      <c r="BC44">
        <v>2396</v>
      </c>
      <c r="BD44">
        <v>1444</v>
      </c>
      <c r="BE44">
        <v>163</v>
      </c>
      <c r="BF44">
        <f t="shared" si="3"/>
        <v>59.856549106395839</v>
      </c>
      <c r="BG44" s="31">
        <f t="shared" si="4"/>
        <v>23.653514730625002</v>
      </c>
      <c r="BH44">
        <f t="shared" si="5"/>
        <v>3519</v>
      </c>
      <c r="BI44">
        <f t="shared" si="6"/>
        <v>5472915</v>
      </c>
      <c r="BJ44">
        <f t="shared" si="7"/>
        <v>9547908</v>
      </c>
      <c r="BK44">
        <f t="shared" si="8"/>
        <v>40628834</v>
      </c>
      <c r="BL44">
        <f t="shared" si="9"/>
        <v>0</v>
      </c>
      <c r="BM44">
        <f t="shared" si="10"/>
        <v>0</v>
      </c>
      <c r="BN44" t="str">
        <f t="shared" si="0"/>
        <v>u=40%, k=2x10^6</v>
      </c>
      <c r="BO44" t="str">
        <f t="shared" si="1"/>
        <v>u=40%, k=2x10^6, collaborative</v>
      </c>
      <c r="BP44">
        <f t="shared" si="11"/>
        <v>7.1923784497499996</v>
      </c>
      <c r="BQ44">
        <f t="shared" si="13"/>
        <v>0.28188307136458335</v>
      </c>
      <c r="BR44">
        <f t="shared" si="14"/>
        <v>7.7694800232395833</v>
      </c>
      <c r="BS44">
        <f t="shared" si="15"/>
        <v>3.2218563119999999</v>
      </c>
      <c r="BT44">
        <f t="shared" si="16"/>
        <v>5.1879168742708339</v>
      </c>
      <c r="BU44">
        <f t="shared" si="12"/>
        <v>36.203034375770841</v>
      </c>
    </row>
    <row r="45" spans="1:73">
      <c r="A45" t="s">
        <v>140</v>
      </c>
      <c r="B45" t="s">
        <v>158</v>
      </c>
      <c r="C45">
        <v>72</v>
      </c>
      <c r="D45" t="s">
        <v>56</v>
      </c>
      <c r="E45" t="s">
        <v>53</v>
      </c>
      <c r="F45" t="s">
        <v>54</v>
      </c>
      <c r="G45">
        <v>60000</v>
      </c>
      <c r="H45">
        <v>20</v>
      </c>
      <c r="I45">
        <v>20</v>
      </c>
      <c r="J45">
        <v>0</v>
      </c>
      <c r="K45">
        <v>1</v>
      </c>
      <c r="L45">
        <v>2000000</v>
      </c>
      <c r="M45">
        <v>144</v>
      </c>
      <c r="N45">
        <v>144</v>
      </c>
      <c r="O45">
        <v>144</v>
      </c>
      <c r="P45">
        <v>0</v>
      </c>
      <c r="Q45" t="s">
        <v>55</v>
      </c>
      <c r="R45">
        <v>999258707096</v>
      </c>
      <c r="S45">
        <v>999038</v>
      </c>
      <c r="T45">
        <v>999258707096</v>
      </c>
      <c r="U45">
        <v>999038</v>
      </c>
      <c r="V45" t="s">
        <v>63</v>
      </c>
      <c r="W45">
        <v>6</v>
      </c>
      <c r="X45">
        <v>50589</v>
      </c>
      <c r="Y45">
        <v>1066799</v>
      </c>
      <c r="Z45">
        <v>1117388</v>
      </c>
      <c r="AA45">
        <v>999038</v>
      </c>
      <c r="AB45">
        <v>22.087599999999998</v>
      </c>
      <c r="AC45">
        <v>0.93648200000000004</v>
      </c>
      <c r="AD45">
        <v>3.0365700000000002</v>
      </c>
      <c r="AE45">
        <v>21130816</v>
      </c>
      <c r="AF45" t="s">
        <v>436</v>
      </c>
      <c r="AG45" t="s">
        <v>437</v>
      </c>
      <c r="AH45">
        <v>36330334</v>
      </c>
      <c r="AI45">
        <v>61834</v>
      </c>
      <c r="AJ45">
        <v>8619337769532</v>
      </c>
      <c r="AK45">
        <v>1350186850289</v>
      </c>
      <c r="AL45">
        <v>67979082214</v>
      </c>
      <c r="AM45">
        <v>1498517883038</v>
      </c>
      <c r="AN45">
        <v>406666901766</v>
      </c>
      <c r="AO45">
        <v>1070185930148</v>
      </c>
      <c r="AP45">
        <v>2868575013</v>
      </c>
      <c r="AQ45">
        <v>0</v>
      </c>
      <c r="AR45">
        <v>1912395622</v>
      </c>
      <c r="AS45">
        <v>2868575013</v>
      </c>
      <c r="AT45">
        <v>4780970635</v>
      </c>
      <c r="AU45">
        <v>47809583</v>
      </c>
      <c r="AV45">
        <v>0</v>
      </c>
      <c r="AW45">
        <v>31873260</v>
      </c>
      <c r="AX45">
        <v>47809583</v>
      </c>
      <c r="AY45">
        <v>79682843</v>
      </c>
      <c r="AZ45">
        <v>24.2849</v>
      </c>
      <c r="BA45">
        <v>10.4369</v>
      </c>
      <c r="BB45">
        <v>5029.29</v>
      </c>
      <c r="BC45">
        <v>3548.23</v>
      </c>
      <c r="BD45">
        <v>1663</v>
      </c>
      <c r="BE45">
        <v>288</v>
      </c>
      <c r="BF45">
        <f t="shared" si="3"/>
        <v>59.856512288416667</v>
      </c>
      <c r="BG45" s="31">
        <f t="shared" si="4"/>
        <v>30.510671162881945</v>
      </c>
      <c r="BH45">
        <f t="shared" si="5"/>
        <v>3827</v>
      </c>
      <c r="BI45">
        <f t="shared" si="6"/>
        <v>11075935</v>
      </c>
      <c r="BJ45">
        <f t="shared" si="7"/>
        <v>1997784</v>
      </c>
      <c r="BK45">
        <f t="shared" si="8"/>
        <v>31052394</v>
      </c>
      <c r="BL45">
        <f t="shared" si="9"/>
        <v>0</v>
      </c>
      <c r="BM45">
        <f t="shared" si="10"/>
        <v>0</v>
      </c>
      <c r="BN45" t="str">
        <f t="shared" si="0"/>
        <v>u=40%, k=2x10^6</v>
      </c>
      <c r="BO45" t="str">
        <f t="shared" si="1"/>
        <v>u=40%, k=2x10^6, collaborative</v>
      </c>
      <c r="BP45">
        <f t="shared" si="11"/>
        <v>9.3762975714513885</v>
      </c>
      <c r="BQ45">
        <f t="shared" si="13"/>
        <v>0.47207695981944447</v>
      </c>
      <c r="BR45">
        <f t="shared" si="14"/>
        <v>10.406374187763889</v>
      </c>
      <c r="BS45">
        <f t="shared" si="15"/>
        <v>2.8240757067083333</v>
      </c>
      <c r="BT45">
        <f t="shared" si="16"/>
        <v>7.4318467371388879</v>
      </c>
      <c r="BU45">
        <f t="shared" si="12"/>
        <v>29.345841125534722</v>
      </c>
    </row>
    <row r="46" spans="1:73">
      <c r="A46" t="s">
        <v>141</v>
      </c>
      <c r="B46" t="s">
        <v>158</v>
      </c>
      <c r="C46">
        <v>72</v>
      </c>
      <c r="D46" t="s">
        <v>56</v>
      </c>
      <c r="E46" t="s">
        <v>53</v>
      </c>
      <c r="F46" t="s">
        <v>54</v>
      </c>
      <c r="G46">
        <v>60000</v>
      </c>
      <c r="H46">
        <v>20</v>
      </c>
      <c r="I46">
        <v>20</v>
      </c>
      <c r="J46">
        <v>0</v>
      </c>
      <c r="K46">
        <v>1</v>
      </c>
      <c r="L46">
        <v>2000000</v>
      </c>
      <c r="M46">
        <v>190</v>
      </c>
      <c r="N46">
        <v>190</v>
      </c>
      <c r="O46">
        <v>190</v>
      </c>
      <c r="P46">
        <v>0</v>
      </c>
      <c r="Q46" t="s">
        <v>55</v>
      </c>
      <c r="R46">
        <v>999479794904</v>
      </c>
      <c r="S46">
        <v>999022</v>
      </c>
      <c r="T46">
        <v>999479794904</v>
      </c>
      <c r="U46">
        <v>999022</v>
      </c>
      <c r="V46" t="s">
        <v>63</v>
      </c>
      <c r="W46">
        <v>6</v>
      </c>
      <c r="X46">
        <v>52577</v>
      </c>
      <c r="Y46">
        <v>1070802</v>
      </c>
      <c r="Z46">
        <v>1123379</v>
      </c>
      <c r="AA46">
        <v>999022</v>
      </c>
      <c r="AB46">
        <v>21.366399999999999</v>
      </c>
      <c r="AC46">
        <v>0.93296599999999996</v>
      </c>
      <c r="AD46">
        <v>3.0409199999999998</v>
      </c>
      <c r="AE46">
        <v>21358256</v>
      </c>
      <c r="AF46" t="s">
        <v>438</v>
      </c>
      <c r="AG46" t="s">
        <v>439</v>
      </c>
      <c r="AH46">
        <v>49176957</v>
      </c>
      <c r="AI46">
        <v>40434</v>
      </c>
      <c r="AJ46">
        <v>11372812918856</v>
      </c>
      <c r="AK46">
        <v>1750971861486</v>
      </c>
      <c r="AL46">
        <v>105658584361</v>
      </c>
      <c r="AM46">
        <v>2017463698113</v>
      </c>
      <c r="AN46">
        <v>535991590920</v>
      </c>
      <c r="AO46">
        <v>1885639425771</v>
      </c>
      <c r="AP46">
        <v>3300647638</v>
      </c>
      <c r="AQ46">
        <v>0</v>
      </c>
      <c r="AR46">
        <v>2200467659</v>
      </c>
      <c r="AS46">
        <v>3300647638</v>
      </c>
      <c r="AT46">
        <v>5501115297</v>
      </c>
      <c r="AU46">
        <v>55010793</v>
      </c>
      <c r="AV46">
        <v>0</v>
      </c>
      <c r="AW46">
        <v>36674460</v>
      </c>
      <c r="AX46">
        <v>55010793</v>
      </c>
      <c r="AY46">
        <v>91685254</v>
      </c>
      <c r="AZ46">
        <v>24.8355</v>
      </c>
      <c r="BA46">
        <v>11.6873</v>
      </c>
      <c r="BB46">
        <v>5766</v>
      </c>
      <c r="BC46">
        <v>4270.2299999999996</v>
      </c>
      <c r="BD46">
        <v>1853</v>
      </c>
      <c r="BE46">
        <v>307</v>
      </c>
      <c r="BF46">
        <f t="shared" si="3"/>
        <v>59.856910099242107</v>
      </c>
      <c r="BG46" s="31">
        <f t="shared" si="4"/>
        <v>33.135395582373683</v>
      </c>
      <c r="BH46">
        <f t="shared" si="5"/>
        <v>4405</v>
      </c>
      <c r="BI46">
        <f t="shared" si="6"/>
        <v>10238782</v>
      </c>
      <c r="BJ46">
        <f t="shared" si="7"/>
        <v>5002540</v>
      </c>
      <c r="BK46">
        <f t="shared" si="8"/>
        <v>41299604</v>
      </c>
      <c r="BL46">
        <f t="shared" si="9"/>
        <v>0</v>
      </c>
      <c r="BM46">
        <f t="shared" si="10"/>
        <v>0</v>
      </c>
      <c r="BN46" t="str">
        <f t="shared" si="0"/>
        <v>u=40%, k=2x10^6</v>
      </c>
      <c r="BO46" t="str">
        <f t="shared" si="1"/>
        <v>u=40%, k=2x10^6, collaborative</v>
      </c>
      <c r="BP46">
        <f t="shared" si="11"/>
        <v>9.2156413762421057</v>
      </c>
      <c r="BQ46">
        <f t="shared" si="13"/>
        <v>0.55609781242631573</v>
      </c>
      <c r="BR46">
        <f t="shared" si="14"/>
        <v>10.618229990068421</v>
      </c>
      <c r="BS46">
        <f t="shared" si="15"/>
        <v>2.8210083732631581</v>
      </c>
      <c r="BT46">
        <f t="shared" si="16"/>
        <v>9.9244180303736851</v>
      </c>
      <c r="BU46">
        <f t="shared" si="12"/>
        <v>26.721514516868424</v>
      </c>
    </row>
    <row r="47" spans="1:73">
      <c r="A47" t="s">
        <v>142</v>
      </c>
      <c r="B47" t="s">
        <v>158</v>
      </c>
      <c r="C47">
        <v>72</v>
      </c>
      <c r="D47" t="s">
        <v>56</v>
      </c>
      <c r="E47" t="s">
        <v>53</v>
      </c>
      <c r="F47" t="s">
        <v>54</v>
      </c>
      <c r="G47">
        <v>60000</v>
      </c>
      <c r="H47">
        <v>20</v>
      </c>
      <c r="I47">
        <v>20</v>
      </c>
      <c r="J47">
        <v>0</v>
      </c>
      <c r="K47">
        <v>1</v>
      </c>
      <c r="L47">
        <v>20000000</v>
      </c>
      <c r="M47">
        <v>24</v>
      </c>
      <c r="N47">
        <v>24</v>
      </c>
      <c r="O47">
        <v>24</v>
      </c>
      <c r="P47">
        <v>0</v>
      </c>
      <c r="Q47" t="s">
        <v>55</v>
      </c>
      <c r="R47">
        <v>99995138328265</v>
      </c>
      <c r="S47">
        <v>10000678</v>
      </c>
      <c r="T47">
        <v>99995138328265</v>
      </c>
      <c r="U47">
        <v>10000678</v>
      </c>
      <c r="V47" t="s">
        <v>63</v>
      </c>
      <c r="W47">
        <v>7</v>
      </c>
      <c r="X47">
        <v>1895349</v>
      </c>
      <c r="Y47">
        <v>12006010</v>
      </c>
      <c r="Z47">
        <v>13901359</v>
      </c>
      <c r="AA47">
        <v>10000678</v>
      </c>
      <c r="AB47">
        <v>7.33446</v>
      </c>
      <c r="AC47">
        <v>0.83297299999999996</v>
      </c>
      <c r="AD47">
        <v>4.0540000000000003</v>
      </c>
      <c r="AE47">
        <v>343746784</v>
      </c>
      <c r="AF47" t="s">
        <v>440</v>
      </c>
      <c r="AG47" t="s">
        <v>441</v>
      </c>
      <c r="AH47">
        <v>128134</v>
      </c>
      <c r="AI47">
        <v>448422</v>
      </c>
      <c r="AJ47">
        <v>1436557026429</v>
      </c>
      <c r="AK47">
        <v>137472504390</v>
      </c>
      <c r="AL47">
        <v>604791442</v>
      </c>
      <c r="AM47">
        <v>155601024706</v>
      </c>
      <c r="AN47">
        <v>91411394190</v>
      </c>
      <c r="AO47">
        <v>64728312884</v>
      </c>
      <c r="AP47">
        <v>708541045</v>
      </c>
      <c r="AQ47">
        <v>0</v>
      </c>
      <c r="AR47">
        <v>472274790</v>
      </c>
      <c r="AS47">
        <v>708541045</v>
      </c>
      <c r="AT47">
        <v>1180815835</v>
      </c>
      <c r="AU47">
        <v>11809017</v>
      </c>
      <c r="AV47">
        <v>0</v>
      </c>
      <c r="AW47">
        <v>7871246</v>
      </c>
      <c r="AX47">
        <v>11809017</v>
      </c>
      <c r="AY47">
        <v>19680263</v>
      </c>
      <c r="AZ47">
        <v>25.9297</v>
      </c>
      <c r="BA47">
        <v>11.063599999999999</v>
      </c>
      <c r="BB47">
        <v>3371.89</v>
      </c>
      <c r="BC47">
        <v>2128.35</v>
      </c>
      <c r="BD47">
        <v>2452</v>
      </c>
      <c r="BE47">
        <v>155</v>
      </c>
      <c r="BF47">
        <f t="shared" si="3"/>
        <v>59.856542767874998</v>
      </c>
      <c r="BG47" s="31">
        <f t="shared" si="4"/>
        <v>18.742417817166665</v>
      </c>
      <c r="BH47">
        <f t="shared" si="5"/>
        <v>94</v>
      </c>
      <c r="BI47">
        <f t="shared" si="6"/>
        <v>262361</v>
      </c>
      <c r="BJ47">
        <f t="shared" si="7"/>
        <v>7538573</v>
      </c>
      <c r="BK47">
        <f t="shared" si="8"/>
        <v>69062355</v>
      </c>
      <c r="BL47">
        <f t="shared" si="9"/>
        <v>232440</v>
      </c>
      <c r="BM47">
        <f t="shared" si="10"/>
        <v>0</v>
      </c>
      <c r="BN47" t="str">
        <f t="shared" si="0"/>
        <v>u=40%, k=2x10^7</v>
      </c>
      <c r="BO47" t="str">
        <f t="shared" si="1"/>
        <v>u=40%, k=2x10^7, collaborative</v>
      </c>
      <c r="BP47">
        <f t="shared" si="11"/>
        <v>5.7280210162500005</v>
      </c>
      <c r="BQ47">
        <f t="shared" si="13"/>
        <v>2.5199643416666667E-2</v>
      </c>
      <c r="BR47">
        <f t="shared" si="14"/>
        <v>6.4833760294166671</v>
      </c>
      <c r="BS47">
        <f t="shared" si="15"/>
        <v>3.80880809125</v>
      </c>
      <c r="BT47">
        <f t="shared" si="16"/>
        <v>2.6970130368333334</v>
      </c>
      <c r="BU47">
        <f t="shared" si="12"/>
        <v>41.11412495070833</v>
      </c>
    </row>
    <row r="48" spans="1:73">
      <c r="A48" t="s">
        <v>143</v>
      </c>
      <c r="B48" t="s">
        <v>158</v>
      </c>
      <c r="C48">
        <v>72</v>
      </c>
      <c r="D48" t="s">
        <v>56</v>
      </c>
      <c r="E48" t="s">
        <v>53</v>
      </c>
      <c r="F48" t="s">
        <v>54</v>
      </c>
      <c r="G48">
        <v>60000</v>
      </c>
      <c r="H48">
        <v>20</v>
      </c>
      <c r="I48">
        <v>20</v>
      </c>
      <c r="J48">
        <v>0</v>
      </c>
      <c r="K48">
        <v>1</v>
      </c>
      <c r="L48">
        <v>20000000</v>
      </c>
      <c r="M48">
        <v>48</v>
      </c>
      <c r="N48">
        <v>48</v>
      </c>
      <c r="O48">
        <v>48</v>
      </c>
      <c r="P48">
        <v>0</v>
      </c>
      <c r="Q48" t="s">
        <v>55</v>
      </c>
      <c r="R48">
        <v>99986932539421</v>
      </c>
      <c r="S48">
        <v>9998462</v>
      </c>
      <c r="T48">
        <v>99986932539421</v>
      </c>
      <c r="U48">
        <v>9998462</v>
      </c>
      <c r="V48" t="s">
        <v>63</v>
      </c>
      <c r="W48">
        <v>7</v>
      </c>
      <c r="X48">
        <v>1625791</v>
      </c>
      <c r="Y48">
        <v>11440810</v>
      </c>
      <c r="Z48">
        <v>13066601</v>
      </c>
      <c r="AA48">
        <v>9998462</v>
      </c>
      <c r="AB48">
        <v>8.0370699999999999</v>
      </c>
      <c r="AC48">
        <v>0.87392999999999998</v>
      </c>
      <c r="AD48">
        <v>4</v>
      </c>
      <c r="AE48">
        <v>313116224</v>
      </c>
      <c r="AF48" t="s">
        <v>442</v>
      </c>
      <c r="AG48" t="s">
        <v>443</v>
      </c>
      <c r="AH48">
        <v>522465</v>
      </c>
      <c r="AI48">
        <v>187776</v>
      </c>
      <c r="AJ48">
        <v>2873812001292</v>
      </c>
      <c r="AK48">
        <v>282581780923</v>
      </c>
      <c r="AL48">
        <v>2764866830</v>
      </c>
      <c r="AM48">
        <v>362734499898</v>
      </c>
      <c r="AN48">
        <v>202212877810</v>
      </c>
      <c r="AO48">
        <v>137971798471</v>
      </c>
      <c r="AP48">
        <v>1147440756</v>
      </c>
      <c r="AQ48">
        <v>0</v>
      </c>
      <c r="AR48">
        <v>764969287</v>
      </c>
      <c r="AS48">
        <v>1147440756</v>
      </c>
      <c r="AT48">
        <v>1912410043</v>
      </c>
      <c r="AU48">
        <v>19124012</v>
      </c>
      <c r="AV48">
        <v>0</v>
      </c>
      <c r="AW48">
        <v>12749488</v>
      </c>
      <c r="AX48">
        <v>19124012</v>
      </c>
      <c r="AY48">
        <v>31873500</v>
      </c>
      <c r="AZ48">
        <v>26.697600000000001</v>
      </c>
      <c r="BA48">
        <v>11.686500000000001</v>
      </c>
      <c r="BB48">
        <v>4159.7700000000004</v>
      </c>
      <c r="BC48">
        <v>2780.17</v>
      </c>
      <c r="BD48">
        <v>2509</v>
      </c>
      <c r="BE48">
        <v>181</v>
      </c>
      <c r="BF48">
        <f t="shared" si="3"/>
        <v>59.871083360249997</v>
      </c>
      <c r="BG48" s="31">
        <f t="shared" si="4"/>
        <v>20.588871331916668</v>
      </c>
      <c r="BH48">
        <f t="shared" si="5"/>
        <v>153</v>
      </c>
      <c r="BI48">
        <f t="shared" si="6"/>
        <v>474679</v>
      </c>
      <c r="BJ48">
        <f t="shared" si="7"/>
        <v>10395145</v>
      </c>
      <c r="BK48">
        <f t="shared" si="8"/>
        <v>108790111</v>
      </c>
      <c r="BL48">
        <f t="shared" si="9"/>
        <v>353744</v>
      </c>
      <c r="BM48">
        <f t="shared" si="10"/>
        <v>0</v>
      </c>
      <c r="BN48" t="str">
        <f t="shared" si="0"/>
        <v>u=40%, k=2x10^7</v>
      </c>
      <c r="BO48" t="str">
        <f t="shared" si="1"/>
        <v>u=40%, k=2x10^7, collaborative</v>
      </c>
      <c r="BP48">
        <f t="shared" si="11"/>
        <v>5.8871204358958336</v>
      </c>
      <c r="BQ48">
        <f t="shared" si="13"/>
        <v>5.7601392291666664E-2</v>
      </c>
      <c r="BR48">
        <f t="shared" si="14"/>
        <v>7.5569687478750005</v>
      </c>
      <c r="BS48">
        <f t="shared" si="15"/>
        <v>4.2127682877083332</v>
      </c>
      <c r="BT48">
        <f t="shared" si="16"/>
        <v>2.8744124681458332</v>
      </c>
      <c r="BU48">
        <f t="shared" si="12"/>
        <v>39.282212028333333</v>
      </c>
    </row>
    <row r="49" spans="1:73">
      <c r="A49" t="s">
        <v>144</v>
      </c>
      <c r="B49" t="s">
        <v>158</v>
      </c>
      <c r="C49">
        <v>72</v>
      </c>
      <c r="D49" t="s">
        <v>56</v>
      </c>
      <c r="E49" t="s">
        <v>53</v>
      </c>
      <c r="F49" t="s">
        <v>54</v>
      </c>
      <c r="G49">
        <v>60000</v>
      </c>
      <c r="H49">
        <v>20</v>
      </c>
      <c r="I49">
        <v>20</v>
      </c>
      <c r="J49">
        <v>0</v>
      </c>
      <c r="K49">
        <v>1</v>
      </c>
      <c r="L49">
        <v>20000000</v>
      </c>
      <c r="M49">
        <v>96</v>
      </c>
      <c r="N49">
        <v>96</v>
      </c>
      <c r="O49">
        <v>96</v>
      </c>
      <c r="P49">
        <v>0</v>
      </c>
      <c r="Q49" t="s">
        <v>55</v>
      </c>
      <c r="R49">
        <v>99990226301193</v>
      </c>
      <c r="S49">
        <v>10000824</v>
      </c>
      <c r="T49">
        <v>99990226301193</v>
      </c>
      <c r="U49">
        <v>10000824</v>
      </c>
      <c r="V49" t="s">
        <v>63</v>
      </c>
      <c r="W49">
        <v>7</v>
      </c>
      <c r="X49">
        <v>1625806</v>
      </c>
      <c r="Y49">
        <v>11443202</v>
      </c>
      <c r="Z49">
        <v>13069008</v>
      </c>
      <c r="AA49">
        <v>10000824</v>
      </c>
      <c r="AB49">
        <v>8.0384799999999998</v>
      </c>
      <c r="AC49">
        <v>0.87395299999999998</v>
      </c>
      <c r="AD49">
        <v>4</v>
      </c>
      <c r="AE49">
        <v>313155696</v>
      </c>
      <c r="AF49" t="s">
        <v>444</v>
      </c>
      <c r="AG49" t="s">
        <v>445</v>
      </c>
      <c r="AH49">
        <v>1900517</v>
      </c>
      <c r="AI49">
        <v>90076</v>
      </c>
      <c r="AJ49">
        <v>5747657802489</v>
      </c>
      <c r="AK49">
        <v>505692865441</v>
      </c>
      <c r="AL49">
        <v>11772425924</v>
      </c>
      <c r="AM49">
        <v>749442453841</v>
      </c>
      <c r="AN49">
        <v>680908939784</v>
      </c>
      <c r="AO49">
        <v>257738370363</v>
      </c>
      <c r="AP49">
        <v>2024948288</v>
      </c>
      <c r="AQ49">
        <v>0</v>
      </c>
      <c r="AR49">
        <v>1349972342</v>
      </c>
      <c r="AS49">
        <v>2024948288</v>
      </c>
      <c r="AT49">
        <v>3374920630</v>
      </c>
      <c r="AU49">
        <v>33749138</v>
      </c>
      <c r="AV49">
        <v>0</v>
      </c>
      <c r="AW49">
        <v>22499539</v>
      </c>
      <c r="AX49">
        <v>33749138</v>
      </c>
      <c r="AY49">
        <v>56248677</v>
      </c>
      <c r="AZ49">
        <v>27.568999999999999</v>
      </c>
      <c r="BA49">
        <v>13.5426</v>
      </c>
      <c r="BB49">
        <v>4675.17</v>
      </c>
      <c r="BC49">
        <v>3209.93</v>
      </c>
      <c r="BD49">
        <v>2652</v>
      </c>
      <c r="BE49">
        <v>255</v>
      </c>
      <c r="BF49">
        <f t="shared" si="3"/>
        <v>59.871435442593743</v>
      </c>
      <c r="BG49" s="31">
        <f t="shared" si="4"/>
        <v>22.974531826593751</v>
      </c>
      <c r="BH49">
        <f t="shared" si="5"/>
        <v>270</v>
      </c>
      <c r="BI49">
        <f t="shared" si="6"/>
        <v>853655</v>
      </c>
      <c r="BJ49">
        <f t="shared" si="7"/>
        <v>12456386</v>
      </c>
      <c r="BK49">
        <f t="shared" si="8"/>
        <v>185010830</v>
      </c>
      <c r="BL49">
        <f t="shared" si="9"/>
        <v>538812</v>
      </c>
      <c r="BM49">
        <f t="shared" si="10"/>
        <v>0</v>
      </c>
      <c r="BN49" t="str">
        <f t="shared" si="0"/>
        <v>u=40%, k=2x10^7</v>
      </c>
      <c r="BO49" t="str">
        <f t="shared" si="1"/>
        <v>u=40%, k=2x10^7, collaborative</v>
      </c>
      <c r="BP49">
        <f t="shared" si="11"/>
        <v>5.2676340150104162</v>
      </c>
      <c r="BQ49">
        <f t="shared" si="13"/>
        <v>0.12262943670833333</v>
      </c>
      <c r="BR49">
        <f t="shared" si="14"/>
        <v>7.8066922275104167</v>
      </c>
      <c r="BS49">
        <f t="shared" si="15"/>
        <v>7.0928014560833335</v>
      </c>
      <c r="BT49">
        <f t="shared" si="16"/>
        <v>2.68477469128125</v>
      </c>
      <c r="BU49">
        <f t="shared" si="12"/>
        <v>36.896903615999996</v>
      </c>
    </row>
    <row r="50" spans="1:73">
      <c r="A50" t="s">
        <v>145</v>
      </c>
      <c r="B50" t="s">
        <v>158</v>
      </c>
      <c r="C50">
        <v>72</v>
      </c>
      <c r="D50" t="s">
        <v>56</v>
      </c>
      <c r="E50" t="s">
        <v>53</v>
      </c>
      <c r="F50" t="s">
        <v>54</v>
      </c>
      <c r="G50">
        <v>60000</v>
      </c>
      <c r="H50">
        <v>20</v>
      </c>
      <c r="I50">
        <v>20</v>
      </c>
      <c r="J50">
        <v>0</v>
      </c>
      <c r="K50">
        <v>1</v>
      </c>
      <c r="L50">
        <v>20000000</v>
      </c>
      <c r="M50">
        <v>144</v>
      </c>
      <c r="N50">
        <v>144</v>
      </c>
      <c r="O50">
        <v>144</v>
      </c>
      <c r="P50">
        <v>0</v>
      </c>
      <c r="Q50" t="s">
        <v>55</v>
      </c>
      <c r="R50">
        <v>99969526134611</v>
      </c>
      <c r="S50">
        <v>9998307</v>
      </c>
      <c r="T50">
        <v>99969526134611</v>
      </c>
      <c r="U50">
        <v>9998307</v>
      </c>
      <c r="V50" t="s">
        <v>63</v>
      </c>
      <c r="W50">
        <v>7</v>
      </c>
      <c r="X50">
        <v>1828982</v>
      </c>
      <c r="Y50">
        <v>11863280</v>
      </c>
      <c r="Z50">
        <v>13692262</v>
      </c>
      <c r="AA50">
        <v>9998307</v>
      </c>
      <c r="AB50">
        <v>7.4862700000000002</v>
      </c>
      <c r="AC50">
        <v>0.84279400000000004</v>
      </c>
      <c r="AD50">
        <v>4.0414099999999999</v>
      </c>
      <c r="AE50">
        <v>336138096</v>
      </c>
      <c r="AF50" t="s">
        <v>446</v>
      </c>
      <c r="AG50" t="s">
        <v>447</v>
      </c>
      <c r="AH50">
        <v>3891810</v>
      </c>
      <c r="AI50">
        <v>58638</v>
      </c>
      <c r="AJ50">
        <v>8619350401626</v>
      </c>
      <c r="AK50">
        <v>716079562264</v>
      </c>
      <c r="AL50">
        <v>24401904597</v>
      </c>
      <c r="AM50">
        <v>1093832502537</v>
      </c>
      <c r="AN50">
        <v>1284359647758</v>
      </c>
      <c r="AO50">
        <v>386519889720</v>
      </c>
      <c r="AP50">
        <v>2849706424</v>
      </c>
      <c r="AQ50">
        <v>0</v>
      </c>
      <c r="AR50">
        <v>1899866930</v>
      </c>
      <c r="AS50">
        <v>2849706424</v>
      </c>
      <c r="AT50">
        <v>4749573354</v>
      </c>
      <c r="AU50">
        <v>47495107</v>
      </c>
      <c r="AV50">
        <v>0</v>
      </c>
      <c r="AW50">
        <v>31664448</v>
      </c>
      <c r="AX50">
        <v>47495107</v>
      </c>
      <c r="AY50">
        <v>79159555</v>
      </c>
      <c r="AZ50">
        <v>27.8962</v>
      </c>
      <c r="BA50">
        <v>14.381</v>
      </c>
      <c r="BB50">
        <v>4941.9399999999996</v>
      </c>
      <c r="BC50">
        <v>3404.32</v>
      </c>
      <c r="BD50">
        <v>2831</v>
      </c>
      <c r="BE50">
        <v>325</v>
      </c>
      <c r="BF50">
        <f t="shared" si="3"/>
        <v>59.856600011291661</v>
      </c>
      <c r="BG50" s="31">
        <f t="shared" si="4"/>
        <v>24.341621575527778</v>
      </c>
      <c r="BH50">
        <f t="shared" si="5"/>
        <v>379</v>
      </c>
      <c r="BI50">
        <f t="shared" si="6"/>
        <v>1201877</v>
      </c>
      <c r="BJ50">
        <f t="shared" si="7"/>
        <v>10062272</v>
      </c>
      <c r="BK50">
        <f t="shared" si="8"/>
        <v>254206312</v>
      </c>
      <c r="BL50">
        <f t="shared" si="9"/>
        <v>636931</v>
      </c>
      <c r="BM50">
        <f t="shared" si="10"/>
        <v>0</v>
      </c>
      <c r="BN50" t="str">
        <f t="shared" si="0"/>
        <v>u=40%, k=2x10^7</v>
      </c>
      <c r="BO50" t="str">
        <f t="shared" si="1"/>
        <v>u=40%, k=2x10^7, collaborative</v>
      </c>
      <c r="BP50">
        <f t="shared" si="11"/>
        <v>4.9727747379444445</v>
      </c>
      <c r="BQ50">
        <f t="shared" si="13"/>
        <v>0.16945767081250002</v>
      </c>
      <c r="BR50">
        <f t="shared" si="14"/>
        <v>7.5960590453958332</v>
      </c>
      <c r="BS50">
        <f t="shared" si="15"/>
        <v>8.919164220541667</v>
      </c>
      <c r="BT50">
        <f t="shared" si="16"/>
        <v>2.6841659008333334</v>
      </c>
      <c r="BU50">
        <f t="shared" si="12"/>
        <v>35.514978435763879</v>
      </c>
    </row>
    <row r="51" spans="1:73">
      <c r="A51" t="s">
        <v>146</v>
      </c>
      <c r="B51" t="s">
        <v>158</v>
      </c>
      <c r="C51">
        <v>72</v>
      </c>
      <c r="D51" t="s">
        <v>56</v>
      </c>
      <c r="E51" t="s">
        <v>53</v>
      </c>
      <c r="F51" t="s">
        <v>54</v>
      </c>
      <c r="G51">
        <v>60000</v>
      </c>
      <c r="H51">
        <v>20</v>
      </c>
      <c r="I51">
        <v>20</v>
      </c>
      <c r="J51">
        <v>0</v>
      </c>
      <c r="K51">
        <v>1</v>
      </c>
      <c r="L51">
        <v>20000000</v>
      </c>
      <c r="M51">
        <v>190</v>
      </c>
      <c r="N51">
        <v>190</v>
      </c>
      <c r="O51">
        <v>190</v>
      </c>
      <c r="P51">
        <v>0</v>
      </c>
      <c r="Q51" t="s">
        <v>55</v>
      </c>
      <c r="R51">
        <v>100030207905223</v>
      </c>
      <c r="S51">
        <v>10003806</v>
      </c>
      <c r="T51">
        <v>100030207905223</v>
      </c>
      <c r="U51">
        <v>10003806</v>
      </c>
      <c r="V51" t="s">
        <v>63</v>
      </c>
      <c r="W51">
        <v>7</v>
      </c>
      <c r="X51">
        <v>1762073</v>
      </c>
      <c r="Y51">
        <v>11723332</v>
      </c>
      <c r="Z51">
        <v>13485405</v>
      </c>
      <c r="AA51">
        <v>10003806</v>
      </c>
      <c r="AB51">
        <v>7.6531500000000001</v>
      </c>
      <c r="AC51">
        <v>0.85332399999999997</v>
      </c>
      <c r="AD51">
        <v>4.0272500000000004</v>
      </c>
      <c r="AE51">
        <v>328540128</v>
      </c>
      <c r="AF51" t="s">
        <v>448</v>
      </c>
      <c r="AG51" t="s">
        <v>449</v>
      </c>
      <c r="AH51">
        <v>6106642</v>
      </c>
      <c r="AI51">
        <v>43954</v>
      </c>
      <c r="AJ51">
        <v>11372756722354</v>
      </c>
      <c r="AK51">
        <v>918754831348</v>
      </c>
      <c r="AL51">
        <v>40634276127</v>
      </c>
      <c r="AM51">
        <v>1491171697891</v>
      </c>
      <c r="AN51">
        <v>2072046464616</v>
      </c>
      <c r="AO51">
        <v>508201046830</v>
      </c>
      <c r="AP51">
        <v>3443339990</v>
      </c>
      <c r="AQ51">
        <v>0</v>
      </c>
      <c r="AR51">
        <v>2295515673</v>
      </c>
      <c r="AS51">
        <v>3443339990</v>
      </c>
      <c r="AT51">
        <v>5738855663</v>
      </c>
      <c r="AU51">
        <v>57388999</v>
      </c>
      <c r="AV51">
        <v>0</v>
      </c>
      <c r="AW51">
        <v>38258594</v>
      </c>
      <c r="AX51">
        <v>57388999</v>
      </c>
      <c r="AY51">
        <v>95647594</v>
      </c>
      <c r="AZ51">
        <v>28.525200000000002</v>
      </c>
      <c r="BA51">
        <v>15.158300000000001</v>
      </c>
      <c r="BB51">
        <v>5362.9</v>
      </c>
      <c r="BC51">
        <v>3655.08</v>
      </c>
      <c r="BD51">
        <v>2959</v>
      </c>
      <c r="BE51">
        <v>373</v>
      </c>
      <c r="BF51">
        <f t="shared" si="3"/>
        <v>59.856614328178949</v>
      </c>
      <c r="BG51" s="31">
        <f t="shared" si="4"/>
        <v>26.477938509536845</v>
      </c>
      <c r="BH51">
        <f t="shared" si="5"/>
        <v>459</v>
      </c>
      <c r="BI51">
        <f t="shared" si="6"/>
        <v>1451734</v>
      </c>
      <c r="BJ51">
        <f t="shared" si="7"/>
        <v>12236968</v>
      </c>
      <c r="BK51">
        <f t="shared" si="8"/>
        <v>307191214</v>
      </c>
      <c r="BL51">
        <f t="shared" si="9"/>
        <v>768867</v>
      </c>
      <c r="BM51">
        <f t="shared" si="10"/>
        <v>0</v>
      </c>
      <c r="BN51" t="str">
        <f t="shared" si="0"/>
        <v>u=40%, k=2x10^7</v>
      </c>
      <c r="BO51" t="str">
        <f t="shared" si="1"/>
        <v>u=40%, k=2x10^7, collaborative</v>
      </c>
      <c r="BP51">
        <f t="shared" si="11"/>
        <v>4.8355517439368425</v>
      </c>
      <c r="BQ51">
        <f t="shared" si="13"/>
        <v>0.21386461119473685</v>
      </c>
      <c r="BR51">
        <f t="shared" si="14"/>
        <v>7.848272094163157</v>
      </c>
      <c r="BS51">
        <f t="shared" si="15"/>
        <v>10.905507708505262</v>
      </c>
      <c r="BT51">
        <f t="shared" si="16"/>
        <v>2.674742351736842</v>
      </c>
      <c r="BU51">
        <f t="shared" si="12"/>
        <v>33.378675818642108</v>
      </c>
    </row>
    <row r="52" spans="1:73">
      <c r="A52" t="s">
        <v>147</v>
      </c>
      <c r="B52" t="s">
        <v>158</v>
      </c>
      <c r="C52">
        <v>72</v>
      </c>
      <c r="D52" t="s">
        <v>56</v>
      </c>
      <c r="E52" t="s">
        <v>53</v>
      </c>
      <c r="F52" t="s">
        <v>54</v>
      </c>
      <c r="G52">
        <v>60000</v>
      </c>
      <c r="H52">
        <v>20</v>
      </c>
      <c r="I52">
        <v>20</v>
      </c>
      <c r="J52">
        <v>0</v>
      </c>
      <c r="K52">
        <v>1</v>
      </c>
      <c r="L52">
        <v>200000000</v>
      </c>
      <c r="M52">
        <v>24</v>
      </c>
      <c r="N52">
        <v>24</v>
      </c>
      <c r="O52">
        <v>24</v>
      </c>
      <c r="P52">
        <v>0</v>
      </c>
      <c r="Q52" t="s">
        <v>55</v>
      </c>
      <c r="R52">
        <v>9999826246735300</v>
      </c>
      <c r="S52">
        <v>99996614</v>
      </c>
      <c r="T52">
        <v>9999826246735300</v>
      </c>
      <c r="U52">
        <v>99996614</v>
      </c>
      <c r="V52" t="s">
        <v>63</v>
      </c>
      <c r="W52">
        <v>7</v>
      </c>
      <c r="X52">
        <v>14632028</v>
      </c>
      <c r="Y52">
        <v>117563601</v>
      </c>
      <c r="Z52">
        <v>132195629</v>
      </c>
      <c r="AA52">
        <v>99996614</v>
      </c>
      <c r="AB52">
        <v>9.0346799999999998</v>
      </c>
      <c r="AC52">
        <v>0.85057499999999997</v>
      </c>
      <c r="AD52">
        <v>4.0735799999999998</v>
      </c>
      <c r="AE52">
        <v>3055616816</v>
      </c>
      <c r="AF52" t="s">
        <v>450</v>
      </c>
      <c r="AG52" t="s">
        <v>451</v>
      </c>
      <c r="AH52">
        <v>13934</v>
      </c>
      <c r="AI52">
        <v>354568</v>
      </c>
      <c r="AJ52">
        <v>1436558946135</v>
      </c>
      <c r="AK52">
        <v>94047497564</v>
      </c>
      <c r="AL52">
        <v>169612926</v>
      </c>
      <c r="AM52">
        <v>123693153348</v>
      </c>
      <c r="AN52">
        <v>89577265488</v>
      </c>
      <c r="AO52">
        <v>43263617374</v>
      </c>
      <c r="AP52">
        <v>587316487</v>
      </c>
      <c r="AQ52">
        <v>0</v>
      </c>
      <c r="AR52">
        <v>391546962</v>
      </c>
      <c r="AS52">
        <v>587316487</v>
      </c>
      <c r="AT52">
        <v>978863449</v>
      </c>
      <c r="AU52">
        <v>9788608</v>
      </c>
      <c r="AV52">
        <v>0</v>
      </c>
      <c r="AW52">
        <v>6525782</v>
      </c>
      <c r="AX52">
        <v>9788608</v>
      </c>
      <c r="AY52">
        <v>16314390</v>
      </c>
      <c r="AZ52">
        <v>27.5519</v>
      </c>
      <c r="BA52">
        <v>13.317600000000001</v>
      </c>
      <c r="BB52">
        <v>3943.19</v>
      </c>
      <c r="BC52">
        <v>2843.36</v>
      </c>
      <c r="BD52">
        <v>12585</v>
      </c>
      <c r="BE52">
        <v>1567</v>
      </c>
      <c r="BF52">
        <f t="shared" si="3"/>
        <v>59.856622755625004</v>
      </c>
      <c r="BG52" s="31">
        <f t="shared" si="4"/>
        <v>14.6146311125</v>
      </c>
      <c r="BH52">
        <f t="shared" si="5"/>
        <v>7</v>
      </c>
      <c r="BI52">
        <f t="shared" si="6"/>
        <v>44323</v>
      </c>
      <c r="BJ52">
        <f t="shared" si="7"/>
        <v>3695513</v>
      </c>
      <c r="BK52">
        <f t="shared" si="8"/>
        <v>32983898</v>
      </c>
      <c r="BL52">
        <f t="shared" si="9"/>
        <v>5439430</v>
      </c>
      <c r="BM52">
        <f t="shared" si="10"/>
        <v>0</v>
      </c>
      <c r="BN52" t="str">
        <f t="shared" si="0"/>
        <v>u=40%, k=2x10^8</v>
      </c>
      <c r="BO52" t="str">
        <f t="shared" si="1"/>
        <v>u=40%, k=2x10^8, collaborative</v>
      </c>
      <c r="BP52">
        <f t="shared" si="11"/>
        <v>3.9186457318333332</v>
      </c>
      <c r="BQ52">
        <f t="shared" si="13"/>
        <v>7.0672052499999999E-3</v>
      </c>
      <c r="BR52">
        <f t="shared" si="14"/>
        <v>5.1538813894999995</v>
      </c>
      <c r="BS52">
        <f t="shared" si="15"/>
        <v>3.7323860619999998</v>
      </c>
      <c r="BT52">
        <f t="shared" si="16"/>
        <v>1.8026507239166667</v>
      </c>
      <c r="BU52">
        <f t="shared" si="12"/>
        <v>45.241991643125004</v>
      </c>
    </row>
    <row r="53" spans="1:73">
      <c r="A53" t="s">
        <v>148</v>
      </c>
      <c r="B53" t="s">
        <v>158</v>
      </c>
      <c r="C53">
        <v>72</v>
      </c>
      <c r="D53" t="s">
        <v>56</v>
      </c>
      <c r="E53" t="s">
        <v>53</v>
      </c>
      <c r="F53" t="s">
        <v>54</v>
      </c>
      <c r="G53">
        <v>60000</v>
      </c>
      <c r="H53">
        <v>20</v>
      </c>
      <c r="I53">
        <v>20</v>
      </c>
      <c r="J53">
        <v>0</v>
      </c>
      <c r="K53">
        <v>1</v>
      </c>
      <c r="L53">
        <v>200000000</v>
      </c>
      <c r="M53">
        <v>48</v>
      </c>
      <c r="N53">
        <v>48</v>
      </c>
      <c r="O53">
        <v>48</v>
      </c>
      <c r="P53">
        <v>0</v>
      </c>
      <c r="Q53" t="s">
        <v>55</v>
      </c>
      <c r="R53">
        <v>9999128387637390</v>
      </c>
      <c r="S53">
        <v>100002198</v>
      </c>
      <c r="T53">
        <v>9999128387637390</v>
      </c>
      <c r="U53">
        <v>100002198</v>
      </c>
      <c r="V53" t="s">
        <v>63</v>
      </c>
      <c r="W53">
        <v>7</v>
      </c>
      <c r="X53">
        <v>14148105</v>
      </c>
      <c r="Y53">
        <v>116463238</v>
      </c>
      <c r="Z53">
        <v>130611343</v>
      </c>
      <c r="AA53">
        <v>100002198</v>
      </c>
      <c r="AB53">
        <v>9.2317199999999993</v>
      </c>
      <c r="AC53">
        <v>0.85865899999999995</v>
      </c>
      <c r="AD53">
        <v>4.0649800000000003</v>
      </c>
      <c r="AE53">
        <v>2997745472</v>
      </c>
      <c r="AF53" t="s">
        <v>452</v>
      </c>
      <c r="AG53" t="s">
        <v>453</v>
      </c>
      <c r="AH53">
        <v>68142</v>
      </c>
      <c r="AI53">
        <v>129122</v>
      </c>
      <c r="AJ53">
        <v>2873126358557</v>
      </c>
      <c r="AK53">
        <v>234922050061</v>
      </c>
      <c r="AL53">
        <v>1179988197</v>
      </c>
      <c r="AM53">
        <v>309703091798</v>
      </c>
      <c r="AN53">
        <v>216404518213</v>
      </c>
      <c r="AO53">
        <v>104871390514</v>
      </c>
      <c r="AP53">
        <v>926093710</v>
      </c>
      <c r="AQ53">
        <v>0</v>
      </c>
      <c r="AR53">
        <v>617373837</v>
      </c>
      <c r="AS53">
        <v>926093710</v>
      </c>
      <c r="AT53">
        <v>1543467547</v>
      </c>
      <c r="AU53">
        <v>15434895</v>
      </c>
      <c r="AV53">
        <v>0</v>
      </c>
      <c r="AW53">
        <v>10289563</v>
      </c>
      <c r="AX53">
        <v>15434895</v>
      </c>
      <c r="AY53">
        <v>25724459</v>
      </c>
      <c r="AZ53">
        <v>29.635200000000001</v>
      </c>
      <c r="BA53">
        <v>14.3248</v>
      </c>
      <c r="BB53">
        <v>4941.07</v>
      </c>
      <c r="BC53">
        <v>3640.21</v>
      </c>
      <c r="BD53">
        <v>13172</v>
      </c>
      <c r="BE53">
        <v>1308</v>
      </c>
      <c r="BF53">
        <f t="shared" si="3"/>
        <v>59.856799136604167</v>
      </c>
      <c r="BG53" s="31">
        <f t="shared" si="4"/>
        <v>18.064188307979169</v>
      </c>
      <c r="BH53">
        <f t="shared" si="5"/>
        <v>12</v>
      </c>
      <c r="BI53">
        <f t="shared" si="6"/>
        <v>103009</v>
      </c>
      <c r="BJ53">
        <f t="shared" si="7"/>
        <v>5640451</v>
      </c>
      <c r="BK53">
        <f t="shared" si="8"/>
        <v>50540867</v>
      </c>
      <c r="BL53">
        <f t="shared" si="9"/>
        <v>8431778</v>
      </c>
      <c r="BM53">
        <f t="shared" si="10"/>
        <v>0</v>
      </c>
      <c r="BN53" t="str">
        <f t="shared" si="0"/>
        <v>u=40%, k=2x10^8</v>
      </c>
      <c r="BO53" t="str">
        <f t="shared" si="1"/>
        <v>u=40%, k=2x10^8, collaborative</v>
      </c>
      <c r="BP53">
        <f t="shared" si="11"/>
        <v>4.8942093762708332</v>
      </c>
      <c r="BQ53">
        <f t="shared" si="13"/>
        <v>2.4583087437499998E-2</v>
      </c>
      <c r="BR53">
        <f t="shared" si="14"/>
        <v>6.4521477457916667</v>
      </c>
      <c r="BS53">
        <f t="shared" si="15"/>
        <v>4.5084274627708334</v>
      </c>
      <c r="BT53">
        <f t="shared" si="16"/>
        <v>2.1848206357083333</v>
      </c>
      <c r="BU53">
        <f t="shared" si="12"/>
        <v>41.792610828625001</v>
      </c>
    </row>
    <row r="54" spans="1:73">
      <c r="A54" t="s">
        <v>149</v>
      </c>
      <c r="B54" t="s">
        <v>158</v>
      </c>
      <c r="C54">
        <v>72</v>
      </c>
      <c r="D54" t="s">
        <v>56</v>
      </c>
      <c r="E54" t="s">
        <v>53</v>
      </c>
      <c r="F54" t="s">
        <v>54</v>
      </c>
      <c r="G54">
        <v>60000</v>
      </c>
      <c r="H54">
        <v>20</v>
      </c>
      <c r="I54">
        <v>20</v>
      </c>
      <c r="J54">
        <v>0</v>
      </c>
      <c r="K54">
        <v>1</v>
      </c>
      <c r="L54">
        <v>200000000</v>
      </c>
      <c r="M54">
        <v>96</v>
      </c>
      <c r="N54">
        <v>96</v>
      </c>
      <c r="O54">
        <v>96</v>
      </c>
      <c r="P54">
        <v>0</v>
      </c>
      <c r="Q54" t="s">
        <v>55</v>
      </c>
      <c r="R54">
        <v>9999736498514120</v>
      </c>
      <c r="S54">
        <v>99999083</v>
      </c>
      <c r="T54">
        <v>9999736498514120</v>
      </c>
      <c r="U54">
        <v>99999083</v>
      </c>
      <c r="V54" t="s">
        <v>63</v>
      </c>
      <c r="W54">
        <v>7</v>
      </c>
      <c r="X54">
        <v>14937821</v>
      </c>
      <c r="Y54">
        <v>118264254</v>
      </c>
      <c r="Z54">
        <v>133202075</v>
      </c>
      <c r="AA54">
        <v>99999083</v>
      </c>
      <c r="AB54">
        <v>8.9170999999999996</v>
      </c>
      <c r="AC54">
        <v>0.84555599999999997</v>
      </c>
      <c r="AD54">
        <v>4.0817800000000002</v>
      </c>
      <c r="AE54">
        <v>3091619360</v>
      </c>
      <c r="AF54" t="s">
        <v>454</v>
      </c>
      <c r="AG54" t="s">
        <v>455</v>
      </c>
      <c r="AH54">
        <v>328221</v>
      </c>
      <c r="AI54">
        <v>56266</v>
      </c>
      <c r="AJ54">
        <v>5746337514048</v>
      </c>
      <c r="AK54">
        <v>437370792607</v>
      </c>
      <c r="AL54">
        <v>8288414706</v>
      </c>
      <c r="AM54">
        <v>695847578750</v>
      </c>
      <c r="AN54">
        <v>679973583928</v>
      </c>
      <c r="AO54">
        <v>210535995071</v>
      </c>
      <c r="AP54">
        <v>1701064859</v>
      </c>
      <c r="AQ54">
        <v>0</v>
      </c>
      <c r="AR54">
        <v>1134057733</v>
      </c>
      <c r="AS54">
        <v>1701064859</v>
      </c>
      <c r="AT54">
        <v>2835122592</v>
      </c>
      <c r="AU54">
        <v>28351080</v>
      </c>
      <c r="AV54">
        <v>0</v>
      </c>
      <c r="AW54">
        <v>18900962</v>
      </c>
      <c r="AX54">
        <v>28351080</v>
      </c>
      <c r="AY54">
        <v>47252043</v>
      </c>
      <c r="AZ54">
        <v>30.6432</v>
      </c>
      <c r="BA54">
        <v>16.035</v>
      </c>
      <c r="BB54">
        <v>5259.89</v>
      </c>
      <c r="BC54">
        <v>3841.8</v>
      </c>
      <c r="BD54">
        <v>13765</v>
      </c>
      <c r="BE54">
        <v>1048</v>
      </c>
      <c r="BF54">
        <f t="shared" si="3"/>
        <v>59.857682438000005</v>
      </c>
      <c r="BG54" s="31">
        <f t="shared" si="4"/>
        <v>21.166837136062501</v>
      </c>
      <c r="BH54">
        <f t="shared" si="5"/>
        <v>22</v>
      </c>
      <c r="BI54">
        <f t="shared" si="6"/>
        <v>217925</v>
      </c>
      <c r="BJ54">
        <f t="shared" si="7"/>
        <v>8722357</v>
      </c>
      <c r="BK54">
        <f t="shared" si="8"/>
        <v>90517289</v>
      </c>
      <c r="BL54">
        <f t="shared" si="9"/>
        <v>15274372</v>
      </c>
      <c r="BM54">
        <f t="shared" si="10"/>
        <v>0</v>
      </c>
      <c r="BN54" t="str">
        <f t="shared" si="0"/>
        <v>u=40%, k=2x10^8</v>
      </c>
      <c r="BO54" t="str">
        <f t="shared" si="1"/>
        <v>u=40%, k=2x10^8, collaborative</v>
      </c>
      <c r="BP54">
        <f t="shared" si="11"/>
        <v>4.5559457563229167</v>
      </c>
      <c r="BQ54">
        <f t="shared" si="13"/>
        <v>8.6337653187499988E-2</v>
      </c>
      <c r="BR54">
        <f t="shared" si="14"/>
        <v>7.2484122786458336</v>
      </c>
      <c r="BS54">
        <f t="shared" si="15"/>
        <v>7.0830581659166674</v>
      </c>
      <c r="BT54">
        <f t="shared" si="16"/>
        <v>2.1930832819895834</v>
      </c>
      <c r="BU54">
        <f t="shared" si="12"/>
        <v>38.6908453019375</v>
      </c>
    </row>
    <row r="55" spans="1:73">
      <c r="A55" t="s">
        <v>150</v>
      </c>
      <c r="B55" t="s">
        <v>158</v>
      </c>
      <c r="C55">
        <v>72</v>
      </c>
      <c r="D55" t="s">
        <v>56</v>
      </c>
      <c r="E55" t="s">
        <v>53</v>
      </c>
      <c r="F55" t="s">
        <v>54</v>
      </c>
      <c r="G55">
        <v>60000</v>
      </c>
      <c r="H55">
        <v>20</v>
      </c>
      <c r="I55">
        <v>20</v>
      </c>
      <c r="J55">
        <v>0</v>
      </c>
      <c r="K55">
        <v>1</v>
      </c>
      <c r="L55">
        <v>200000000</v>
      </c>
      <c r="M55">
        <v>144</v>
      </c>
      <c r="N55">
        <v>144</v>
      </c>
      <c r="O55">
        <v>144</v>
      </c>
      <c r="P55">
        <v>0</v>
      </c>
      <c r="Q55" t="s">
        <v>55</v>
      </c>
      <c r="R55">
        <v>9998583130358900</v>
      </c>
      <c r="S55">
        <v>99985322</v>
      </c>
      <c r="T55">
        <v>9998583130358900</v>
      </c>
      <c r="U55">
        <v>99985322</v>
      </c>
      <c r="V55" t="s">
        <v>63</v>
      </c>
      <c r="W55">
        <v>7</v>
      </c>
      <c r="X55">
        <v>14572481</v>
      </c>
      <c r="Y55">
        <v>117421145</v>
      </c>
      <c r="Z55">
        <v>131993626</v>
      </c>
      <c r="AA55">
        <v>99985322</v>
      </c>
      <c r="AB55">
        <v>9.0577299999999994</v>
      </c>
      <c r="AC55">
        <v>0.85150999999999999</v>
      </c>
      <c r="AD55">
        <v>4.0721699999999998</v>
      </c>
      <c r="AE55">
        <v>3048483824</v>
      </c>
      <c r="AF55" t="s">
        <v>456</v>
      </c>
      <c r="AG55" t="s">
        <v>457</v>
      </c>
      <c r="AH55">
        <v>658813</v>
      </c>
      <c r="AI55">
        <v>34088</v>
      </c>
      <c r="AJ55">
        <v>8619426549830</v>
      </c>
      <c r="AK55">
        <v>620375812451</v>
      </c>
      <c r="AL55">
        <v>25430502613</v>
      </c>
      <c r="AM55">
        <v>1107373849196</v>
      </c>
      <c r="AN55">
        <v>1233824376714</v>
      </c>
      <c r="AO55">
        <v>322002882334</v>
      </c>
      <c r="AP55">
        <v>2388071471</v>
      </c>
      <c r="AQ55">
        <v>0</v>
      </c>
      <c r="AR55">
        <v>1592063008</v>
      </c>
      <c r="AS55">
        <v>2388071471</v>
      </c>
      <c r="AT55">
        <v>3980134479</v>
      </c>
      <c r="AU55">
        <v>39801191</v>
      </c>
      <c r="AV55">
        <v>0</v>
      </c>
      <c r="AW55">
        <v>26534383</v>
      </c>
      <c r="AX55">
        <v>39801191</v>
      </c>
      <c r="AY55">
        <v>66335574</v>
      </c>
      <c r="AZ55">
        <v>30.9346</v>
      </c>
      <c r="BA55">
        <v>16.886399999999998</v>
      </c>
      <c r="BB55">
        <v>5489.46</v>
      </c>
      <c r="BC55">
        <v>4036.12</v>
      </c>
      <c r="BD55">
        <v>14183</v>
      </c>
      <c r="BE55">
        <v>1075</v>
      </c>
      <c r="BF55">
        <f t="shared" si="3"/>
        <v>59.857128818263881</v>
      </c>
      <c r="BG55" s="31">
        <f t="shared" si="4"/>
        <v>22.979218217416665</v>
      </c>
      <c r="BH55">
        <f t="shared" si="5"/>
        <v>31</v>
      </c>
      <c r="BI55">
        <f t="shared" si="6"/>
        <v>309976</v>
      </c>
      <c r="BJ55">
        <f t="shared" si="7"/>
        <v>11082598</v>
      </c>
      <c r="BK55">
        <f t="shared" si="8"/>
        <v>124422596</v>
      </c>
      <c r="BL55">
        <f t="shared" si="9"/>
        <v>21259548</v>
      </c>
      <c r="BM55">
        <f t="shared" si="10"/>
        <v>0</v>
      </c>
      <c r="BN55" t="str">
        <f t="shared" si="0"/>
        <v>u=40%, k=2x10^8</v>
      </c>
      <c r="BO55" t="str">
        <f t="shared" si="1"/>
        <v>u=40%, k=2x10^8, collaborative</v>
      </c>
      <c r="BP55">
        <f t="shared" si="11"/>
        <v>4.308165364243056</v>
      </c>
      <c r="BQ55">
        <f t="shared" si="13"/>
        <v>0.17660071259027779</v>
      </c>
      <c r="BR55">
        <f t="shared" si="14"/>
        <v>7.6900961749722221</v>
      </c>
      <c r="BS55">
        <f t="shared" si="15"/>
        <v>8.5682248382916661</v>
      </c>
      <c r="BT55">
        <f t="shared" si="16"/>
        <v>2.2361311273194442</v>
      </c>
      <c r="BU55">
        <f t="shared" si="12"/>
        <v>36.877910600847216</v>
      </c>
    </row>
    <row r="56" spans="1:73">
      <c r="A56" t="s">
        <v>151</v>
      </c>
      <c r="B56" t="s">
        <v>158</v>
      </c>
      <c r="C56">
        <v>72</v>
      </c>
      <c r="D56" t="s">
        <v>56</v>
      </c>
      <c r="E56" t="s">
        <v>53</v>
      </c>
      <c r="F56" t="s">
        <v>54</v>
      </c>
      <c r="G56">
        <v>60000</v>
      </c>
      <c r="H56">
        <v>20</v>
      </c>
      <c r="I56">
        <v>20</v>
      </c>
      <c r="J56">
        <v>0</v>
      </c>
      <c r="K56">
        <v>1</v>
      </c>
      <c r="L56">
        <v>200000000</v>
      </c>
      <c r="M56">
        <v>190</v>
      </c>
      <c r="N56">
        <v>190</v>
      </c>
      <c r="O56">
        <v>190</v>
      </c>
      <c r="P56">
        <v>0</v>
      </c>
      <c r="Q56" t="s">
        <v>55</v>
      </c>
      <c r="R56">
        <v>1.00004827215368E+16</v>
      </c>
      <c r="S56">
        <v>100002322</v>
      </c>
      <c r="T56">
        <v>1.00004827215368E+16</v>
      </c>
      <c r="U56">
        <v>100002322</v>
      </c>
      <c r="V56" t="s">
        <v>63</v>
      </c>
      <c r="W56">
        <v>7</v>
      </c>
      <c r="X56">
        <v>14438910</v>
      </c>
      <c r="Y56">
        <v>117101684</v>
      </c>
      <c r="Z56">
        <v>131540594</v>
      </c>
      <c r="AA56">
        <v>100002322</v>
      </c>
      <c r="AB56">
        <v>9.1101500000000009</v>
      </c>
      <c r="AC56">
        <v>0.85397900000000004</v>
      </c>
      <c r="AD56">
        <v>4.0712400000000004</v>
      </c>
      <c r="AE56">
        <v>3031740784</v>
      </c>
      <c r="AF56" t="s">
        <v>458</v>
      </c>
      <c r="AG56" t="s">
        <v>459</v>
      </c>
      <c r="AH56">
        <v>1046017</v>
      </c>
      <c r="AI56">
        <v>24184</v>
      </c>
      <c r="AJ56">
        <v>11372766743909</v>
      </c>
      <c r="AK56">
        <v>798971723426</v>
      </c>
      <c r="AL56">
        <v>43186124213</v>
      </c>
      <c r="AM56">
        <v>1537930859853</v>
      </c>
      <c r="AN56">
        <v>1847793487918</v>
      </c>
      <c r="AO56">
        <v>439402745258</v>
      </c>
      <c r="AP56">
        <v>2955942171</v>
      </c>
      <c r="AQ56">
        <v>0</v>
      </c>
      <c r="AR56">
        <v>1970616349</v>
      </c>
      <c r="AS56">
        <v>2955942171</v>
      </c>
      <c r="AT56">
        <v>4926558520</v>
      </c>
      <c r="AU56">
        <v>49265702</v>
      </c>
      <c r="AV56">
        <v>0</v>
      </c>
      <c r="AW56">
        <v>32843605</v>
      </c>
      <c r="AX56">
        <v>49265702</v>
      </c>
      <c r="AY56">
        <v>82109308</v>
      </c>
      <c r="AZ56">
        <v>31.3096</v>
      </c>
      <c r="BA56">
        <v>17.483000000000001</v>
      </c>
      <c r="BB56">
        <v>5767.76</v>
      </c>
      <c r="BC56">
        <v>4256.7</v>
      </c>
      <c r="BD56">
        <v>14493</v>
      </c>
      <c r="BE56">
        <v>1091</v>
      </c>
      <c r="BF56">
        <f t="shared" si="3"/>
        <v>59.856667073205266</v>
      </c>
      <c r="BG56" s="31">
        <f t="shared" si="4"/>
        <v>24.564657582463155</v>
      </c>
      <c r="BH56">
        <f t="shared" si="5"/>
        <v>39</v>
      </c>
      <c r="BI56">
        <f t="shared" si="6"/>
        <v>389893</v>
      </c>
      <c r="BJ56">
        <f t="shared" si="7"/>
        <v>13425572</v>
      </c>
      <c r="BK56">
        <f t="shared" si="8"/>
        <v>152483847</v>
      </c>
      <c r="BL56">
        <f t="shared" si="9"/>
        <v>26233722</v>
      </c>
      <c r="BM56">
        <f t="shared" si="10"/>
        <v>0</v>
      </c>
      <c r="BN56" t="str">
        <f t="shared" si="0"/>
        <v>u=40%, k=2x10^8</v>
      </c>
      <c r="BO56" t="str">
        <f t="shared" si="1"/>
        <v>u=40%, k=2x10^8, collaborative</v>
      </c>
      <c r="BP56">
        <f t="shared" si="11"/>
        <v>4.2051143338210526</v>
      </c>
      <c r="BQ56">
        <f t="shared" si="13"/>
        <v>0.22729539059473683</v>
      </c>
      <c r="BR56">
        <f t="shared" si="14"/>
        <v>8.0943729465947367</v>
      </c>
      <c r="BS56">
        <f t="shared" si="15"/>
        <v>9.7252288837789465</v>
      </c>
      <c r="BT56">
        <f t="shared" si="16"/>
        <v>2.3126460276736842</v>
      </c>
      <c r="BU56">
        <f t="shared" si="12"/>
        <v>35.29200949074211</v>
      </c>
    </row>
    <row r="57" spans="1:73">
      <c r="A57" t="s">
        <v>152</v>
      </c>
      <c r="B57" t="s">
        <v>158</v>
      </c>
      <c r="C57">
        <v>72</v>
      </c>
      <c r="D57" t="s">
        <v>56</v>
      </c>
      <c r="E57" t="s">
        <v>53</v>
      </c>
      <c r="F57" t="s">
        <v>54</v>
      </c>
      <c r="G57">
        <v>60000</v>
      </c>
      <c r="H57">
        <v>20</v>
      </c>
      <c r="I57">
        <v>20</v>
      </c>
      <c r="J57">
        <v>0</v>
      </c>
      <c r="K57">
        <v>1</v>
      </c>
      <c r="L57">
        <v>2000000000</v>
      </c>
      <c r="M57">
        <v>24</v>
      </c>
      <c r="N57">
        <v>24</v>
      </c>
      <c r="O57">
        <v>24</v>
      </c>
      <c r="P57">
        <v>0</v>
      </c>
      <c r="Q57" t="s">
        <v>55</v>
      </c>
      <c r="R57">
        <v>1.00000843312494E+18</v>
      </c>
      <c r="S57">
        <v>999995438</v>
      </c>
      <c r="T57">
        <v>1.00000843312494E+18</v>
      </c>
      <c r="U57">
        <v>999995438</v>
      </c>
      <c r="V57" t="s">
        <v>63</v>
      </c>
      <c r="W57">
        <v>7</v>
      </c>
      <c r="X57">
        <v>127976186</v>
      </c>
      <c r="Y57">
        <v>1170526712</v>
      </c>
      <c r="Z57">
        <v>1298502898</v>
      </c>
      <c r="AA57">
        <v>999995438</v>
      </c>
      <c r="AB57">
        <v>10.1464</v>
      </c>
      <c r="AC57">
        <v>0.85431199999999996</v>
      </c>
      <c r="AD57">
        <v>4.0927800000000003</v>
      </c>
      <c r="AE57">
        <v>29031572768</v>
      </c>
      <c r="AF57" t="s">
        <v>460</v>
      </c>
      <c r="AG57" t="s">
        <v>461</v>
      </c>
      <c r="AH57">
        <v>1</v>
      </c>
      <c r="AI57">
        <v>339524</v>
      </c>
      <c r="AJ57">
        <v>1436560083646</v>
      </c>
      <c r="AK57">
        <v>17643108977</v>
      </c>
      <c r="AL57">
        <v>1580</v>
      </c>
      <c r="AM57">
        <v>19525081397</v>
      </c>
      <c r="AN57">
        <v>22057420798</v>
      </c>
      <c r="AO57">
        <v>3859959136</v>
      </c>
      <c r="AP57">
        <v>541636061</v>
      </c>
      <c r="AQ57">
        <v>0</v>
      </c>
      <c r="AR57">
        <v>361080992</v>
      </c>
      <c r="AS57">
        <v>541636061</v>
      </c>
      <c r="AT57">
        <v>902717053</v>
      </c>
      <c r="AU57">
        <v>9027267</v>
      </c>
      <c r="AV57">
        <v>0</v>
      </c>
      <c r="AW57">
        <v>6018016</v>
      </c>
      <c r="AX57">
        <v>9027267</v>
      </c>
      <c r="AY57">
        <v>15045284</v>
      </c>
      <c r="AZ57">
        <v>26.0731</v>
      </c>
      <c r="BA57">
        <v>15.3691</v>
      </c>
      <c r="BB57">
        <v>4422.22</v>
      </c>
      <c r="BC57">
        <v>3503.25</v>
      </c>
      <c r="BD57">
        <v>62831</v>
      </c>
      <c r="BE57">
        <v>16525</v>
      </c>
      <c r="BF57">
        <f t="shared" si="3"/>
        <v>59.856670151916667</v>
      </c>
      <c r="BG57" s="31">
        <f t="shared" si="4"/>
        <v>2.6285654953333331</v>
      </c>
      <c r="BH57">
        <f t="shared" si="5"/>
        <v>0</v>
      </c>
      <c r="BI57">
        <f t="shared" si="6"/>
        <v>0</v>
      </c>
      <c r="BJ57">
        <f t="shared" si="7"/>
        <v>126550</v>
      </c>
      <c r="BK57">
        <f t="shared" si="8"/>
        <v>21375050</v>
      </c>
      <c r="BL57">
        <f t="shared" si="9"/>
        <v>7027293</v>
      </c>
      <c r="BM57">
        <f t="shared" si="10"/>
        <v>0</v>
      </c>
      <c r="BN57" t="str">
        <f t="shared" si="0"/>
        <v>u=40%, k=2x10^9</v>
      </c>
      <c r="BO57" t="str">
        <f t="shared" si="1"/>
        <v>u=40%, k=2x10^9, collaborative</v>
      </c>
      <c r="BP57">
        <f t="shared" si="11"/>
        <v>0.73512954070833336</v>
      </c>
      <c r="BQ57">
        <f t="shared" si="13"/>
        <v>6.5833333333333334E-8</v>
      </c>
      <c r="BR57">
        <f t="shared" si="14"/>
        <v>0.81354505820833334</v>
      </c>
      <c r="BS57">
        <f t="shared" si="15"/>
        <v>0.91905919991666662</v>
      </c>
      <c r="BT57">
        <f t="shared" si="16"/>
        <v>0.16083163066666667</v>
      </c>
      <c r="BU57">
        <f t="shared" si="12"/>
        <v>57.228104656583334</v>
      </c>
    </row>
    <row r="58" spans="1:73">
      <c r="A58" t="s">
        <v>153</v>
      </c>
      <c r="B58" t="s">
        <v>158</v>
      </c>
      <c r="C58">
        <v>72</v>
      </c>
      <c r="D58" t="s">
        <v>56</v>
      </c>
      <c r="E58" t="s">
        <v>53</v>
      </c>
      <c r="F58" t="s">
        <v>54</v>
      </c>
      <c r="G58">
        <v>60000</v>
      </c>
      <c r="H58">
        <v>20</v>
      </c>
      <c r="I58">
        <v>20</v>
      </c>
      <c r="J58">
        <v>0</v>
      </c>
      <c r="K58">
        <v>1</v>
      </c>
      <c r="L58">
        <v>2000000000</v>
      </c>
      <c r="M58">
        <v>48</v>
      </c>
      <c r="N58">
        <v>48</v>
      </c>
      <c r="O58">
        <v>48</v>
      </c>
      <c r="P58">
        <v>0</v>
      </c>
      <c r="Q58" t="s">
        <v>55</v>
      </c>
      <c r="R58">
        <v>9.9999004234170598E+17</v>
      </c>
      <c r="S58">
        <v>1000000999</v>
      </c>
      <c r="T58">
        <v>9.9999004234170598E+17</v>
      </c>
      <c r="U58">
        <v>1000000999</v>
      </c>
      <c r="V58" t="s">
        <v>63</v>
      </c>
      <c r="W58">
        <v>7</v>
      </c>
      <c r="X58">
        <v>88117180</v>
      </c>
      <c r="Y58">
        <v>1086126003</v>
      </c>
      <c r="Z58">
        <v>1174243183</v>
      </c>
      <c r="AA58">
        <v>1000000999</v>
      </c>
      <c r="AB58">
        <v>13.325900000000001</v>
      </c>
      <c r="AC58">
        <v>0.92070399999999997</v>
      </c>
      <c r="AD58">
        <v>4.0073400000000001</v>
      </c>
      <c r="AE58">
        <v>24427810352</v>
      </c>
      <c r="AF58" t="s">
        <v>462</v>
      </c>
      <c r="AG58" t="s">
        <v>463</v>
      </c>
      <c r="AH58">
        <v>10620</v>
      </c>
      <c r="AI58">
        <v>115984</v>
      </c>
      <c r="AJ58">
        <v>2873126877145</v>
      </c>
      <c r="AK58">
        <v>176642468256</v>
      </c>
      <c r="AL58">
        <v>307095434</v>
      </c>
      <c r="AM58">
        <v>257464130311</v>
      </c>
      <c r="AN58">
        <v>123738190085</v>
      </c>
      <c r="AO58">
        <v>89260497763</v>
      </c>
      <c r="AP58">
        <v>772247802</v>
      </c>
      <c r="AQ58">
        <v>0</v>
      </c>
      <c r="AR58">
        <v>514804576</v>
      </c>
      <c r="AS58">
        <v>772247802</v>
      </c>
      <c r="AT58">
        <v>1287052378</v>
      </c>
      <c r="AU58">
        <v>12870796</v>
      </c>
      <c r="AV58">
        <v>0</v>
      </c>
      <c r="AW58">
        <v>8580076</v>
      </c>
      <c r="AX58">
        <v>12870796</v>
      </c>
      <c r="AY58">
        <v>21450872</v>
      </c>
      <c r="AZ58">
        <v>31.869</v>
      </c>
      <c r="BA58">
        <v>19.148900000000001</v>
      </c>
      <c r="BB58">
        <v>6044.88</v>
      </c>
      <c r="BC58">
        <v>4885.2299999999996</v>
      </c>
      <c r="BD58">
        <v>85063</v>
      </c>
      <c r="BE58">
        <v>12146</v>
      </c>
      <c r="BF58">
        <f t="shared" si="3"/>
        <v>59.856809940520833</v>
      </c>
      <c r="BG58" s="31">
        <f t="shared" si="4"/>
        <v>13.487757955187499</v>
      </c>
      <c r="BH58">
        <f t="shared" si="5"/>
        <v>1</v>
      </c>
      <c r="BI58">
        <f t="shared" si="6"/>
        <v>26301</v>
      </c>
      <c r="BJ58">
        <f t="shared" si="7"/>
        <v>2535319</v>
      </c>
      <c r="BK58">
        <f t="shared" si="8"/>
        <v>34444469</v>
      </c>
      <c r="BL58">
        <f t="shared" si="9"/>
        <v>9631204</v>
      </c>
      <c r="BM58">
        <f t="shared" si="10"/>
        <v>0</v>
      </c>
      <c r="BN58" t="str">
        <f t="shared" si="0"/>
        <v>u=40%, k=2x10^9</v>
      </c>
      <c r="BO58" t="str">
        <f t="shared" si="1"/>
        <v>u=40%, k=2x10^9, collaborative</v>
      </c>
      <c r="BP58">
        <f t="shared" si="11"/>
        <v>3.680051422</v>
      </c>
      <c r="BQ58">
        <f t="shared" si="13"/>
        <v>6.397821541666667E-3</v>
      </c>
      <c r="BR58">
        <f t="shared" si="14"/>
        <v>5.363836048145834</v>
      </c>
      <c r="BS58">
        <f t="shared" si="15"/>
        <v>2.5778789601041665</v>
      </c>
      <c r="BT58">
        <f t="shared" si="16"/>
        <v>1.8595937033958334</v>
      </c>
      <c r="BU58">
        <f t="shared" si="12"/>
        <v>46.369051985333329</v>
      </c>
    </row>
    <row r="59" spans="1:73">
      <c r="A59" t="s">
        <v>154</v>
      </c>
      <c r="B59" t="s">
        <v>158</v>
      </c>
      <c r="C59">
        <v>72</v>
      </c>
      <c r="D59" t="s">
        <v>56</v>
      </c>
      <c r="E59" t="s">
        <v>53</v>
      </c>
      <c r="F59" t="s">
        <v>54</v>
      </c>
      <c r="G59">
        <v>60000</v>
      </c>
      <c r="H59">
        <v>20</v>
      </c>
      <c r="I59">
        <v>20</v>
      </c>
      <c r="J59">
        <v>0</v>
      </c>
      <c r="K59">
        <v>1</v>
      </c>
      <c r="L59">
        <v>2000000000</v>
      </c>
      <c r="M59">
        <v>96</v>
      </c>
      <c r="N59">
        <v>96</v>
      </c>
      <c r="O59">
        <v>96</v>
      </c>
      <c r="P59">
        <v>0</v>
      </c>
      <c r="Q59" t="s">
        <v>55</v>
      </c>
      <c r="R59">
        <v>9.9999149501882202E+17</v>
      </c>
      <c r="S59">
        <v>999997641</v>
      </c>
      <c r="T59">
        <v>9.9999149501882202E+17</v>
      </c>
      <c r="U59">
        <v>999997641</v>
      </c>
      <c r="V59" t="s">
        <v>63</v>
      </c>
      <c r="W59">
        <v>7</v>
      </c>
      <c r="X59">
        <v>84465057</v>
      </c>
      <c r="Y59">
        <v>1078802204</v>
      </c>
      <c r="Z59">
        <v>1163267261</v>
      </c>
      <c r="AA59">
        <v>999997641</v>
      </c>
      <c r="AB59">
        <v>13.7722</v>
      </c>
      <c r="AC59">
        <v>0.926952</v>
      </c>
      <c r="AD59">
        <v>4</v>
      </c>
      <c r="AE59">
        <v>24018039808</v>
      </c>
      <c r="AF59" t="s">
        <v>464</v>
      </c>
      <c r="AG59" t="s">
        <v>465</v>
      </c>
      <c r="AH59">
        <v>55026</v>
      </c>
      <c r="AI59">
        <v>53826</v>
      </c>
      <c r="AJ59">
        <v>5965343426414</v>
      </c>
      <c r="AK59">
        <v>375426517532</v>
      </c>
      <c r="AL59">
        <v>5634570024</v>
      </c>
      <c r="AM59">
        <v>919120240988</v>
      </c>
      <c r="AN59">
        <v>392500802821</v>
      </c>
      <c r="AO59">
        <v>201204150753</v>
      </c>
      <c r="AP59">
        <v>1500110167</v>
      </c>
      <c r="AQ59">
        <v>0</v>
      </c>
      <c r="AR59">
        <v>1000055300</v>
      </c>
      <c r="AS59">
        <v>1500110167</v>
      </c>
      <c r="AT59">
        <v>2500165467</v>
      </c>
      <c r="AU59">
        <v>25001836</v>
      </c>
      <c r="AV59">
        <v>0</v>
      </c>
      <c r="AW59">
        <v>16667588</v>
      </c>
      <c r="AX59">
        <v>25001836</v>
      </c>
      <c r="AY59">
        <v>41669424</v>
      </c>
      <c r="AZ59">
        <v>33.179400000000001</v>
      </c>
      <c r="BA59">
        <v>20.958100000000002</v>
      </c>
      <c r="BB59">
        <v>5933.93</v>
      </c>
      <c r="BC59">
        <v>4690.79</v>
      </c>
      <c r="BD59">
        <v>87571</v>
      </c>
      <c r="BE59">
        <v>9968</v>
      </c>
      <c r="BF59">
        <f t="shared" si="3"/>
        <v>62.138994025145827</v>
      </c>
      <c r="BG59" s="31">
        <f t="shared" si="4"/>
        <v>19.727982105395835</v>
      </c>
      <c r="BH59">
        <f t="shared" si="5"/>
        <v>2</v>
      </c>
      <c r="BI59">
        <f t="shared" si="6"/>
        <v>61871</v>
      </c>
      <c r="BJ59">
        <f t="shared" si="7"/>
        <v>4627646</v>
      </c>
      <c r="BK59">
        <f t="shared" si="8"/>
        <v>67770084</v>
      </c>
      <c r="BL59">
        <f t="shared" si="9"/>
        <v>19005782</v>
      </c>
      <c r="BM59">
        <f t="shared" si="10"/>
        <v>0</v>
      </c>
      <c r="BN59" t="str">
        <f t="shared" si="0"/>
        <v>u=40%, k=2x10^9</v>
      </c>
      <c r="BO59" t="str">
        <f t="shared" si="1"/>
        <v>u=40%, k=2x10^9, collaborative</v>
      </c>
      <c r="BP59">
        <f t="shared" si="11"/>
        <v>3.9106928909583334</v>
      </c>
      <c r="BQ59">
        <f t="shared" si="13"/>
        <v>5.8693437750000001E-2</v>
      </c>
      <c r="BR59">
        <f t="shared" si="14"/>
        <v>9.5741691769583337</v>
      </c>
      <c r="BS59">
        <f t="shared" si="15"/>
        <v>4.0885500293854165</v>
      </c>
      <c r="BT59">
        <f t="shared" si="16"/>
        <v>2.0958765703437501</v>
      </c>
      <c r="BU59">
        <f t="shared" si="12"/>
        <v>42.411011919749996</v>
      </c>
    </row>
    <row r="60" spans="1:73">
      <c r="A60" t="s">
        <v>155</v>
      </c>
      <c r="B60" t="s">
        <v>158</v>
      </c>
      <c r="C60">
        <v>72</v>
      </c>
      <c r="D60" t="s">
        <v>56</v>
      </c>
      <c r="E60" t="s">
        <v>53</v>
      </c>
      <c r="F60" t="s">
        <v>54</v>
      </c>
      <c r="G60">
        <v>60000</v>
      </c>
      <c r="H60">
        <v>20</v>
      </c>
      <c r="I60">
        <v>20</v>
      </c>
      <c r="J60">
        <v>0</v>
      </c>
      <c r="K60">
        <v>1</v>
      </c>
      <c r="L60">
        <v>2000000000</v>
      </c>
      <c r="M60">
        <v>144</v>
      </c>
      <c r="N60">
        <v>144</v>
      </c>
      <c r="O60">
        <v>144</v>
      </c>
      <c r="P60">
        <v>0</v>
      </c>
      <c r="Q60" t="s">
        <v>55</v>
      </c>
      <c r="R60">
        <v>9.9997162614418803E+17</v>
      </c>
      <c r="S60">
        <v>999968680</v>
      </c>
      <c r="T60">
        <v>9.9997162614418803E+17</v>
      </c>
      <c r="U60">
        <v>999968680</v>
      </c>
      <c r="V60" t="s">
        <v>63</v>
      </c>
      <c r="W60">
        <v>7</v>
      </c>
      <c r="X60">
        <v>106401328</v>
      </c>
      <c r="Y60">
        <v>1125426266</v>
      </c>
      <c r="Z60">
        <v>1231827594</v>
      </c>
      <c r="AA60">
        <v>999968680</v>
      </c>
      <c r="AB60">
        <v>11.577199999999999</v>
      </c>
      <c r="AC60">
        <v>0.88852399999999998</v>
      </c>
      <c r="AD60">
        <v>4.0468299999999999</v>
      </c>
      <c r="AE60">
        <v>26551398256</v>
      </c>
      <c r="AF60" t="s">
        <v>466</v>
      </c>
      <c r="AG60" t="s">
        <v>467</v>
      </c>
      <c r="AH60">
        <v>95186</v>
      </c>
      <c r="AI60">
        <v>34212</v>
      </c>
      <c r="AJ60">
        <v>8619624886212</v>
      </c>
      <c r="AK60">
        <v>471647170011</v>
      </c>
      <c r="AL60">
        <v>4456325190</v>
      </c>
      <c r="AM60">
        <v>1179146365295</v>
      </c>
      <c r="AN60">
        <v>557579448866</v>
      </c>
      <c r="AO60">
        <v>249460457250</v>
      </c>
      <c r="AP60">
        <v>2216427844</v>
      </c>
      <c r="AQ60">
        <v>0</v>
      </c>
      <c r="AR60">
        <v>1477626082</v>
      </c>
      <c r="AS60">
        <v>2216427844</v>
      </c>
      <c r="AT60">
        <v>3694053926</v>
      </c>
      <c r="AU60">
        <v>36940464</v>
      </c>
      <c r="AV60">
        <v>0</v>
      </c>
      <c r="AW60">
        <v>24627101</v>
      </c>
      <c r="AX60">
        <v>36940464</v>
      </c>
      <c r="AY60">
        <v>61567565</v>
      </c>
      <c r="AZ60">
        <v>32.019500000000001</v>
      </c>
      <c r="BA60">
        <v>20.553899999999999</v>
      </c>
      <c r="BB60">
        <v>5901.25</v>
      </c>
      <c r="BC60">
        <v>4676.95</v>
      </c>
      <c r="BD60">
        <v>120337</v>
      </c>
      <c r="BE60">
        <v>9444</v>
      </c>
      <c r="BF60">
        <f t="shared" si="3"/>
        <v>59.858506154249994</v>
      </c>
      <c r="BG60" s="31">
        <f t="shared" si="4"/>
        <v>17.099234490361113</v>
      </c>
      <c r="BH60">
        <f t="shared" si="5"/>
        <v>2</v>
      </c>
      <c r="BI60">
        <f t="shared" si="6"/>
        <v>74037</v>
      </c>
      <c r="BJ60">
        <f t="shared" si="7"/>
        <v>6372615</v>
      </c>
      <c r="BK60">
        <f t="shared" si="8"/>
        <v>100154029</v>
      </c>
      <c r="BL60">
        <f t="shared" si="9"/>
        <v>28188918</v>
      </c>
      <c r="BM60">
        <f t="shared" si="10"/>
        <v>0</v>
      </c>
      <c r="BN60" t="str">
        <f t="shared" si="0"/>
        <v>u=40%, k=2x10^9</v>
      </c>
      <c r="BO60" t="str">
        <f t="shared" si="1"/>
        <v>u=40%, k=2x10^9, collaborative</v>
      </c>
      <c r="BP60">
        <f t="shared" si="11"/>
        <v>3.2753275695208335</v>
      </c>
      <c r="BQ60">
        <f t="shared" si="13"/>
        <v>3.0946702708333336E-2</v>
      </c>
      <c r="BR60">
        <f t="shared" si="14"/>
        <v>8.1885164256597207</v>
      </c>
      <c r="BS60">
        <f t="shared" si="15"/>
        <v>3.8720795060138888</v>
      </c>
      <c r="BT60">
        <f t="shared" si="16"/>
        <v>1.7323642864583333</v>
      </c>
      <c r="BU60">
        <f t="shared" si="12"/>
        <v>42.759271663888882</v>
      </c>
    </row>
    <row r="61" spans="1:73">
      <c r="A61" t="s">
        <v>156</v>
      </c>
      <c r="B61" t="s">
        <v>158</v>
      </c>
      <c r="C61">
        <v>72</v>
      </c>
      <c r="D61" t="s">
        <v>56</v>
      </c>
      <c r="E61" t="s">
        <v>53</v>
      </c>
      <c r="F61" t="s">
        <v>54</v>
      </c>
      <c r="G61">
        <v>60000</v>
      </c>
      <c r="H61">
        <v>20</v>
      </c>
      <c r="I61">
        <v>20</v>
      </c>
      <c r="J61">
        <v>0</v>
      </c>
      <c r="K61">
        <v>1</v>
      </c>
      <c r="L61">
        <v>2000000000</v>
      </c>
      <c r="M61">
        <v>190</v>
      </c>
      <c r="N61">
        <v>190</v>
      </c>
      <c r="O61">
        <v>190</v>
      </c>
      <c r="P61">
        <v>0</v>
      </c>
      <c r="Q61" t="s">
        <v>55</v>
      </c>
      <c r="R61">
        <v>1.00001163437461E+18</v>
      </c>
      <c r="S61">
        <v>1000003276</v>
      </c>
      <c r="T61">
        <v>1.00001163437461E+18</v>
      </c>
      <c r="U61">
        <v>1000003276</v>
      </c>
      <c r="V61" t="s">
        <v>63</v>
      </c>
      <c r="W61">
        <v>7</v>
      </c>
      <c r="X61">
        <v>123048085</v>
      </c>
      <c r="Y61">
        <v>1158700272</v>
      </c>
      <c r="Z61">
        <v>1281748357</v>
      </c>
      <c r="AA61">
        <v>1000003276</v>
      </c>
      <c r="AB61">
        <v>10.416600000000001</v>
      </c>
      <c r="AC61">
        <v>0.863039</v>
      </c>
      <c r="AD61">
        <v>4.0812999999999997</v>
      </c>
      <c r="AE61">
        <v>28428687088</v>
      </c>
      <c r="AF61" t="s">
        <v>468</v>
      </c>
      <c r="AG61" t="s">
        <v>469</v>
      </c>
      <c r="AH61">
        <v>158470</v>
      </c>
      <c r="AI61">
        <v>22922</v>
      </c>
      <c r="AJ61">
        <v>11373481066223</v>
      </c>
      <c r="AK61">
        <v>609185917141</v>
      </c>
      <c r="AL61">
        <v>9633171203</v>
      </c>
      <c r="AM61">
        <v>1997870139154</v>
      </c>
      <c r="AN61">
        <v>863742196278</v>
      </c>
      <c r="AO61">
        <v>478088611136</v>
      </c>
      <c r="AP61">
        <v>2593072773</v>
      </c>
      <c r="AQ61">
        <v>0</v>
      </c>
      <c r="AR61">
        <v>1728719217</v>
      </c>
      <c r="AS61">
        <v>2593072773</v>
      </c>
      <c r="AT61">
        <v>4321791990</v>
      </c>
      <c r="AU61">
        <v>43217879</v>
      </c>
      <c r="AV61">
        <v>0</v>
      </c>
      <c r="AW61">
        <v>28811986</v>
      </c>
      <c r="AX61">
        <v>43217879</v>
      </c>
      <c r="AY61">
        <v>72029866</v>
      </c>
      <c r="AZ61">
        <v>32.994199999999999</v>
      </c>
      <c r="BA61">
        <v>21.416</v>
      </c>
      <c r="BB61">
        <v>6282.65</v>
      </c>
      <c r="BC61">
        <v>4994.79</v>
      </c>
      <c r="BD61">
        <v>120726</v>
      </c>
      <c r="BE61">
        <v>9293</v>
      </c>
      <c r="BF61">
        <f t="shared" si="3"/>
        <v>59.860426664331577</v>
      </c>
      <c r="BG61" s="31">
        <f t="shared" si="4"/>
        <v>20.834315973221052</v>
      </c>
      <c r="BH61">
        <f t="shared" si="5"/>
        <v>3</v>
      </c>
      <c r="BI61">
        <f t="shared" si="6"/>
        <v>94766</v>
      </c>
      <c r="BJ61">
        <f t="shared" si="7"/>
        <v>6447586</v>
      </c>
      <c r="BK61">
        <f t="shared" si="8"/>
        <v>108228378</v>
      </c>
      <c r="BL61">
        <f t="shared" si="9"/>
        <v>32164588</v>
      </c>
      <c r="BM61">
        <f t="shared" si="10"/>
        <v>0</v>
      </c>
      <c r="BN61" t="str">
        <f t="shared" si="0"/>
        <v>u=40%, k=2x10^9</v>
      </c>
      <c r="BO61" t="str">
        <f t="shared" si="1"/>
        <v>u=40%, k=2x10^9, collaborative</v>
      </c>
      <c r="BP61">
        <f t="shared" si="11"/>
        <v>3.2062416691631581</v>
      </c>
      <c r="BQ61">
        <f t="shared" si="13"/>
        <v>5.0700901068421053E-2</v>
      </c>
      <c r="BR61">
        <f t="shared" si="14"/>
        <v>10.515105995547369</v>
      </c>
      <c r="BS61">
        <f t="shared" si="15"/>
        <v>4.5460115593578951</v>
      </c>
      <c r="BT61">
        <f t="shared" si="16"/>
        <v>2.5162558480842105</v>
      </c>
      <c r="BU61">
        <f t="shared" si="12"/>
        <v>39.026110691110517</v>
      </c>
    </row>
    <row r="62" spans="1:73">
      <c r="A62" t="s">
        <v>157</v>
      </c>
      <c r="B62" t="s">
        <v>136</v>
      </c>
      <c r="C62">
        <v>72</v>
      </c>
      <c r="D62" t="s">
        <v>56</v>
      </c>
      <c r="E62" t="s">
        <v>53</v>
      </c>
      <c r="F62" t="s">
        <v>54</v>
      </c>
      <c r="G62">
        <v>60000</v>
      </c>
      <c r="H62">
        <v>0.5</v>
      </c>
      <c r="I62">
        <v>0.5</v>
      </c>
      <c r="J62">
        <v>0</v>
      </c>
      <c r="K62">
        <v>1</v>
      </c>
      <c r="L62">
        <v>2000000</v>
      </c>
      <c r="M62">
        <v>24</v>
      </c>
      <c r="N62">
        <v>24</v>
      </c>
      <c r="O62">
        <v>24</v>
      </c>
      <c r="P62">
        <v>0</v>
      </c>
      <c r="Q62" t="s">
        <v>55</v>
      </c>
      <c r="R62">
        <v>1000085670527</v>
      </c>
      <c r="S62">
        <v>999849</v>
      </c>
      <c r="T62">
        <v>1000085670527</v>
      </c>
      <c r="U62">
        <v>999849</v>
      </c>
      <c r="V62" t="s">
        <v>63</v>
      </c>
      <c r="W62">
        <v>6</v>
      </c>
      <c r="X62">
        <v>33009</v>
      </c>
      <c r="Y62">
        <v>1031859</v>
      </c>
      <c r="Z62">
        <v>1064868</v>
      </c>
      <c r="AA62">
        <v>999849</v>
      </c>
      <c r="AB62">
        <v>32.259900000000002</v>
      </c>
      <c r="AC62">
        <v>0.96897800000000001</v>
      </c>
      <c r="AD62">
        <v>3.0000100000000001</v>
      </c>
      <c r="AE62">
        <v>19150448</v>
      </c>
      <c r="AF62" t="s">
        <v>470</v>
      </c>
      <c r="AG62" t="s">
        <v>471</v>
      </c>
      <c r="AI62">
        <v>1683424</v>
      </c>
      <c r="AJ62">
        <v>1437334148499</v>
      </c>
      <c r="AK62">
        <v>3992853848</v>
      </c>
      <c r="AL62">
        <v>81812251017</v>
      </c>
      <c r="AM62">
        <v>5872304048</v>
      </c>
      <c r="AN62">
        <v>5111907911</v>
      </c>
      <c r="AO62">
        <v>2185766611</v>
      </c>
      <c r="AP62">
        <v>4503466086</v>
      </c>
      <c r="AQ62">
        <v>0</v>
      </c>
      <c r="AR62">
        <v>45492679</v>
      </c>
      <c r="AS62">
        <v>4503466086</v>
      </c>
      <c r="AT62">
        <v>4548958765</v>
      </c>
      <c r="AU62">
        <v>75057768</v>
      </c>
      <c r="AV62">
        <v>0</v>
      </c>
      <c r="AW62">
        <v>758211</v>
      </c>
      <c r="AX62">
        <v>75057768</v>
      </c>
      <c r="AY62">
        <v>75815979</v>
      </c>
      <c r="AZ62">
        <v>8.3741900000000005</v>
      </c>
      <c r="BA62">
        <v>9.9822800000000003E-2</v>
      </c>
      <c r="BB62">
        <v>882.27599999999995</v>
      </c>
      <c r="BC62">
        <v>262.76400000000001</v>
      </c>
      <c r="BD62">
        <v>1398</v>
      </c>
      <c r="BE62">
        <v>29</v>
      </c>
      <c r="BF62">
        <f t="shared" si="3"/>
        <v>59.888922854125006</v>
      </c>
      <c r="BG62" s="31">
        <f t="shared" si="4"/>
        <v>4.123961809791667</v>
      </c>
      <c r="BH62">
        <f t="shared" si="5"/>
        <v>91</v>
      </c>
      <c r="BI62">
        <f t="shared" si="6"/>
        <v>81717</v>
      </c>
      <c r="BJ62">
        <f t="shared" si="7"/>
        <v>1176101</v>
      </c>
      <c r="BK62">
        <f t="shared" si="8"/>
        <v>1314651</v>
      </c>
      <c r="BL62">
        <f t="shared" si="9"/>
        <v>0</v>
      </c>
      <c r="BM62">
        <f t="shared" si="10"/>
        <v>0</v>
      </c>
      <c r="BN62" t="str">
        <f t="shared" ref="BN62:BN122" si="17">"u="&amp;(H62+I62)&amp;"%, k=2x10^"&amp;LOG10(L62/2)</f>
        <v>u=1%, k=2x10^6</v>
      </c>
      <c r="BO62" t="str">
        <f t="shared" ref="BO62:BO122" si="18">BN62&amp;", "&amp;IF(getFieldDelim(B62,"_",4)="enabled","collaborative","sequential")</f>
        <v>u=1%, k=2x10^6, sequential</v>
      </c>
      <c r="BP62">
        <f t="shared" si="11"/>
        <v>0.16636891033333334</v>
      </c>
      <c r="BQ62">
        <f t="shared" si="13"/>
        <v>3.4088437923749999</v>
      </c>
      <c r="BR62">
        <f t="shared" si="14"/>
        <v>0.24467933533333333</v>
      </c>
      <c r="BS62">
        <f t="shared" si="15"/>
        <v>0.21299616295833335</v>
      </c>
      <c r="BT62">
        <f t="shared" si="16"/>
        <v>9.1073608791666663E-2</v>
      </c>
      <c r="BU62">
        <f t="shared" si="12"/>
        <v>55.76496104433334</v>
      </c>
    </row>
    <row r="63" spans="1:73">
      <c r="A63" t="s">
        <v>159</v>
      </c>
      <c r="B63" t="s">
        <v>136</v>
      </c>
      <c r="C63">
        <v>72</v>
      </c>
      <c r="D63" t="s">
        <v>56</v>
      </c>
      <c r="E63" t="s">
        <v>53</v>
      </c>
      <c r="F63" t="s">
        <v>54</v>
      </c>
      <c r="G63">
        <v>60000</v>
      </c>
      <c r="H63">
        <v>0.5</v>
      </c>
      <c r="I63">
        <v>0.5</v>
      </c>
      <c r="J63">
        <v>0</v>
      </c>
      <c r="K63">
        <v>1</v>
      </c>
      <c r="L63">
        <v>2000000</v>
      </c>
      <c r="M63">
        <v>48</v>
      </c>
      <c r="N63">
        <v>48</v>
      </c>
      <c r="O63">
        <v>48</v>
      </c>
      <c r="P63">
        <v>0</v>
      </c>
      <c r="Q63" t="s">
        <v>55</v>
      </c>
      <c r="R63">
        <v>1000769701778</v>
      </c>
      <c r="S63">
        <v>1000890</v>
      </c>
      <c r="T63">
        <v>1000769701778</v>
      </c>
      <c r="U63">
        <v>1000890</v>
      </c>
      <c r="V63" t="s">
        <v>63</v>
      </c>
      <c r="W63">
        <v>7</v>
      </c>
      <c r="X63">
        <v>83149</v>
      </c>
      <c r="Y63">
        <v>1137119</v>
      </c>
      <c r="Z63">
        <v>1220268</v>
      </c>
      <c r="AA63">
        <v>1000890</v>
      </c>
      <c r="AB63">
        <v>14.675700000000001</v>
      </c>
      <c r="AC63">
        <v>0.88019800000000004</v>
      </c>
      <c r="AD63">
        <v>3.1092</v>
      </c>
      <c r="AE63">
        <v>24945568</v>
      </c>
      <c r="AF63" t="s">
        <v>472</v>
      </c>
      <c r="AG63" t="s">
        <v>473</v>
      </c>
      <c r="AI63">
        <v>596168</v>
      </c>
      <c r="AJ63">
        <v>2873121528784</v>
      </c>
      <c r="AK63">
        <v>9451970717</v>
      </c>
      <c r="AL63">
        <v>347541659169</v>
      </c>
      <c r="AM63">
        <v>12632557770</v>
      </c>
      <c r="AN63">
        <v>10459991920</v>
      </c>
      <c r="AO63">
        <v>4839830719</v>
      </c>
      <c r="AP63">
        <v>6513574209</v>
      </c>
      <c r="AQ63">
        <v>0</v>
      </c>
      <c r="AR63">
        <v>65785981</v>
      </c>
      <c r="AS63">
        <v>6513574209</v>
      </c>
      <c r="AT63">
        <v>6579360190</v>
      </c>
      <c r="AU63">
        <v>108559570</v>
      </c>
      <c r="AV63">
        <v>0</v>
      </c>
      <c r="AW63">
        <v>1096433</v>
      </c>
      <c r="AX63">
        <v>108559570</v>
      </c>
      <c r="AY63">
        <v>109656003</v>
      </c>
      <c r="AZ63">
        <v>8.2389799999999997</v>
      </c>
      <c r="BA63">
        <v>0.104073</v>
      </c>
      <c r="BB63">
        <v>1212.24</v>
      </c>
      <c r="BC63">
        <v>362.89800000000002</v>
      </c>
      <c r="BD63">
        <v>1577</v>
      </c>
      <c r="BE63">
        <v>33</v>
      </c>
      <c r="BF63">
        <f t="shared" ref="BF63:BF123" si="19">AJ63/1000000000/$N63</f>
        <v>59.856698516333331</v>
      </c>
      <c r="BG63" s="31">
        <f t="shared" ref="BG63:BG123" si="20">SUM(AK63:AO63)/1000000000/$N63</f>
        <v>8.0192918811458345</v>
      </c>
      <c r="BH63">
        <f t="shared" ref="BH63:BH123" si="21">getFieldL($AG63,0)</f>
        <v>131</v>
      </c>
      <c r="BI63">
        <f t="shared" ref="BI63:BI123" si="22">getFieldL($AG63,1)</f>
        <v>129403</v>
      </c>
      <c r="BJ63">
        <f t="shared" ref="BJ63:BJ123" si="23">getFieldL($AG63,2)</f>
        <v>1231047</v>
      </c>
      <c r="BK63">
        <f t="shared" ref="BK63:BK123" si="24">getFieldL($AG63,3)</f>
        <v>1791060</v>
      </c>
      <c r="BL63">
        <f t="shared" ref="BL63:BL123" si="25">getFieldL($AG63,4)</f>
        <v>0</v>
      </c>
      <c r="BM63">
        <f t="shared" ref="BM63:BM123" si="26">getFieldL($AG63,5)</f>
        <v>0</v>
      </c>
      <c r="BN63" t="str">
        <f t="shared" si="17"/>
        <v>u=1%, k=2x10^6</v>
      </c>
      <c r="BO63" t="str">
        <f t="shared" si="18"/>
        <v>u=1%, k=2x10^6, sequential</v>
      </c>
      <c r="BP63">
        <f t="shared" ref="BP63:BP123" si="27">AK63/1000000000/$N63</f>
        <v>0.19691605660416667</v>
      </c>
      <c r="BQ63">
        <f t="shared" si="13"/>
        <v>7.2404512326875006</v>
      </c>
      <c r="BR63">
        <f t="shared" si="14"/>
        <v>0.263178286875</v>
      </c>
      <c r="BS63">
        <f t="shared" si="15"/>
        <v>0.21791649833333335</v>
      </c>
      <c r="BT63">
        <f t="shared" si="16"/>
        <v>0.10082980664583334</v>
      </c>
      <c r="BU63">
        <f t="shared" ref="BU63:BU123" si="28">BF63-SUM(BP63:BT63)</f>
        <v>51.837406635187499</v>
      </c>
    </row>
    <row r="64" spans="1:73">
      <c r="A64" t="s">
        <v>160</v>
      </c>
      <c r="B64" t="s">
        <v>136</v>
      </c>
      <c r="C64">
        <v>72</v>
      </c>
      <c r="D64" t="s">
        <v>56</v>
      </c>
      <c r="E64" t="s">
        <v>53</v>
      </c>
      <c r="F64" t="s">
        <v>54</v>
      </c>
      <c r="G64">
        <v>60000</v>
      </c>
      <c r="H64">
        <v>0.5</v>
      </c>
      <c r="I64">
        <v>0.5</v>
      </c>
      <c r="J64">
        <v>0</v>
      </c>
      <c r="K64">
        <v>1</v>
      </c>
      <c r="L64">
        <v>2000000</v>
      </c>
      <c r="M64">
        <v>96</v>
      </c>
      <c r="N64">
        <v>96</v>
      </c>
      <c r="O64">
        <v>96</v>
      </c>
      <c r="P64">
        <v>0</v>
      </c>
      <c r="Q64" t="s">
        <v>55</v>
      </c>
      <c r="R64">
        <v>1000118517312</v>
      </c>
      <c r="S64">
        <v>1000528</v>
      </c>
      <c r="T64">
        <v>1000118517312</v>
      </c>
      <c r="U64">
        <v>1000528</v>
      </c>
      <c r="V64" t="s">
        <v>63</v>
      </c>
      <c r="W64">
        <v>6</v>
      </c>
      <c r="X64">
        <v>33060</v>
      </c>
      <c r="Y64">
        <v>1032612</v>
      </c>
      <c r="Z64">
        <v>1065672</v>
      </c>
      <c r="AA64">
        <v>1000528</v>
      </c>
      <c r="AB64">
        <v>32.234499999999997</v>
      </c>
      <c r="AC64">
        <v>0.96892900000000004</v>
      </c>
      <c r="AD64">
        <v>3.0000499999999999</v>
      </c>
      <c r="AE64">
        <v>19166576</v>
      </c>
      <c r="AF64" t="s">
        <v>474</v>
      </c>
      <c r="AG64" t="s">
        <v>475</v>
      </c>
      <c r="AI64">
        <v>254344</v>
      </c>
      <c r="AJ64">
        <v>5751310691220</v>
      </c>
      <c r="AK64">
        <v>29403380691</v>
      </c>
      <c r="AL64">
        <v>1282416639861</v>
      </c>
      <c r="AM64">
        <v>28057220916</v>
      </c>
      <c r="AN64">
        <v>16925153397</v>
      </c>
      <c r="AO64">
        <v>8581668510</v>
      </c>
      <c r="AP64">
        <v>11033461871</v>
      </c>
      <c r="AQ64">
        <v>0</v>
      </c>
      <c r="AR64">
        <v>111447483</v>
      </c>
      <c r="AS64">
        <v>11033461871</v>
      </c>
      <c r="AT64">
        <v>11144909354</v>
      </c>
      <c r="AU64">
        <v>183891031</v>
      </c>
      <c r="AV64">
        <v>0</v>
      </c>
      <c r="AW64">
        <v>1857458</v>
      </c>
      <c r="AX64">
        <v>183891031</v>
      </c>
      <c r="AY64">
        <v>185748489</v>
      </c>
      <c r="AZ64">
        <v>8.2376799999999992</v>
      </c>
      <c r="BA64">
        <v>0.233931</v>
      </c>
      <c r="BB64">
        <v>1432.12</v>
      </c>
      <c r="BC64">
        <v>382.60899999999998</v>
      </c>
      <c r="BD64">
        <v>2124</v>
      </c>
      <c r="BE64">
        <v>151</v>
      </c>
      <c r="BF64">
        <f t="shared" si="19"/>
        <v>59.909486366875001</v>
      </c>
      <c r="BG64" s="31">
        <f t="shared" si="20"/>
        <v>14.222750660156251</v>
      </c>
      <c r="BH64">
        <f t="shared" si="21"/>
        <v>223</v>
      </c>
      <c r="BI64">
        <f t="shared" si="22"/>
        <v>349653</v>
      </c>
      <c r="BJ64">
        <f t="shared" si="23"/>
        <v>605491</v>
      </c>
      <c r="BK64">
        <f t="shared" si="24"/>
        <v>2576030</v>
      </c>
      <c r="BL64">
        <f t="shared" si="25"/>
        <v>0</v>
      </c>
      <c r="BM64">
        <f t="shared" si="26"/>
        <v>0</v>
      </c>
      <c r="BN64" t="str">
        <f t="shared" si="17"/>
        <v>u=1%, k=2x10^6</v>
      </c>
      <c r="BO64" t="str">
        <f t="shared" si="18"/>
        <v>u=1%, k=2x10^6, sequential</v>
      </c>
      <c r="BP64">
        <f t="shared" si="27"/>
        <v>0.30628521553124999</v>
      </c>
      <c r="BQ64">
        <f t="shared" si="13"/>
        <v>13.35850666521875</v>
      </c>
      <c r="BR64">
        <f t="shared" si="14"/>
        <v>0.29226271787499997</v>
      </c>
      <c r="BS64">
        <f t="shared" si="15"/>
        <v>0.17630368121874998</v>
      </c>
      <c r="BT64">
        <f t="shared" si="16"/>
        <v>8.9392380312500005E-2</v>
      </c>
      <c r="BU64">
        <f t="shared" si="28"/>
        <v>45.68673570671875</v>
      </c>
    </row>
    <row r="65" spans="1:73">
      <c r="A65" t="s">
        <v>161</v>
      </c>
      <c r="B65" t="s">
        <v>136</v>
      </c>
      <c r="C65">
        <v>72</v>
      </c>
      <c r="D65" t="s">
        <v>56</v>
      </c>
      <c r="E65" t="s">
        <v>53</v>
      </c>
      <c r="F65" t="s">
        <v>54</v>
      </c>
      <c r="G65">
        <v>60000</v>
      </c>
      <c r="H65">
        <v>0.5</v>
      </c>
      <c r="I65">
        <v>0.5</v>
      </c>
      <c r="J65">
        <v>0</v>
      </c>
      <c r="K65">
        <v>1</v>
      </c>
      <c r="L65">
        <v>2000000</v>
      </c>
      <c r="M65">
        <v>144</v>
      </c>
      <c r="N65">
        <v>144</v>
      </c>
      <c r="O65">
        <v>144</v>
      </c>
      <c r="P65">
        <v>0</v>
      </c>
      <c r="Q65" t="s">
        <v>55</v>
      </c>
      <c r="R65">
        <v>999940540337</v>
      </c>
      <c r="S65">
        <v>1000778</v>
      </c>
      <c r="T65">
        <v>999940540337</v>
      </c>
      <c r="U65">
        <v>1000778</v>
      </c>
      <c r="V65" t="s">
        <v>63</v>
      </c>
      <c r="W65">
        <v>6</v>
      </c>
      <c r="X65">
        <v>51076</v>
      </c>
      <c r="Y65">
        <v>1069430</v>
      </c>
      <c r="Z65">
        <v>1120506</v>
      </c>
      <c r="AA65">
        <v>1000778</v>
      </c>
      <c r="AB65">
        <v>21.937999999999999</v>
      </c>
      <c r="AC65">
        <v>0.935805</v>
      </c>
      <c r="AD65">
        <v>3.0376799999999999</v>
      </c>
      <c r="AE65">
        <v>21214560</v>
      </c>
      <c r="AF65" t="s">
        <v>476</v>
      </c>
      <c r="AG65" t="s">
        <v>477</v>
      </c>
      <c r="AI65">
        <v>146734</v>
      </c>
      <c r="AJ65">
        <v>8619366375495</v>
      </c>
      <c r="AK65">
        <v>51970604018</v>
      </c>
      <c r="AL65">
        <v>2659418347039</v>
      </c>
      <c r="AM65">
        <v>50792004834</v>
      </c>
      <c r="AN65">
        <v>22353174801</v>
      </c>
      <c r="AO65">
        <v>14376501302</v>
      </c>
      <c r="AP65">
        <v>14209883025</v>
      </c>
      <c r="AQ65">
        <v>0</v>
      </c>
      <c r="AR65">
        <v>143536605</v>
      </c>
      <c r="AS65">
        <v>14209883025</v>
      </c>
      <c r="AT65">
        <v>14353419630</v>
      </c>
      <c r="AU65">
        <v>236831383</v>
      </c>
      <c r="AV65">
        <v>0</v>
      </c>
      <c r="AW65">
        <v>2392276</v>
      </c>
      <c r="AX65">
        <v>236831383</v>
      </c>
      <c r="AY65">
        <v>239223660</v>
      </c>
      <c r="AZ65">
        <v>8.5047300000000003</v>
      </c>
      <c r="BA65">
        <v>0.33583400000000002</v>
      </c>
      <c r="BB65">
        <v>1644.59</v>
      </c>
      <c r="BC65">
        <v>400.74299999999999</v>
      </c>
      <c r="BD65">
        <v>2831</v>
      </c>
      <c r="BE65">
        <v>250</v>
      </c>
      <c r="BF65">
        <f t="shared" si="19"/>
        <v>59.856710940937496</v>
      </c>
      <c r="BG65" s="31">
        <f t="shared" si="20"/>
        <v>19.436879388847224</v>
      </c>
      <c r="BH65">
        <f t="shared" si="21"/>
        <v>287</v>
      </c>
      <c r="BI65">
        <f t="shared" si="22"/>
        <v>836607</v>
      </c>
      <c r="BJ65">
        <f t="shared" si="23"/>
        <v>149954</v>
      </c>
      <c r="BK65">
        <f t="shared" si="24"/>
        <v>2331042</v>
      </c>
      <c r="BL65">
        <f t="shared" si="25"/>
        <v>0</v>
      </c>
      <c r="BM65">
        <f t="shared" si="26"/>
        <v>0</v>
      </c>
      <c r="BN65" t="str">
        <f t="shared" si="17"/>
        <v>u=1%, k=2x10^6</v>
      </c>
      <c r="BO65" t="str">
        <f t="shared" si="18"/>
        <v>u=1%, k=2x10^6, sequential</v>
      </c>
      <c r="BP65">
        <f t="shared" si="27"/>
        <v>0.36090697234722224</v>
      </c>
      <c r="BQ65">
        <f t="shared" si="13"/>
        <v>18.46818296554861</v>
      </c>
      <c r="BR65">
        <f t="shared" si="14"/>
        <v>0.35272225579166666</v>
      </c>
      <c r="BS65">
        <f t="shared" si="15"/>
        <v>0.15523038056250002</v>
      </c>
      <c r="BT65">
        <f t="shared" si="16"/>
        <v>9.9836814597222212E-2</v>
      </c>
      <c r="BU65">
        <f t="shared" si="28"/>
        <v>40.419831552090272</v>
      </c>
    </row>
    <row r="66" spans="1:73">
      <c r="A66" t="s">
        <v>162</v>
      </c>
      <c r="B66" t="s">
        <v>136</v>
      </c>
      <c r="C66">
        <v>72</v>
      </c>
      <c r="D66" t="s">
        <v>56</v>
      </c>
      <c r="E66" t="s">
        <v>53</v>
      </c>
      <c r="F66" t="s">
        <v>54</v>
      </c>
      <c r="G66">
        <v>60000</v>
      </c>
      <c r="H66">
        <v>0.5</v>
      </c>
      <c r="I66">
        <v>0.5</v>
      </c>
      <c r="J66">
        <v>0</v>
      </c>
      <c r="K66">
        <v>1</v>
      </c>
      <c r="L66">
        <v>2000000</v>
      </c>
      <c r="M66">
        <v>190</v>
      </c>
      <c r="N66">
        <v>190</v>
      </c>
      <c r="O66">
        <v>190</v>
      </c>
      <c r="P66">
        <v>0</v>
      </c>
      <c r="Q66" t="s">
        <v>55</v>
      </c>
      <c r="R66">
        <v>1000940993959</v>
      </c>
      <c r="S66">
        <v>1000394</v>
      </c>
      <c r="T66">
        <v>1000940993959</v>
      </c>
      <c r="U66">
        <v>1000394</v>
      </c>
      <c r="V66" t="s">
        <v>63</v>
      </c>
      <c r="W66">
        <v>6</v>
      </c>
      <c r="X66">
        <v>54677</v>
      </c>
      <c r="Y66">
        <v>1076541</v>
      </c>
      <c r="Z66">
        <v>1131218</v>
      </c>
      <c r="AA66">
        <v>1000394</v>
      </c>
      <c r="AB66">
        <v>20.6891</v>
      </c>
      <c r="AC66">
        <v>0.92926699999999995</v>
      </c>
      <c r="AD66">
        <v>3.04542</v>
      </c>
      <c r="AE66">
        <v>21621584</v>
      </c>
      <c r="AF66" t="s">
        <v>478</v>
      </c>
      <c r="AG66" t="s">
        <v>479</v>
      </c>
      <c r="AI66">
        <v>120698</v>
      </c>
      <c r="AJ66">
        <v>11372789358217</v>
      </c>
      <c r="AK66">
        <v>63033762140</v>
      </c>
      <c r="AL66">
        <v>3913529403314</v>
      </c>
      <c r="AM66">
        <v>55232928256</v>
      </c>
      <c r="AN66">
        <v>28873313413</v>
      </c>
      <c r="AO66">
        <v>15537305669</v>
      </c>
      <c r="AP66">
        <v>17591448571</v>
      </c>
      <c r="AQ66">
        <v>0</v>
      </c>
      <c r="AR66">
        <v>177693255</v>
      </c>
      <c r="AS66">
        <v>17591448571</v>
      </c>
      <c r="AT66">
        <v>17769141826</v>
      </c>
      <c r="AU66">
        <v>293190809</v>
      </c>
      <c r="AV66">
        <v>0</v>
      </c>
      <c r="AW66">
        <v>2961554</v>
      </c>
      <c r="AX66">
        <v>293190809</v>
      </c>
      <c r="AY66">
        <v>296152363</v>
      </c>
      <c r="AZ66">
        <v>8.5404900000000001</v>
      </c>
      <c r="BA66">
        <v>0.39095299999999999</v>
      </c>
      <c r="BB66">
        <v>1757.99</v>
      </c>
      <c r="BC66">
        <v>411.048</v>
      </c>
      <c r="BD66">
        <v>2745</v>
      </c>
      <c r="BE66">
        <v>332</v>
      </c>
      <c r="BF66">
        <f t="shared" si="19"/>
        <v>59.856786095878945</v>
      </c>
      <c r="BG66" s="31">
        <f t="shared" si="20"/>
        <v>21.453719541010525</v>
      </c>
      <c r="BH66">
        <f t="shared" si="21"/>
        <v>355</v>
      </c>
      <c r="BI66">
        <f t="shared" si="22"/>
        <v>833520</v>
      </c>
      <c r="BJ66">
        <f t="shared" si="23"/>
        <v>405569</v>
      </c>
      <c r="BK66">
        <f t="shared" si="24"/>
        <v>3338111</v>
      </c>
      <c r="BL66">
        <f t="shared" si="25"/>
        <v>0</v>
      </c>
      <c r="BM66">
        <f t="shared" si="26"/>
        <v>0</v>
      </c>
      <c r="BN66" t="str">
        <f t="shared" si="17"/>
        <v>u=1%, k=2x10^6</v>
      </c>
      <c r="BO66" t="str">
        <f t="shared" si="18"/>
        <v>u=1%, k=2x10^6, sequential</v>
      </c>
      <c r="BP66">
        <f t="shared" si="27"/>
        <v>0.33175664284210526</v>
      </c>
      <c r="BQ66">
        <f t="shared" si="13"/>
        <v>20.597523175336843</v>
      </c>
      <c r="BR66">
        <f t="shared" si="14"/>
        <v>0.29069962240000002</v>
      </c>
      <c r="BS66">
        <f t="shared" si="15"/>
        <v>0.15196480743684213</v>
      </c>
      <c r="BT66">
        <f t="shared" si="16"/>
        <v>8.1775292994736848E-2</v>
      </c>
      <c r="BU66">
        <f t="shared" si="28"/>
        <v>38.403066554868417</v>
      </c>
    </row>
    <row r="67" spans="1:73">
      <c r="A67" t="s">
        <v>163</v>
      </c>
      <c r="B67" t="s">
        <v>136</v>
      </c>
      <c r="C67">
        <v>72</v>
      </c>
      <c r="D67" t="s">
        <v>56</v>
      </c>
      <c r="E67" t="s">
        <v>53</v>
      </c>
      <c r="F67" t="s">
        <v>54</v>
      </c>
      <c r="G67">
        <v>60000</v>
      </c>
      <c r="H67">
        <v>0.5</v>
      </c>
      <c r="I67">
        <v>0.5</v>
      </c>
      <c r="J67">
        <v>0</v>
      </c>
      <c r="K67">
        <v>1</v>
      </c>
      <c r="L67">
        <v>20000000</v>
      </c>
      <c r="M67">
        <v>24</v>
      </c>
      <c r="N67">
        <v>24</v>
      </c>
      <c r="O67">
        <v>24</v>
      </c>
      <c r="P67">
        <v>0</v>
      </c>
      <c r="Q67" t="s">
        <v>55</v>
      </c>
      <c r="R67">
        <v>99984156365097</v>
      </c>
      <c r="S67">
        <v>9996873</v>
      </c>
      <c r="T67">
        <v>99984156365097</v>
      </c>
      <c r="U67">
        <v>9996873</v>
      </c>
      <c r="V67" t="s">
        <v>63</v>
      </c>
      <c r="W67">
        <v>7</v>
      </c>
      <c r="X67">
        <v>1703625</v>
      </c>
      <c r="Y67">
        <v>11607873</v>
      </c>
      <c r="Z67">
        <v>13311498</v>
      </c>
      <c r="AA67">
        <v>9996873</v>
      </c>
      <c r="AB67">
        <v>7.8136299999999999</v>
      </c>
      <c r="AC67">
        <v>0.86121499999999995</v>
      </c>
      <c r="AD67">
        <v>4.0158899999999997</v>
      </c>
      <c r="AE67">
        <v>322022960</v>
      </c>
      <c r="AF67" t="s">
        <v>480</v>
      </c>
      <c r="AG67" t="s">
        <v>481</v>
      </c>
      <c r="AI67">
        <v>716836</v>
      </c>
      <c r="AJ67">
        <v>1436561030889</v>
      </c>
      <c r="AK67">
        <v>5082620150</v>
      </c>
      <c r="AL67">
        <v>62471427012</v>
      </c>
      <c r="AM67">
        <v>7159089437</v>
      </c>
      <c r="AN67">
        <v>5025667056</v>
      </c>
      <c r="AO67">
        <v>1770840850</v>
      </c>
      <c r="AP67">
        <v>1975970546</v>
      </c>
      <c r="AQ67">
        <v>0</v>
      </c>
      <c r="AR67">
        <v>19966015</v>
      </c>
      <c r="AS67">
        <v>1975970546</v>
      </c>
      <c r="AT67">
        <v>1995936561</v>
      </c>
      <c r="AU67">
        <v>32932842</v>
      </c>
      <c r="AV67">
        <v>0</v>
      </c>
      <c r="AW67">
        <v>332766</v>
      </c>
      <c r="AX67">
        <v>32932842</v>
      </c>
      <c r="AY67">
        <v>33265609</v>
      </c>
      <c r="AZ67">
        <v>16.114799999999999</v>
      </c>
      <c r="BA67">
        <v>5.88443</v>
      </c>
      <c r="BB67">
        <v>2010.05</v>
      </c>
      <c r="BC67">
        <v>1236.2</v>
      </c>
      <c r="BD67">
        <v>2662</v>
      </c>
      <c r="BE67">
        <v>177</v>
      </c>
      <c r="BF67">
        <f t="shared" si="19"/>
        <v>59.856709620375</v>
      </c>
      <c r="BG67" s="31">
        <f t="shared" si="20"/>
        <v>3.3962351877083332</v>
      </c>
      <c r="BH67">
        <f t="shared" si="21"/>
        <v>3</v>
      </c>
      <c r="BI67">
        <f t="shared" si="22"/>
        <v>11085</v>
      </c>
      <c r="BJ67">
        <f t="shared" si="23"/>
        <v>320851</v>
      </c>
      <c r="BK67">
        <f t="shared" si="24"/>
        <v>2923321</v>
      </c>
      <c r="BL67">
        <f t="shared" si="25"/>
        <v>9834</v>
      </c>
      <c r="BM67">
        <f t="shared" si="26"/>
        <v>0</v>
      </c>
      <c r="BN67" t="str">
        <f t="shared" si="17"/>
        <v>u=1%, k=2x10^7</v>
      </c>
      <c r="BO67" t="str">
        <f t="shared" si="18"/>
        <v>u=1%, k=2x10^7, sequential</v>
      </c>
      <c r="BP67">
        <f t="shared" si="27"/>
        <v>0.21177583958333335</v>
      </c>
      <c r="BQ67">
        <f t="shared" si="13"/>
        <v>2.6029761255000001</v>
      </c>
      <c r="BR67">
        <f t="shared" si="14"/>
        <v>0.29829539320833337</v>
      </c>
      <c r="BS67">
        <f t="shared" si="15"/>
        <v>0.20940279399999998</v>
      </c>
      <c r="BT67">
        <f t="shared" si="16"/>
        <v>7.3785035416666658E-2</v>
      </c>
      <c r="BU67">
        <f t="shared" si="28"/>
        <v>56.460474432666665</v>
      </c>
    </row>
    <row r="68" spans="1:73">
      <c r="A68" t="s">
        <v>164</v>
      </c>
      <c r="B68" t="s">
        <v>136</v>
      </c>
      <c r="C68">
        <v>72</v>
      </c>
      <c r="D68" t="s">
        <v>56</v>
      </c>
      <c r="E68" t="s">
        <v>53</v>
      </c>
      <c r="F68" t="s">
        <v>54</v>
      </c>
      <c r="G68">
        <v>60000</v>
      </c>
      <c r="H68">
        <v>0.5</v>
      </c>
      <c r="I68">
        <v>0.5</v>
      </c>
      <c r="J68">
        <v>0</v>
      </c>
      <c r="K68">
        <v>1</v>
      </c>
      <c r="L68">
        <v>20000000</v>
      </c>
      <c r="M68">
        <v>48</v>
      </c>
      <c r="N68">
        <v>48</v>
      </c>
      <c r="O68">
        <v>48</v>
      </c>
      <c r="P68">
        <v>0</v>
      </c>
      <c r="Q68" t="s">
        <v>55</v>
      </c>
      <c r="R68">
        <v>100013366553398</v>
      </c>
      <c r="S68">
        <v>10001206</v>
      </c>
      <c r="T68">
        <v>100013366553398</v>
      </c>
      <c r="U68">
        <v>10001206</v>
      </c>
      <c r="V68" t="s">
        <v>63</v>
      </c>
      <c r="W68">
        <v>7</v>
      </c>
      <c r="X68">
        <v>1907456</v>
      </c>
      <c r="Y68">
        <v>12037904</v>
      </c>
      <c r="Z68">
        <v>13945360</v>
      </c>
      <c r="AA68">
        <v>10001206</v>
      </c>
      <c r="AB68">
        <v>7.3109700000000002</v>
      </c>
      <c r="AC68">
        <v>0.83081000000000005</v>
      </c>
      <c r="AD68">
        <v>4.0562100000000001</v>
      </c>
      <c r="AE68">
        <v>345238480</v>
      </c>
      <c r="AF68" t="s">
        <v>482</v>
      </c>
      <c r="AG68" t="s">
        <v>483</v>
      </c>
      <c r="AI68">
        <v>284434</v>
      </c>
      <c r="AJ68">
        <v>2873122086599</v>
      </c>
      <c r="AK68">
        <v>10952003195</v>
      </c>
      <c r="AL68">
        <v>293761101538</v>
      </c>
      <c r="AM68">
        <v>16574352223</v>
      </c>
      <c r="AN68">
        <v>11487522620</v>
      </c>
      <c r="AO68">
        <v>4606506079</v>
      </c>
      <c r="AP68">
        <v>3263314818</v>
      </c>
      <c r="AQ68">
        <v>0</v>
      </c>
      <c r="AR68">
        <v>32963671</v>
      </c>
      <c r="AS68">
        <v>3263314818</v>
      </c>
      <c r="AT68">
        <v>3296278489</v>
      </c>
      <c r="AU68">
        <v>54388580</v>
      </c>
      <c r="AV68">
        <v>0</v>
      </c>
      <c r="AW68">
        <v>549394</v>
      </c>
      <c r="AX68">
        <v>54388580</v>
      </c>
      <c r="AY68">
        <v>54937974</v>
      </c>
      <c r="AZ68">
        <v>16.0273</v>
      </c>
      <c r="BA68">
        <v>5.9777899999999997</v>
      </c>
      <c r="BB68">
        <v>2431.3000000000002</v>
      </c>
      <c r="BC68">
        <v>1492.23</v>
      </c>
      <c r="BD68">
        <v>2789</v>
      </c>
      <c r="BE68">
        <v>183</v>
      </c>
      <c r="BF68">
        <f t="shared" si="19"/>
        <v>59.856710137479162</v>
      </c>
      <c r="BG68" s="31">
        <f t="shared" si="20"/>
        <v>7.0287809511458335</v>
      </c>
      <c r="BH68">
        <f t="shared" si="21"/>
        <v>6</v>
      </c>
      <c r="BI68">
        <f t="shared" si="22"/>
        <v>18673</v>
      </c>
      <c r="BJ68">
        <f t="shared" si="23"/>
        <v>416735</v>
      </c>
      <c r="BK68">
        <f t="shared" si="24"/>
        <v>4684917</v>
      </c>
      <c r="BL68">
        <f t="shared" si="25"/>
        <v>14822</v>
      </c>
      <c r="BM68">
        <f t="shared" si="26"/>
        <v>0</v>
      </c>
      <c r="BN68" t="str">
        <f t="shared" si="17"/>
        <v>u=1%, k=2x10^7</v>
      </c>
      <c r="BO68" t="str">
        <f t="shared" si="18"/>
        <v>u=1%, k=2x10^7, sequential</v>
      </c>
      <c r="BP68">
        <f t="shared" si="27"/>
        <v>0.22816673322916667</v>
      </c>
      <c r="BQ68">
        <f t="shared" si="13"/>
        <v>6.1200229487083329</v>
      </c>
      <c r="BR68">
        <f t="shared" si="14"/>
        <v>0.34529900464583335</v>
      </c>
      <c r="BS68">
        <f t="shared" si="15"/>
        <v>0.23932338791666666</v>
      </c>
      <c r="BT68">
        <f t="shared" si="16"/>
        <v>9.5968876645833326E-2</v>
      </c>
      <c r="BU68">
        <f t="shared" si="28"/>
        <v>52.827929186333328</v>
      </c>
    </row>
    <row r="69" spans="1:73">
      <c r="A69" t="s">
        <v>165</v>
      </c>
      <c r="B69" t="s">
        <v>136</v>
      </c>
      <c r="C69">
        <v>72</v>
      </c>
      <c r="D69" t="s">
        <v>56</v>
      </c>
      <c r="E69" t="s">
        <v>53</v>
      </c>
      <c r="F69" t="s">
        <v>54</v>
      </c>
      <c r="G69">
        <v>60000</v>
      </c>
      <c r="H69">
        <v>0.5</v>
      </c>
      <c r="I69">
        <v>0.5</v>
      </c>
      <c r="J69">
        <v>0</v>
      </c>
      <c r="K69">
        <v>1</v>
      </c>
      <c r="L69">
        <v>20000000</v>
      </c>
      <c r="M69">
        <v>96</v>
      </c>
      <c r="N69">
        <v>96</v>
      </c>
      <c r="O69">
        <v>96</v>
      </c>
      <c r="P69">
        <v>0</v>
      </c>
      <c r="Q69" t="s">
        <v>55</v>
      </c>
      <c r="R69">
        <v>100017942623099</v>
      </c>
      <c r="S69">
        <v>10000874</v>
      </c>
      <c r="T69">
        <v>100017942623099</v>
      </c>
      <c r="U69">
        <v>10000874</v>
      </c>
      <c r="V69" t="s">
        <v>63</v>
      </c>
      <c r="W69">
        <v>7</v>
      </c>
      <c r="X69">
        <v>1904757</v>
      </c>
      <c r="Y69">
        <v>12035454</v>
      </c>
      <c r="Z69">
        <v>13940211</v>
      </c>
      <c r="AA69">
        <v>10000874</v>
      </c>
      <c r="AB69">
        <v>7.3186299999999997</v>
      </c>
      <c r="AC69">
        <v>0.830951</v>
      </c>
      <c r="AD69">
        <v>4.05558</v>
      </c>
      <c r="AE69">
        <v>344990400</v>
      </c>
      <c r="AF69" t="s">
        <v>484</v>
      </c>
      <c r="AG69" t="s">
        <v>485</v>
      </c>
      <c r="AI69">
        <v>135068</v>
      </c>
      <c r="AJ69">
        <v>5746244409577</v>
      </c>
      <c r="AK69">
        <v>22713891300</v>
      </c>
      <c r="AL69">
        <v>1195501802313</v>
      </c>
      <c r="AM69">
        <v>32586297427</v>
      </c>
      <c r="AN69">
        <v>35924137028</v>
      </c>
      <c r="AO69">
        <v>9535475696</v>
      </c>
      <c r="AP69">
        <v>6260115693</v>
      </c>
      <c r="AQ69">
        <v>0</v>
      </c>
      <c r="AR69">
        <v>63247013</v>
      </c>
      <c r="AS69">
        <v>6260115693</v>
      </c>
      <c r="AT69">
        <v>6323362706</v>
      </c>
      <c r="AU69">
        <v>104335261</v>
      </c>
      <c r="AV69">
        <v>0</v>
      </c>
      <c r="AW69">
        <v>1054116</v>
      </c>
      <c r="AX69">
        <v>104335261</v>
      </c>
      <c r="AY69">
        <v>105389378</v>
      </c>
      <c r="AZ69">
        <v>15.985200000000001</v>
      </c>
      <c r="BA69">
        <v>6.3826700000000001</v>
      </c>
      <c r="BB69">
        <v>2521.67</v>
      </c>
      <c r="BC69">
        <v>1243.69</v>
      </c>
      <c r="BD69">
        <v>3298</v>
      </c>
      <c r="BE69">
        <v>239</v>
      </c>
      <c r="BF69">
        <f t="shared" si="19"/>
        <v>59.856712599760414</v>
      </c>
      <c r="BG69" s="31">
        <f t="shared" si="20"/>
        <v>13.502725039208334</v>
      </c>
      <c r="BH69">
        <f t="shared" si="21"/>
        <v>12</v>
      </c>
      <c r="BI69">
        <f t="shared" si="22"/>
        <v>37953</v>
      </c>
      <c r="BJ69">
        <f t="shared" si="23"/>
        <v>567393</v>
      </c>
      <c r="BK69">
        <f t="shared" si="24"/>
        <v>8694214</v>
      </c>
      <c r="BL69">
        <f t="shared" si="25"/>
        <v>25127</v>
      </c>
      <c r="BM69">
        <f t="shared" si="26"/>
        <v>0</v>
      </c>
      <c r="BN69" t="str">
        <f t="shared" si="17"/>
        <v>u=1%, k=2x10^7</v>
      </c>
      <c r="BO69" t="str">
        <f t="shared" si="18"/>
        <v>u=1%, k=2x10^7, sequential</v>
      </c>
      <c r="BP69">
        <f t="shared" si="27"/>
        <v>0.23660303437499999</v>
      </c>
      <c r="BQ69">
        <f t="shared" si="13"/>
        <v>12.453143774093752</v>
      </c>
      <c r="BR69">
        <f t="shared" si="14"/>
        <v>0.33944059819791667</v>
      </c>
      <c r="BS69">
        <f t="shared" si="15"/>
        <v>0.37420976070833328</v>
      </c>
      <c r="BT69">
        <f t="shared" si="16"/>
        <v>9.9327871833333345E-2</v>
      </c>
      <c r="BU69">
        <f t="shared" si="28"/>
        <v>46.353987560552078</v>
      </c>
    </row>
    <row r="70" spans="1:73">
      <c r="A70" t="s">
        <v>166</v>
      </c>
      <c r="B70" t="s">
        <v>136</v>
      </c>
      <c r="C70">
        <v>72</v>
      </c>
      <c r="D70" t="s">
        <v>56</v>
      </c>
      <c r="E70" t="s">
        <v>53</v>
      </c>
      <c r="F70" t="s">
        <v>54</v>
      </c>
      <c r="G70">
        <v>60000</v>
      </c>
      <c r="H70">
        <v>0.5</v>
      </c>
      <c r="I70">
        <v>0.5</v>
      </c>
      <c r="J70">
        <v>0</v>
      </c>
      <c r="K70">
        <v>1</v>
      </c>
      <c r="L70">
        <v>20000000</v>
      </c>
      <c r="M70">
        <v>144</v>
      </c>
      <c r="N70">
        <v>144</v>
      </c>
      <c r="O70">
        <v>144</v>
      </c>
      <c r="P70">
        <v>0</v>
      </c>
      <c r="Q70" t="s">
        <v>55</v>
      </c>
      <c r="R70">
        <v>99927627517754</v>
      </c>
      <c r="S70">
        <v>9992151</v>
      </c>
      <c r="T70">
        <v>99927627517754</v>
      </c>
      <c r="U70">
        <v>9992151</v>
      </c>
      <c r="V70" t="s">
        <v>63</v>
      </c>
      <c r="W70">
        <v>7</v>
      </c>
      <c r="X70">
        <v>1898113</v>
      </c>
      <c r="Y70">
        <v>12004834</v>
      </c>
      <c r="Z70">
        <v>13902947</v>
      </c>
      <c r="AA70">
        <v>9992151</v>
      </c>
      <c r="AB70">
        <v>7.3246200000000004</v>
      </c>
      <c r="AC70">
        <v>0.83234399999999997</v>
      </c>
      <c r="AD70">
        <v>4.0547199999999997</v>
      </c>
      <c r="AE70">
        <v>343952064</v>
      </c>
      <c r="AF70" t="s">
        <v>486</v>
      </c>
      <c r="AG70" t="s">
        <v>487</v>
      </c>
      <c r="AI70">
        <v>80264</v>
      </c>
      <c r="AJ70">
        <v>8619658283280</v>
      </c>
      <c r="AK70">
        <v>30440256076</v>
      </c>
      <c r="AL70">
        <v>2559726281817</v>
      </c>
      <c r="AM70">
        <v>41439312584</v>
      </c>
      <c r="AN70">
        <v>76692718236</v>
      </c>
      <c r="AO70">
        <v>12858943359</v>
      </c>
      <c r="AP70">
        <v>8158795421</v>
      </c>
      <c r="AQ70">
        <v>0</v>
      </c>
      <c r="AR70">
        <v>82427824</v>
      </c>
      <c r="AS70">
        <v>8158795421</v>
      </c>
      <c r="AT70">
        <v>8241223245</v>
      </c>
      <c r="AU70">
        <v>135979923</v>
      </c>
      <c r="AV70">
        <v>0</v>
      </c>
      <c r="AW70">
        <v>1373797</v>
      </c>
      <c r="AX70">
        <v>135979923</v>
      </c>
      <c r="AY70">
        <v>137353720</v>
      </c>
      <c r="AZ70">
        <v>16.0304</v>
      </c>
      <c r="BA70">
        <v>6.5119800000000003</v>
      </c>
      <c r="BB70">
        <v>2886.25</v>
      </c>
      <c r="BC70">
        <v>1250.71</v>
      </c>
      <c r="BD70">
        <v>3556</v>
      </c>
      <c r="BE70">
        <v>324</v>
      </c>
      <c r="BF70">
        <f t="shared" si="19"/>
        <v>59.858738078333332</v>
      </c>
      <c r="BG70" s="31">
        <f t="shared" si="20"/>
        <v>18.896927167166666</v>
      </c>
      <c r="BH70">
        <f t="shared" si="21"/>
        <v>16</v>
      </c>
      <c r="BI70">
        <f t="shared" si="22"/>
        <v>50607</v>
      </c>
      <c r="BJ70">
        <f t="shared" si="23"/>
        <v>424551</v>
      </c>
      <c r="BK70">
        <f t="shared" si="24"/>
        <v>11020000</v>
      </c>
      <c r="BL70">
        <f t="shared" si="25"/>
        <v>27259</v>
      </c>
      <c r="BM70">
        <f t="shared" si="26"/>
        <v>0</v>
      </c>
      <c r="BN70" t="str">
        <f t="shared" si="17"/>
        <v>u=1%, k=2x10^7</v>
      </c>
      <c r="BO70" t="str">
        <f t="shared" si="18"/>
        <v>u=1%, k=2x10^7, sequential</v>
      </c>
      <c r="BP70">
        <f t="shared" si="27"/>
        <v>0.21139066719444444</v>
      </c>
      <c r="BQ70">
        <f t="shared" si="13"/>
        <v>17.775876957062501</v>
      </c>
      <c r="BR70">
        <f t="shared" si="14"/>
        <v>0.28777300405555556</v>
      </c>
      <c r="BS70">
        <f t="shared" si="15"/>
        <v>0.53258832108333332</v>
      </c>
      <c r="BT70">
        <f t="shared" si="16"/>
        <v>8.9298217770833327E-2</v>
      </c>
      <c r="BU70">
        <f t="shared" si="28"/>
        <v>40.961810911166666</v>
      </c>
    </row>
    <row r="71" spans="1:73">
      <c r="A71" t="s">
        <v>167</v>
      </c>
      <c r="B71" t="s">
        <v>136</v>
      </c>
      <c r="C71">
        <v>72</v>
      </c>
      <c r="D71" t="s">
        <v>56</v>
      </c>
      <c r="E71" t="s">
        <v>53</v>
      </c>
      <c r="F71" t="s">
        <v>54</v>
      </c>
      <c r="G71">
        <v>60000</v>
      </c>
      <c r="H71">
        <v>0.5</v>
      </c>
      <c r="I71">
        <v>0.5</v>
      </c>
      <c r="J71">
        <v>0</v>
      </c>
      <c r="K71">
        <v>1</v>
      </c>
      <c r="L71">
        <v>20000000</v>
      </c>
      <c r="M71">
        <v>190</v>
      </c>
      <c r="N71">
        <v>190</v>
      </c>
      <c r="O71">
        <v>190</v>
      </c>
      <c r="P71">
        <v>0</v>
      </c>
      <c r="Q71" t="s">
        <v>55</v>
      </c>
      <c r="R71">
        <v>100005829864427</v>
      </c>
      <c r="S71">
        <v>10000513</v>
      </c>
      <c r="T71">
        <v>100005829864427</v>
      </c>
      <c r="U71">
        <v>10000513</v>
      </c>
      <c r="V71" t="s">
        <v>63</v>
      </c>
      <c r="W71">
        <v>7</v>
      </c>
      <c r="X71">
        <v>1774116</v>
      </c>
      <c r="Y71">
        <v>11744745</v>
      </c>
      <c r="Z71">
        <v>13518861</v>
      </c>
      <c r="AA71">
        <v>10000513</v>
      </c>
      <c r="AB71">
        <v>7.62005</v>
      </c>
      <c r="AC71">
        <v>0.85148800000000002</v>
      </c>
      <c r="AD71">
        <v>4.0296799999999999</v>
      </c>
      <c r="AE71">
        <v>329846704</v>
      </c>
      <c r="AF71" t="s">
        <v>488</v>
      </c>
      <c r="AG71" t="s">
        <v>489</v>
      </c>
      <c r="AI71">
        <v>60914</v>
      </c>
      <c r="AJ71">
        <v>11373080244637</v>
      </c>
      <c r="AK71">
        <v>39595689360</v>
      </c>
      <c r="AL71">
        <v>3905000094869</v>
      </c>
      <c r="AM71">
        <v>50487942237</v>
      </c>
      <c r="AN71">
        <v>131610427157</v>
      </c>
      <c r="AO71">
        <v>15854543849</v>
      </c>
      <c r="AP71">
        <v>9976978274</v>
      </c>
      <c r="AQ71">
        <v>0</v>
      </c>
      <c r="AR71">
        <v>100789054</v>
      </c>
      <c r="AS71">
        <v>9976978274</v>
      </c>
      <c r="AT71">
        <v>10077767328</v>
      </c>
      <c r="AU71">
        <v>166282971</v>
      </c>
      <c r="AV71">
        <v>0</v>
      </c>
      <c r="AW71">
        <v>1679817</v>
      </c>
      <c r="AX71">
        <v>166282971</v>
      </c>
      <c r="AY71">
        <v>167962788</v>
      </c>
      <c r="AZ71">
        <v>16.086099999999998</v>
      </c>
      <c r="BA71">
        <v>6.6003499999999997</v>
      </c>
      <c r="BB71">
        <v>3107.82</v>
      </c>
      <c r="BC71">
        <v>1246.3900000000001</v>
      </c>
      <c r="BD71">
        <v>4044</v>
      </c>
      <c r="BE71">
        <v>412</v>
      </c>
      <c r="BF71">
        <f t="shared" si="19"/>
        <v>59.858317077036844</v>
      </c>
      <c r="BG71" s="31">
        <f t="shared" si="20"/>
        <v>21.802887881431577</v>
      </c>
      <c r="BH71">
        <f t="shared" si="21"/>
        <v>20</v>
      </c>
      <c r="BI71">
        <f t="shared" si="22"/>
        <v>63257</v>
      </c>
      <c r="BJ71">
        <f t="shared" si="23"/>
        <v>533017</v>
      </c>
      <c r="BK71">
        <f t="shared" si="24"/>
        <v>13432159</v>
      </c>
      <c r="BL71">
        <f t="shared" si="25"/>
        <v>33595</v>
      </c>
      <c r="BM71">
        <f t="shared" si="26"/>
        <v>0</v>
      </c>
      <c r="BN71" t="str">
        <f t="shared" si="17"/>
        <v>u=1%, k=2x10^7</v>
      </c>
      <c r="BO71" t="str">
        <f t="shared" si="18"/>
        <v>u=1%, k=2x10^7, sequential</v>
      </c>
      <c r="BP71">
        <f t="shared" si="27"/>
        <v>0.2083983650526316</v>
      </c>
      <c r="BQ71">
        <f t="shared" si="13"/>
        <v>20.552632078257894</v>
      </c>
      <c r="BR71">
        <f t="shared" si="14"/>
        <v>0.26572601177368421</v>
      </c>
      <c r="BS71">
        <f t="shared" si="15"/>
        <v>0.69268645872105261</v>
      </c>
      <c r="BT71">
        <f t="shared" si="16"/>
        <v>8.3444967626315786E-2</v>
      </c>
      <c r="BU71">
        <f t="shared" si="28"/>
        <v>38.055429195605271</v>
      </c>
    </row>
    <row r="72" spans="1:73">
      <c r="A72" t="s">
        <v>168</v>
      </c>
      <c r="B72" t="s">
        <v>136</v>
      </c>
      <c r="C72">
        <v>72</v>
      </c>
      <c r="D72" t="s">
        <v>56</v>
      </c>
      <c r="E72" t="s">
        <v>53</v>
      </c>
      <c r="F72" t="s">
        <v>54</v>
      </c>
      <c r="G72">
        <v>60000</v>
      </c>
      <c r="H72">
        <v>0.5</v>
      </c>
      <c r="I72">
        <v>0.5</v>
      </c>
      <c r="J72">
        <v>0</v>
      </c>
      <c r="K72">
        <v>1</v>
      </c>
      <c r="L72">
        <v>200000000</v>
      </c>
      <c r="M72">
        <v>24</v>
      </c>
      <c r="N72">
        <v>24</v>
      </c>
      <c r="O72">
        <v>24</v>
      </c>
      <c r="P72">
        <v>0</v>
      </c>
      <c r="Q72" t="s">
        <v>55</v>
      </c>
      <c r="R72">
        <v>1.00007864416918E+16</v>
      </c>
      <c r="S72">
        <v>100001462</v>
      </c>
      <c r="T72">
        <v>1.00007864416918E+16</v>
      </c>
      <c r="U72">
        <v>100001462</v>
      </c>
      <c r="V72" t="s">
        <v>63</v>
      </c>
      <c r="W72">
        <v>7</v>
      </c>
      <c r="X72">
        <v>14109528</v>
      </c>
      <c r="Y72">
        <v>116376318</v>
      </c>
      <c r="Z72">
        <v>130485846</v>
      </c>
      <c r="AA72">
        <v>100001462</v>
      </c>
      <c r="AB72">
        <v>9.2480700000000002</v>
      </c>
      <c r="AC72">
        <v>0.859294</v>
      </c>
      <c r="AD72">
        <v>4.0641600000000002</v>
      </c>
      <c r="AE72">
        <v>2993211152</v>
      </c>
      <c r="AF72" t="s">
        <v>490</v>
      </c>
      <c r="AG72" t="s">
        <v>490</v>
      </c>
      <c r="AI72">
        <v>627772</v>
      </c>
      <c r="AJ72">
        <v>1436561104118</v>
      </c>
      <c r="AK72">
        <v>287298186</v>
      </c>
      <c r="AM72">
        <v>804304661</v>
      </c>
      <c r="AN72">
        <v>1700788488</v>
      </c>
      <c r="AO72">
        <v>109870119</v>
      </c>
      <c r="AP72">
        <v>1687603966</v>
      </c>
      <c r="AQ72">
        <v>0</v>
      </c>
      <c r="AR72">
        <v>17049755</v>
      </c>
      <c r="AS72">
        <v>1687603966</v>
      </c>
      <c r="AT72">
        <v>1704653721</v>
      </c>
      <c r="AU72">
        <v>28126732</v>
      </c>
      <c r="AV72">
        <v>0</v>
      </c>
      <c r="AW72">
        <v>284162</v>
      </c>
      <c r="AX72">
        <v>28126732</v>
      </c>
      <c r="AY72">
        <v>28410895</v>
      </c>
      <c r="AZ72">
        <v>18.945599999999999</v>
      </c>
      <c r="BA72">
        <v>8.2702100000000005</v>
      </c>
      <c r="BB72">
        <v>2355.42</v>
      </c>
      <c r="BC72">
        <v>1758.3</v>
      </c>
      <c r="BD72">
        <v>7481</v>
      </c>
      <c r="BE72">
        <v>1560</v>
      </c>
      <c r="BF72">
        <f t="shared" si="19"/>
        <v>59.856712671583331</v>
      </c>
      <c r="BG72" s="31">
        <f t="shared" si="20"/>
        <v>0.12092756058333333</v>
      </c>
      <c r="BH72">
        <f t="shared" si="21"/>
        <v>0</v>
      </c>
      <c r="BI72">
        <f t="shared" si="22"/>
        <v>0</v>
      </c>
      <c r="BJ72">
        <f t="shared" si="23"/>
        <v>5</v>
      </c>
      <c r="BK72">
        <f t="shared" si="24"/>
        <v>593841</v>
      </c>
      <c r="BL72">
        <f t="shared" si="25"/>
        <v>197841</v>
      </c>
      <c r="BM72">
        <f t="shared" si="26"/>
        <v>0</v>
      </c>
      <c r="BN72" t="str">
        <f t="shared" si="17"/>
        <v>u=1%, k=2x10^8</v>
      </c>
      <c r="BO72" t="str">
        <f t="shared" si="18"/>
        <v>u=1%, k=2x10^8, sequential</v>
      </c>
      <c r="BP72">
        <f t="shared" si="27"/>
        <v>1.197075775E-2</v>
      </c>
      <c r="BQ72">
        <f t="shared" si="13"/>
        <v>0</v>
      </c>
      <c r="BR72">
        <f t="shared" si="14"/>
        <v>3.3512694208333332E-2</v>
      </c>
      <c r="BS72">
        <f t="shared" si="15"/>
        <v>7.0866186999999997E-2</v>
      </c>
      <c r="BT72">
        <f t="shared" si="16"/>
        <v>4.5779216250000001E-3</v>
      </c>
      <c r="BU72">
        <f t="shared" si="28"/>
        <v>59.735785110999998</v>
      </c>
    </row>
    <row r="73" spans="1:73">
      <c r="A73" t="s">
        <v>169</v>
      </c>
      <c r="B73" t="s">
        <v>136</v>
      </c>
      <c r="C73">
        <v>72</v>
      </c>
      <c r="D73" t="s">
        <v>56</v>
      </c>
      <c r="E73" t="s">
        <v>53</v>
      </c>
      <c r="F73" t="s">
        <v>54</v>
      </c>
      <c r="G73">
        <v>60000</v>
      </c>
      <c r="H73">
        <v>0.5</v>
      </c>
      <c r="I73">
        <v>0.5</v>
      </c>
      <c r="J73">
        <v>0</v>
      </c>
      <c r="K73">
        <v>1</v>
      </c>
      <c r="L73">
        <v>200000000</v>
      </c>
      <c r="M73">
        <v>48</v>
      </c>
      <c r="N73">
        <v>48</v>
      </c>
      <c r="O73">
        <v>48</v>
      </c>
      <c r="P73">
        <v>0</v>
      </c>
      <c r="Q73" t="s">
        <v>55</v>
      </c>
      <c r="R73">
        <v>1.00009602802052E+16</v>
      </c>
      <c r="S73">
        <v>100004271</v>
      </c>
      <c r="T73">
        <v>1.00009602802052E+16</v>
      </c>
      <c r="U73">
        <v>100004271</v>
      </c>
      <c r="V73" t="s">
        <v>63</v>
      </c>
      <c r="W73">
        <v>7</v>
      </c>
      <c r="X73">
        <v>14924937</v>
      </c>
      <c r="Y73">
        <v>118210463</v>
      </c>
      <c r="Z73">
        <v>133135400</v>
      </c>
      <c r="AA73">
        <v>100004271</v>
      </c>
      <c r="AB73">
        <v>8.9203299999999999</v>
      </c>
      <c r="AC73">
        <v>0.84598499999999999</v>
      </c>
      <c r="AD73">
        <v>4.0817300000000003</v>
      </c>
      <c r="AE73">
        <v>3089475360</v>
      </c>
      <c r="AF73" t="s">
        <v>491</v>
      </c>
      <c r="AG73" t="s">
        <v>491</v>
      </c>
      <c r="AI73">
        <v>271016</v>
      </c>
      <c r="AJ73">
        <v>2873122610948</v>
      </c>
      <c r="AK73">
        <v>1436279402</v>
      </c>
      <c r="AM73">
        <v>3451734586</v>
      </c>
      <c r="AN73">
        <v>5517656523</v>
      </c>
      <c r="AO73">
        <v>595698095</v>
      </c>
      <c r="AP73">
        <v>2973254393</v>
      </c>
      <c r="AQ73">
        <v>0</v>
      </c>
      <c r="AR73">
        <v>30023298</v>
      </c>
      <c r="AS73">
        <v>2973254393</v>
      </c>
      <c r="AT73">
        <v>3003277691</v>
      </c>
      <c r="AU73">
        <v>49554239</v>
      </c>
      <c r="AV73">
        <v>0</v>
      </c>
      <c r="AW73">
        <v>500388</v>
      </c>
      <c r="AX73">
        <v>49554239</v>
      </c>
      <c r="AY73">
        <v>50054628</v>
      </c>
      <c r="AZ73">
        <v>19.057700000000001</v>
      </c>
      <c r="BA73">
        <v>8.3723100000000006</v>
      </c>
      <c r="BB73">
        <v>2672.02</v>
      </c>
      <c r="BC73">
        <v>1987.52</v>
      </c>
      <c r="BD73">
        <v>7813</v>
      </c>
      <c r="BE73">
        <v>1267</v>
      </c>
      <c r="BF73">
        <f t="shared" si="19"/>
        <v>59.856721061416664</v>
      </c>
      <c r="BG73" s="31">
        <f t="shared" si="20"/>
        <v>0.22919517929166666</v>
      </c>
      <c r="BH73">
        <f t="shared" si="21"/>
        <v>0</v>
      </c>
      <c r="BI73">
        <f t="shared" si="22"/>
        <v>0</v>
      </c>
      <c r="BJ73">
        <f t="shared" si="23"/>
        <v>14167</v>
      </c>
      <c r="BK73">
        <f t="shared" si="24"/>
        <v>2018021</v>
      </c>
      <c r="BL73">
        <f t="shared" si="25"/>
        <v>418674</v>
      </c>
      <c r="BM73">
        <f t="shared" si="26"/>
        <v>0</v>
      </c>
      <c r="BN73" t="str">
        <f t="shared" si="17"/>
        <v>u=1%, k=2x10^8</v>
      </c>
      <c r="BO73" t="str">
        <f t="shared" si="18"/>
        <v>u=1%, k=2x10^8, sequential</v>
      </c>
      <c r="BP73">
        <f t="shared" si="27"/>
        <v>2.9922487541666667E-2</v>
      </c>
      <c r="BQ73">
        <f t="shared" si="13"/>
        <v>0</v>
      </c>
      <c r="BR73">
        <f t="shared" si="14"/>
        <v>7.1911137208333337E-2</v>
      </c>
      <c r="BS73">
        <f t="shared" si="15"/>
        <v>0.11495117756250001</v>
      </c>
      <c r="BT73">
        <f t="shared" si="16"/>
        <v>1.2410376979166667E-2</v>
      </c>
      <c r="BU73">
        <f t="shared" si="28"/>
        <v>59.627525882124999</v>
      </c>
    </row>
    <row r="74" spans="1:73">
      <c r="A74" t="s">
        <v>170</v>
      </c>
      <c r="B74" t="s">
        <v>136</v>
      </c>
      <c r="C74">
        <v>72</v>
      </c>
      <c r="D74" t="s">
        <v>56</v>
      </c>
      <c r="E74" t="s">
        <v>53</v>
      </c>
      <c r="F74" t="s">
        <v>54</v>
      </c>
      <c r="G74">
        <v>60000</v>
      </c>
      <c r="H74">
        <v>0.5</v>
      </c>
      <c r="I74">
        <v>0.5</v>
      </c>
      <c r="J74">
        <v>0</v>
      </c>
      <c r="K74">
        <v>1</v>
      </c>
      <c r="L74">
        <v>200000000</v>
      </c>
      <c r="M74">
        <v>96</v>
      </c>
      <c r="N74">
        <v>96</v>
      </c>
      <c r="O74">
        <v>96</v>
      </c>
      <c r="P74">
        <v>0</v>
      </c>
      <c r="Q74" t="s">
        <v>55</v>
      </c>
      <c r="R74">
        <v>9999880119606320</v>
      </c>
      <c r="S74">
        <v>99997037</v>
      </c>
      <c r="T74">
        <v>9999880119606320</v>
      </c>
      <c r="U74">
        <v>99997037</v>
      </c>
      <c r="V74" t="s">
        <v>63</v>
      </c>
      <c r="W74">
        <v>7</v>
      </c>
      <c r="X74">
        <v>11213383</v>
      </c>
      <c r="Y74">
        <v>110405234</v>
      </c>
      <c r="Z74">
        <v>121618617</v>
      </c>
      <c r="AA74">
        <v>99997037</v>
      </c>
      <c r="AB74">
        <v>10.845800000000001</v>
      </c>
      <c r="AC74">
        <v>0.90572699999999995</v>
      </c>
      <c r="AD74">
        <v>4.0040800000000001</v>
      </c>
      <c r="AE74">
        <v>2663567568</v>
      </c>
      <c r="AF74" t="s">
        <v>492</v>
      </c>
      <c r="AG74" t="s">
        <v>493</v>
      </c>
      <c r="AI74">
        <v>106506</v>
      </c>
      <c r="AJ74">
        <v>5770847361750</v>
      </c>
      <c r="AK74">
        <v>19178773352</v>
      </c>
      <c r="AL74">
        <v>791139479060</v>
      </c>
      <c r="AM74">
        <v>27634537496</v>
      </c>
      <c r="AN74">
        <v>59845443299</v>
      </c>
      <c r="AO74">
        <v>7862051820</v>
      </c>
      <c r="AP74">
        <v>5031606795</v>
      </c>
      <c r="AQ74">
        <v>0</v>
      </c>
      <c r="AR74">
        <v>50824403</v>
      </c>
      <c r="AS74">
        <v>5031606795</v>
      </c>
      <c r="AT74">
        <v>5082431198</v>
      </c>
      <c r="AU74">
        <v>83860113</v>
      </c>
      <c r="AV74">
        <v>0</v>
      </c>
      <c r="AW74">
        <v>847073</v>
      </c>
      <c r="AX74">
        <v>83860113</v>
      </c>
      <c r="AY74">
        <v>84707186</v>
      </c>
      <c r="AZ74">
        <v>19.439599999999999</v>
      </c>
      <c r="BA74">
        <v>9.34511</v>
      </c>
      <c r="BB74">
        <v>3142.41</v>
      </c>
      <c r="BC74">
        <v>1958.08</v>
      </c>
      <c r="BD74">
        <v>13116</v>
      </c>
      <c r="BE74">
        <v>1092</v>
      </c>
      <c r="BF74">
        <f t="shared" si="19"/>
        <v>60.112993351562501</v>
      </c>
      <c r="BG74" s="31">
        <f t="shared" si="20"/>
        <v>9.4339613023645832</v>
      </c>
      <c r="BH74">
        <f t="shared" si="21"/>
        <v>1</v>
      </c>
      <c r="BI74">
        <f t="shared" si="22"/>
        <v>9908</v>
      </c>
      <c r="BJ74">
        <f t="shared" si="23"/>
        <v>394077</v>
      </c>
      <c r="BK74">
        <f t="shared" si="24"/>
        <v>3999086</v>
      </c>
      <c r="BL74">
        <f t="shared" si="25"/>
        <v>672897</v>
      </c>
      <c r="BM74">
        <f t="shared" si="26"/>
        <v>0</v>
      </c>
      <c r="BN74" t="str">
        <f t="shared" si="17"/>
        <v>u=1%, k=2x10^8</v>
      </c>
      <c r="BO74" t="str">
        <f t="shared" si="18"/>
        <v>u=1%, k=2x10^8, sequential</v>
      </c>
      <c r="BP74">
        <f t="shared" si="27"/>
        <v>0.19977888908333333</v>
      </c>
      <c r="BQ74">
        <f t="shared" si="13"/>
        <v>8.2410362402083326</v>
      </c>
      <c r="BR74">
        <f t="shared" si="14"/>
        <v>0.28785976558333332</v>
      </c>
      <c r="BS74">
        <f t="shared" si="15"/>
        <v>0.6233900343645834</v>
      </c>
      <c r="BT74">
        <f t="shared" si="16"/>
        <v>8.1896373124999991E-2</v>
      </c>
      <c r="BU74">
        <f t="shared" si="28"/>
        <v>50.679032049197922</v>
      </c>
    </row>
    <row r="75" spans="1:73">
      <c r="A75" t="s">
        <v>171</v>
      </c>
      <c r="B75" t="s">
        <v>136</v>
      </c>
      <c r="C75">
        <v>72</v>
      </c>
      <c r="D75" t="s">
        <v>56</v>
      </c>
      <c r="E75" t="s">
        <v>53</v>
      </c>
      <c r="F75" t="s">
        <v>54</v>
      </c>
      <c r="G75">
        <v>60000</v>
      </c>
      <c r="H75">
        <v>0.5</v>
      </c>
      <c r="I75">
        <v>0.5</v>
      </c>
      <c r="J75">
        <v>0</v>
      </c>
      <c r="K75">
        <v>1</v>
      </c>
      <c r="L75">
        <v>200000000</v>
      </c>
      <c r="M75">
        <v>144</v>
      </c>
      <c r="N75">
        <v>144</v>
      </c>
      <c r="O75">
        <v>144</v>
      </c>
      <c r="P75">
        <v>0</v>
      </c>
      <c r="Q75" t="s">
        <v>55</v>
      </c>
      <c r="R75">
        <v>9999438249558420</v>
      </c>
      <c r="S75">
        <v>100003206</v>
      </c>
      <c r="T75">
        <v>9999438249558420</v>
      </c>
      <c r="U75">
        <v>100003206</v>
      </c>
      <c r="V75" t="s">
        <v>63</v>
      </c>
      <c r="W75">
        <v>7</v>
      </c>
      <c r="X75">
        <v>14757272</v>
      </c>
      <c r="Y75">
        <v>117818337</v>
      </c>
      <c r="Z75">
        <v>132575609</v>
      </c>
      <c r="AA75">
        <v>100003206</v>
      </c>
      <c r="AB75">
        <v>8.9837500000000006</v>
      </c>
      <c r="AC75">
        <v>0.84879199999999999</v>
      </c>
      <c r="AD75">
        <v>4.0781400000000003</v>
      </c>
      <c r="AE75">
        <v>3069328240</v>
      </c>
      <c r="AF75" t="s">
        <v>494</v>
      </c>
      <c r="AG75" t="s">
        <v>495</v>
      </c>
      <c r="AI75">
        <v>73260</v>
      </c>
      <c r="AJ75">
        <v>8638139129781</v>
      </c>
      <c r="AK75">
        <v>20699128953</v>
      </c>
      <c r="AL75">
        <v>1233334304294</v>
      </c>
      <c r="AM75">
        <v>31101067837</v>
      </c>
      <c r="AN75">
        <v>79521188758</v>
      </c>
      <c r="AO75">
        <v>8906343098</v>
      </c>
      <c r="AP75">
        <v>7468145565</v>
      </c>
      <c r="AQ75">
        <v>0</v>
      </c>
      <c r="AR75">
        <v>75432986</v>
      </c>
      <c r="AS75">
        <v>7468145565</v>
      </c>
      <c r="AT75">
        <v>7543578551</v>
      </c>
      <c r="AU75">
        <v>124469092</v>
      </c>
      <c r="AV75">
        <v>0</v>
      </c>
      <c r="AW75">
        <v>1257216</v>
      </c>
      <c r="AX75">
        <v>124469092</v>
      </c>
      <c r="AY75">
        <v>125726309</v>
      </c>
      <c r="AZ75">
        <v>19.259699999999999</v>
      </c>
      <c r="BA75">
        <v>9.4517000000000007</v>
      </c>
      <c r="BB75">
        <v>3151.34</v>
      </c>
      <c r="BC75">
        <v>1944.45</v>
      </c>
      <c r="BD75">
        <v>13512</v>
      </c>
      <c r="BE75">
        <v>1100</v>
      </c>
      <c r="BF75">
        <f t="shared" si="19"/>
        <v>59.987077290145834</v>
      </c>
      <c r="BG75" s="31">
        <f t="shared" si="20"/>
        <v>9.53862522875</v>
      </c>
      <c r="BH75">
        <f t="shared" si="21"/>
        <v>1</v>
      </c>
      <c r="BI75">
        <f t="shared" si="22"/>
        <v>9998</v>
      </c>
      <c r="BJ75">
        <f t="shared" si="23"/>
        <v>351562</v>
      </c>
      <c r="BK75">
        <f t="shared" si="24"/>
        <v>5343767</v>
      </c>
      <c r="BL75">
        <f t="shared" si="25"/>
        <v>1010038</v>
      </c>
      <c r="BM75">
        <f t="shared" si="26"/>
        <v>0</v>
      </c>
      <c r="BN75" t="str">
        <f t="shared" si="17"/>
        <v>u=1%, k=2x10^8</v>
      </c>
      <c r="BO75" t="str">
        <f t="shared" si="18"/>
        <v>u=1%, k=2x10^8, sequential</v>
      </c>
      <c r="BP75">
        <f t="shared" si="27"/>
        <v>0.14374395106249999</v>
      </c>
      <c r="BQ75">
        <f t="shared" si="13"/>
        <v>8.564821557597222</v>
      </c>
      <c r="BR75">
        <f t="shared" si="14"/>
        <v>0.21597963775694443</v>
      </c>
      <c r="BS75">
        <f t="shared" si="15"/>
        <v>0.55223047748611109</v>
      </c>
      <c r="BT75">
        <f t="shared" si="16"/>
        <v>6.1849604847222225E-2</v>
      </c>
      <c r="BU75">
        <f t="shared" si="28"/>
        <v>50.448452061395834</v>
      </c>
    </row>
    <row r="76" spans="1:73">
      <c r="A76" t="s">
        <v>172</v>
      </c>
      <c r="B76" t="s">
        <v>136</v>
      </c>
      <c r="C76">
        <v>72</v>
      </c>
      <c r="D76" t="s">
        <v>56</v>
      </c>
      <c r="E76" t="s">
        <v>53</v>
      </c>
      <c r="F76" t="s">
        <v>54</v>
      </c>
      <c r="G76">
        <v>60000</v>
      </c>
      <c r="H76">
        <v>0.5</v>
      </c>
      <c r="I76">
        <v>0.5</v>
      </c>
      <c r="J76">
        <v>0</v>
      </c>
      <c r="K76">
        <v>1</v>
      </c>
      <c r="L76">
        <v>200000000</v>
      </c>
      <c r="M76">
        <v>190</v>
      </c>
      <c r="N76">
        <v>190</v>
      </c>
      <c r="O76">
        <v>190</v>
      </c>
      <c r="P76">
        <v>0</v>
      </c>
      <c r="Q76" t="s">
        <v>55</v>
      </c>
      <c r="R76">
        <v>9999347632320250</v>
      </c>
      <c r="S76">
        <v>99993732</v>
      </c>
      <c r="T76">
        <v>9999347632320250</v>
      </c>
      <c r="U76">
        <v>99993732</v>
      </c>
      <c r="V76" t="s">
        <v>63</v>
      </c>
      <c r="W76">
        <v>7</v>
      </c>
      <c r="X76">
        <v>12539839</v>
      </c>
      <c r="Y76">
        <v>113106941</v>
      </c>
      <c r="Z76">
        <v>125646780</v>
      </c>
      <c r="AA76">
        <v>99993732</v>
      </c>
      <c r="AB76">
        <v>10.0198</v>
      </c>
      <c r="AC76">
        <v>0.88406399999999996</v>
      </c>
      <c r="AD76">
        <v>4.0297299999999998</v>
      </c>
      <c r="AE76">
        <v>2814320144</v>
      </c>
      <c r="AF76" t="s">
        <v>496</v>
      </c>
      <c r="AG76" t="s">
        <v>497</v>
      </c>
      <c r="AI76">
        <v>56466</v>
      </c>
      <c r="AJ76">
        <v>11410174154160</v>
      </c>
      <c r="AK76">
        <v>31313596709</v>
      </c>
      <c r="AL76">
        <v>1653200287601</v>
      </c>
      <c r="AM76">
        <v>45577729767</v>
      </c>
      <c r="AN76">
        <v>306935608988</v>
      </c>
      <c r="AO76">
        <v>12624139006</v>
      </c>
      <c r="AP76">
        <v>9484597892</v>
      </c>
      <c r="AQ76">
        <v>0</v>
      </c>
      <c r="AR76">
        <v>95804252</v>
      </c>
      <c r="AS76">
        <v>9484597892</v>
      </c>
      <c r="AT76">
        <v>9580402144</v>
      </c>
      <c r="AU76">
        <v>158076631</v>
      </c>
      <c r="AV76">
        <v>0</v>
      </c>
      <c r="AW76">
        <v>1596737</v>
      </c>
      <c r="AX76">
        <v>158076631</v>
      </c>
      <c r="AY76">
        <v>159673369</v>
      </c>
      <c r="AZ76">
        <v>19.416</v>
      </c>
      <c r="BA76">
        <v>9.6370100000000001</v>
      </c>
      <c r="BB76">
        <v>3229.5</v>
      </c>
      <c r="BC76">
        <v>1968.81</v>
      </c>
      <c r="BD76">
        <v>13550</v>
      </c>
      <c r="BE76">
        <v>1099</v>
      </c>
      <c r="BF76">
        <f t="shared" si="19"/>
        <v>60.053548179789473</v>
      </c>
      <c r="BG76" s="31">
        <f t="shared" si="20"/>
        <v>10.787638747742106</v>
      </c>
      <c r="BH76">
        <f t="shared" si="21"/>
        <v>1</v>
      </c>
      <c r="BI76">
        <f t="shared" si="22"/>
        <v>16181</v>
      </c>
      <c r="BJ76">
        <f t="shared" si="23"/>
        <v>676305</v>
      </c>
      <c r="BK76">
        <f t="shared" si="24"/>
        <v>7718969</v>
      </c>
      <c r="BL76">
        <f t="shared" si="25"/>
        <v>1305517</v>
      </c>
      <c r="BM76">
        <f t="shared" si="26"/>
        <v>0</v>
      </c>
      <c r="BN76" t="str">
        <f t="shared" si="17"/>
        <v>u=1%, k=2x10^8</v>
      </c>
      <c r="BO76" t="str">
        <f t="shared" si="18"/>
        <v>u=1%, k=2x10^8, sequential</v>
      </c>
      <c r="BP76">
        <f t="shared" si="27"/>
        <v>0.16480840373157893</v>
      </c>
      <c r="BQ76">
        <f t="shared" si="13"/>
        <v>8.7010541452684205</v>
      </c>
      <c r="BR76">
        <f t="shared" si="14"/>
        <v>0.23988278824736842</v>
      </c>
      <c r="BS76">
        <f t="shared" si="15"/>
        <v>1.6154505736210527</v>
      </c>
      <c r="BT76">
        <f t="shared" si="16"/>
        <v>6.6442836873684213E-2</v>
      </c>
      <c r="BU76">
        <f t="shared" si="28"/>
        <v>49.265909432047373</v>
      </c>
    </row>
    <row r="77" spans="1:73">
      <c r="A77" t="s">
        <v>173</v>
      </c>
      <c r="B77" t="s">
        <v>136</v>
      </c>
      <c r="C77">
        <v>72</v>
      </c>
      <c r="D77" t="s">
        <v>56</v>
      </c>
      <c r="E77" t="s">
        <v>53</v>
      </c>
      <c r="F77" t="s">
        <v>54</v>
      </c>
      <c r="G77">
        <v>60000</v>
      </c>
      <c r="H77">
        <v>0.5</v>
      </c>
      <c r="I77">
        <v>0.5</v>
      </c>
      <c r="J77">
        <v>0</v>
      </c>
      <c r="K77">
        <v>1</v>
      </c>
      <c r="L77">
        <v>2000000000</v>
      </c>
      <c r="M77">
        <v>24</v>
      </c>
      <c r="N77">
        <v>24</v>
      </c>
      <c r="O77">
        <v>24</v>
      </c>
      <c r="P77">
        <v>0</v>
      </c>
      <c r="Q77" t="s">
        <v>55</v>
      </c>
      <c r="R77">
        <v>1.00000378040401E+18</v>
      </c>
      <c r="S77">
        <v>1000003708</v>
      </c>
      <c r="T77">
        <v>1.00000378040401E+18</v>
      </c>
      <c r="U77">
        <v>1000003708</v>
      </c>
      <c r="V77" t="s">
        <v>63</v>
      </c>
      <c r="W77">
        <v>7</v>
      </c>
      <c r="X77">
        <v>87194667</v>
      </c>
      <c r="Y77">
        <v>1084271474</v>
      </c>
      <c r="Z77">
        <v>1171466141</v>
      </c>
      <c r="AA77">
        <v>1000003708</v>
      </c>
      <c r="AB77">
        <v>13.4351</v>
      </c>
      <c r="AC77">
        <v>0.92228200000000005</v>
      </c>
      <c r="AD77">
        <v>4.0054800000000004</v>
      </c>
      <c r="AE77">
        <v>24324153040</v>
      </c>
      <c r="AF77" t="s">
        <v>498</v>
      </c>
      <c r="AG77" t="s">
        <v>498</v>
      </c>
      <c r="AI77">
        <v>404110</v>
      </c>
      <c r="AJ77">
        <v>1436564848815</v>
      </c>
      <c r="AK77">
        <v>5249542</v>
      </c>
      <c r="AM77">
        <v>24978333</v>
      </c>
      <c r="AN77">
        <v>837267724</v>
      </c>
      <c r="AO77">
        <v>1694532</v>
      </c>
      <c r="AP77">
        <v>1089467410</v>
      </c>
      <c r="AQ77">
        <v>0</v>
      </c>
      <c r="AR77">
        <v>11003449</v>
      </c>
      <c r="AS77">
        <v>1089467410</v>
      </c>
      <c r="AT77">
        <v>1100470859</v>
      </c>
      <c r="AU77">
        <v>18157790</v>
      </c>
      <c r="AV77">
        <v>0</v>
      </c>
      <c r="AW77">
        <v>183390</v>
      </c>
      <c r="AX77">
        <v>18157790</v>
      </c>
      <c r="AY77">
        <v>18341180</v>
      </c>
      <c r="AZ77">
        <v>22.076000000000001</v>
      </c>
      <c r="BA77">
        <v>12.883900000000001</v>
      </c>
      <c r="BB77">
        <v>3647.81</v>
      </c>
      <c r="BC77">
        <v>2918.63</v>
      </c>
      <c r="BD77">
        <v>59443</v>
      </c>
      <c r="BE77">
        <v>16128</v>
      </c>
      <c r="BF77">
        <f t="shared" si="19"/>
        <v>59.856868700625</v>
      </c>
      <c r="BG77" s="31">
        <f t="shared" si="20"/>
        <v>3.6216255458333332E-2</v>
      </c>
      <c r="BH77">
        <f t="shared" si="21"/>
        <v>0</v>
      </c>
      <c r="BI77">
        <f t="shared" si="22"/>
        <v>0</v>
      </c>
      <c r="BJ77">
        <f t="shared" si="23"/>
        <v>0</v>
      </c>
      <c r="BK77">
        <f t="shared" si="24"/>
        <v>1333</v>
      </c>
      <c r="BL77">
        <f t="shared" si="25"/>
        <v>15068</v>
      </c>
      <c r="BM77">
        <f t="shared" si="26"/>
        <v>0</v>
      </c>
      <c r="BN77" t="str">
        <f t="shared" si="17"/>
        <v>u=1%, k=2x10^9</v>
      </c>
      <c r="BO77" t="str">
        <f t="shared" si="18"/>
        <v>u=1%, k=2x10^9, sequential</v>
      </c>
      <c r="BP77">
        <f t="shared" si="27"/>
        <v>2.1873091666666669E-4</v>
      </c>
      <c r="BQ77">
        <f t="shared" si="13"/>
        <v>0</v>
      </c>
      <c r="BR77">
        <f t="shared" si="14"/>
        <v>1.0407638749999999E-3</v>
      </c>
      <c r="BS77">
        <f t="shared" si="15"/>
        <v>3.4886155166666669E-2</v>
      </c>
      <c r="BT77">
        <f t="shared" si="16"/>
        <v>7.06055E-5</v>
      </c>
      <c r="BU77">
        <f t="shared" si="28"/>
        <v>59.820652445166665</v>
      </c>
    </row>
    <row r="78" spans="1:73">
      <c r="A78" t="s">
        <v>174</v>
      </c>
      <c r="B78" t="s">
        <v>136</v>
      </c>
      <c r="C78">
        <v>72</v>
      </c>
      <c r="D78" t="s">
        <v>56</v>
      </c>
      <c r="E78" t="s">
        <v>53</v>
      </c>
      <c r="F78" t="s">
        <v>54</v>
      </c>
      <c r="G78">
        <v>60000</v>
      </c>
      <c r="H78">
        <v>0.5</v>
      </c>
      <c r="I78">
        <v>0.5</v>
      </c>
      <c r="J78">
        <v>0</v>
      </c>
      <c r="K78">
        <v>1</v>
      </c>
      <c r="L78">
        <v>2000000000</v>
      </c>
      <c r="M78">
        <v>48</v>
      </c>
      <c r="N78">
        <v>48</v>
      </c>
      <c r="O78">
        <v>48</v>
      </c>
      <c r="P78">
        <v>0</v>
      </c>
      <c r="Q78" t="s">
        <v>55</v>
      </c>
      <c r="R78">
        <v>9.9999699707353997E+17</v>
      </c>
      <c r="S78">
        <v>999995418</v>
      </c>
      <c r="T78">
        <v>9.9999699707353997E+17</v>
      </c>
      <c r="U78">
        <v>999995418</v>
      </c>
      <c r="V78" t="s">
        <v>63</v>
      </c>
      <c r="W78">
        <v>7</v>
      </c>
      <c r="X78">
        <v>89412299</v>
      </c>
      <c r="Y78">
        <v>1088724703</v>
      </c>
      <c r="Z78">
        <v>1178137002</v>
      </c>
      <c r="AA78">
        <v>999995418</v>
      </c>
      <c r="AB78">
        <v>13.176500000000001</v>
      </c>
      <c r="AC78">
        <v>0.91850200000000004</v>
      </c>
      <c r="AD78">
        <v>4.00997</v>
      </c>
      <c r="AE78">
        <v>24573364512</v>
      </c>
      <c r="AF78" t="s">
        <v>499</v>
      </c>
      <c r="AG78" t="s">
        <v>499</v>
      </c>
      <c r="AI78">
        <v>181120</v>
      </c>
      <c r="AJ78">
        <v>2873128975617</v>
      </c>
      <c r="AK78">
        <v>30146302</v>
      </c>
      <c r="AM78">
        <v>105445160</v>
      </c>
      <c r="AN78">
        <v>3090654608</v>
      </c>
      <c r="AO78">
        <v>11575965</v>
      </c>
      <c r="AP78">
        <v>1993832899</v>
      </c>
      <c r="AQ78">
        <v>0</v>
      </c>
      <c r="AR78">
        <v>20144225</v>
      </c>
      <c r="AS78">
        <v>1993832899</v>
      </c>
      <c r="AT78">
        <v>2013977124</v>
      </c>
      <c r="AU78">
        <v>33230548</v>
      </c>
      <c r="AV78">
        <v>0</v>
      </c>
      <c r="AW78">
        <v>335737</v>
      </c>
      <c r="AX78">
        <v>33230548</v>
      </c>
      <c r="AY78">
        <v>33566285</v>
      </c>
      <c r="AZ78">
        <v>22.011700000000001</v>
      </c>
      <c r="BA78">
        <v>12.932700000000001</v>
      </c>
      <c r="BB78">
        <v>3986.39</v>
      </c>
      <c r="BC78">
        <v>3323.04</v>
      </c>
      <c r="BD78">
        <v>59814</v>
      </c>
      <c r="BE78">
        <v>12951</v>
      </c>
      <c r="BF78">
        <f t="shared" si="19"/>
        <v>59.856853658687498</v>
      </c>
      <c r="BG78" s="31">
        <f t="shared" si="20"/>
        <v>6.7454625729166676E-2</v>
      </c>
      <c r="BH78">
        <f t="shared" si="21"/>
        <v>0</v>
      </c>
      <c r="BI78">
        <f t="shared" si="22"/>
        <v>0</v>
      </c>
      <c r="BJ78">
        <f t="shared" si="23"/>
        <v>0</v>
      </c>
      <c r="BK78">
        <f t="shared" si="24"/>
        <v>8199</v>
      </c>
      <c r="BL78">
        <f t="shared" si="25"/>
        <v>49145</v>
      </c>
      <c r="BM78">
        <f t="shared" si="26"/>
        <v>0</v>
      </c>
      <c r="BN78" t="str">
        <f t="shared" si="17"/>
        <v>u=1%, k=2x10^9</v>
      </c>
      <c r="BO78" t="str">
        <f t="shared" si="18"/>
        <v>u=1%, k=2x10^9, sequential</v>
      </c>
      <c r="BP78">
        <f t="shared" si="27"/>
        <v>6.2804795833333333E-4</v>
      </c>
      <c r="BQ78">
        <f t="shared" ref="BQ78:BQ138" si="29">AL78/1000000000/$N78</f>
        <v>0</v>
      </c>
      <c r="BR78">
        <f t="shared" ref="BR78:BR138" si="30">AM78/1000000000/$N78</f>
        <v>2.1967741666666664E-3</v>
      </c>
      <c r="BS78">
        <f t="shared" ref="BS78:BS138" si="31">AN78/1000000000/$N78</f>
        <v>6.4388637666666665E-2</v>
      </c>
      <c r="BT78">
        <f t="shared" ref="BT78:BT138" si="32">AO78/1000000000/$N78</f>
        <v>2.4116593750000002E-4</v>
      </c>
      <c r="BU78">
        <f t="shared" si="28"/>
        <v>59.789399032958329</v>
      </c>
    </row>
    <row r="79" spans="1:73">
      <c r="A79" t="s">
        <v>175</v>
      </c>
      <c r="B79" t="s">
        <v>136</v>
      </c>
      <c r="C79">
        <v>72</v>
      </c>
      <c r="D79" t="s">
        <v>56</v>
      </c>
      <c r="E79" t="s">
        <v>53</v>
      </c>
      <c r="F79" t="s">
        <v>54</v>
      </c>
      <c r="G79">
        <v>60000</v>
      </c>
      <c r="H79">
        <v>0.5</v>
      </c>
      <c r="I79">
        <v>0.5</v>
      </c>
      <c r="J79">
        <v>0</v>
      </c>
      <c r="K79">
        <v>1</v>
      </c>
      <c r="L79">
        <v>2000000000</v>
      </c>
      <c r="M79">
        <v>96</v>
      </c>
      <c r="N79">
        <v>96</v>
      </c>
      <c r="O79">
        <v>96</v>
      </c>
      <c r="P79">
        <v>0</v>
      </c>
      <c r="Q79" t="s">
        <v>55</v>
      </c>
      <c r="R79">
        <v>1.00000616263882E+18</v>
      </c>
      <c r="S79">
        <v>1000003371</v>
      </c>
      <c r="T79">
        <v>1.00000616263882E+18</v>
      </c>
      <c r="U79">
        <v>1000003371</v>
      </c>
      <c r="V79" t="s">
        <v>63</v>
      </c>
      <c r="W79">
        <v>7</v>
      </c>
      <c r="X79">
        <v>95147090</v>
      </c>
      <c r="Y79">
        <v>1100295551</v>
      </c>
      <c r="Z79">
        <v>1195442641</v>
      </c>
      <c r="AA79">
        <v>1000003371</v>
      </c>
      <c r="AB79">
        <v>12.5642</v>
      </c>
      <c r="AC79">
        <v>0.90885000000000005</v>
      </c>
      <c r="AD79">
        <v>4.0216900000000004</v>
      </c>
      <c r="AE79">
        <v>25220058736</v>
      </c>
      <c r="AF79" t="s">
        <v>500</v>
      </c>
      <c r="AG79" t="s">
        <v>500</v>
      </c>
      <c r="AI79">
        <v>99140</v>
      </c>
      <c r="AJ79">
        <v>5746256862808</v>
      </c>
      <c r="AK79">
        <v>195044873</v>
      </c>
      <c r="AM79">
        <v>619896909</v>
      </c>
      <c r="AN79">
        <v>10144440321</v>
      </c>
      <c r="AO79">
        <v>106387621</v>
      </c>
      <c r="AP79">
        <v>4419865668</v>
      </c>
      <c r="AQ79">
        <v>0</v>
      </c>
      <c r="AR79">
        <v>44638679</v>
      </c>
      <c r="AS79">
        <v>4419865668</v>
      </c>
      <c r="AT79">
        <v>4464504347</v>
      </c>
      <c r="AU79">
        <v>73664427</v>
      </c>
      <c r="AV79">
        <v>0</v>
      </c>
      <c r="AW79">
        <v>743977</v>
      </c>
      <c r="AX79">
        <v>73664427</v>
      </c>
      <c r="AY79">
        <v>74408405</v>
      </c>
      <c r="AZ79">
        <v>22.0518</v>
      </c>
      <c r="BA79">
        <v>13.763299999999999</v>
      </c>
      <c r="BB79">
        <v>3592.56</v>
      </c>
      <c r="BC79">
        <v>2874.93</v>
      </c>
      <c r="BD79">
        <v>60708</v>
      </c>
      <c r="BE79">
        <v>9931</v>
      </c>
      <c r="BF79">
        <f t="shared" si="19"/>
        <v>59.856842320916662</v>
      </c>
      <c r="BG79" s="31">
        <f t="shared" si="20"/>
        <v>0.11526843462500001</v>
      </c>
      <c r="BH79">
        <f t="shared" si="21"/>
        <v>0</v>
      </c>
      <c r="BI79">
        <f t="shared" si="22"/>
        <v>0</v>
      </c>
      <c r="BJ79">
        <f t="shared" si="23"/>
        <v>0</v>
      </c>
      <c r="BK79">
        <f t="shared" si="24"/>
        <v>86440</v>
      </c>
      <c r="BL79">
        <f t="shared" si="25"/>
        <v>229019</v>
      </c>
      <c r="BM79">
        <f t="shared" si="26"/>
        <v>0</v>
      </c>
      <c r="BN79" t="str">
        <f t="shared" si="17"/>
        <v>u=1%, k=2x10^9</v>
      </c>
      <c r="BO79" t="str">
        <f t="shared" si="18"/>
        <v>u=1%, k=2x10^9, sequential</v>
      </c>
      <c r="BP79">
        <f t="shared" si="27"/>
        <v>2.0317174270833333E-3</v>
      </c>
      <c r="BQ79">
        <f t="shared" si="29"/>
        <v>0</v>
      </c>
      <c r="BR79">
        <f t="shared" si="30"/>
        <v>6.4572594687500005E-3</v>
      </c>
      <c r="BS79">
        <f t="shared" si="31"/>
        <v>0.10567125334374999</v>
      </c>
      <c r="BT79">
        <f t="shared" si="32"/>
        <v>1.1082043854166667E-3</v>
      </c>
      <c r="BU79">
        <f t="shared" si="28"/>
        <v>59.741573886291661</v>
      </c>
    </row>
    <row r="80" spans="1:73">
      <c r="A80" t="s">
        <v>176</v>
      </c>
      <c r="B80" t="s">
        <v>136</v>
      </c>
      <c r="C80">
        <v>72</v>
      </c>
      <c r="D80" t="s">
        <v>56</v>
      </c>
      <c r="E80" t="s">
        <v>53</v>
      </c>
      <c r="F80" t="s">
        <v>54</v>
      </c>
      <c r="G80">
        <v>60000</v>
      </c>
      <c r="H80">
        <v>0.5</v>
      </c>
      <c r="I80">
        <v>0.5</v>
      </c>
      <c r="J80">
        <v>0</v>
      </c>
      <c r="K80">
        <v>1</v>
      </c>
      <c r="L80">
        <v>2000000000</v>
      </c>
      <c r="M80">
        <v>144</v>
      </c>
      <c r="N80">
        <v>144</v>
      </c>
      <c r="O80">
        <v>144</v>
      </c>
      <c r="P80">
        <v>0</v>
      </c>
      <c r="Q80" t="s">
        <v>55</v>
      </c>
      <c r="R80">
        <v>1.00001458622353E+18</v>
      </c>
      <c r="S80">
        <v>1000001719</v>
      </c>
      <c r="T80">
        <v>1.00001458622353E+18</v>
      </c>
      <c r="U80">
        <v>1000001719</v>
      </c>
      <c r="V80" t="s">
        <v>63</v>
      </c>
      <c r="W80">
        <v>7</v>
      </c>
      <c r="X80">
        <v>100005645</v>
      </c>
      <c r="Y80">
        <v>1110171918</v>
      </c>
      <c r="Z80">
        <v>1210177563</v>
      </c>
      <c r="AA80">
        <v>1000001719</v>
      </c>
      <c r="AB80">
        <v>12.101100000000001</v>
      </c>
      <c r="AC80">
        <v>0.90076299999999998</v>
      </c>
      <c r="AD80">
        <v>4.0317600000000002</v>
      </c>
      <c r="AE80">
        <v>25770526272</v>
      </c>
      <c r="AF80" t="s">
        <v>501</v>
      </c>
      <c r="AG80" t="s">
        <v>501</v>
      </c>
      <c r="AI80">
        <v>65728</v>
      </c>
      <c r="AJ80">
        <v>8619384319149</v>
      </c>
      <c r="AK80">
        <v>521980594</v>
      </c>
      <c r="AM80">
        <v>1566331348</v>
      </c>
      <c r="AN80">
        <v>13183351492</v>
      </c>
      <c r="AO80">
        <v>313642781</v>
      </c>
      <c r="AP80">
        <v>6617489716</v>
      </c>
      <c r="AQ80">
        <v>0</v>
      </c>
      <c r="AR80">
        <v>66859509</v>
      </c>
      <c r="AS80">
        <v>6617489716</v>
      </c>
      <c r="AT80">
        <v>6684349225</v>
      </c>
      <c r="AU80">
        <v>110291495</v>
      </c>
      <c r="AV80">
        <v>0</v>
      </c>
      <c r="AW80">
        <v>1114325</v>
      </c>
      <c r="AX80">
        <v>110291495</v>
      </c>
      <c r="AY80">
        <v>111405820</v>
      </c>
      <c r="AZ80">
        <v>22.065000000000001</v>
      </c>
      <c r="BA80">
        <v>13.985799999999999</v>
      </c>
      <c r="BB80">
        <v>3598.48</v>
      </c>
      <c r="BC80">
        <v>2865.97</v>
      </c>
      <c r="BD80">
        <v>61558</v>
      </c>
      <c r="BE80">
        <v>9481</v>
      </c>
      <c r="BF80">
        <f t="shared" si="19"/>
        <v>59.85683554964583</v>
      </c>
      <c r="BG80" s="31">
        <f t="shared" si="20"/>
        <v>0.10823129315972221</v>
      </c>
      <c r="BH80">
        <f t="shared" si="21"/>
        <v>0</v>
      </c>
      <c r="BI80">
        <f t="shared" si="22"/>
        <v>0</v>
      </c>
      <c r="BJ80">
        <f t="shared" si="23"/>
        <v>0</v>
      </c>
      <c r="BK80">
        <f t="shared" si="24"/>
        <v>281274</v>
      </c>
      <c r="BL80">
        <f t="shared" si="25"/>
        <v>487598</v>
      </c>
      <c r="BM80">
        <f t="shared" si="26"/>
        <v>0</v>
      </c>
      <c r="BN80" t="str">
        <f t="shared" si="17"/>
        <v>u=1%, k=2x10^9</v>
      </c>
      <c r="BO80" t="str">
        <f t="shared" si="18"/>
        <v>u=1%, k=2x10^9, sequential</v>
      </c>
      <c r="BP80">
        <f t="shared" si="27"/>
        <v>3.6248652361111108E-3</v>
      </c>
      <c r="BQ80">
        <f t="shared" si="29"/>
        <v>0</v>
      </c>
      <c r="BR80">
        <f t="shared" si="30"/>
        <v>1.0877301027777779E-2</v>
      </c>
      <c r="BS80">
        <f t="shared" si="31"/>
        <v>9.1551052027777774E-2</v>
      </c>
      <c r="BT80">
        <f t="shared" si="32"/>
        <v>2.1780748680555553E-3</v>
      </c>
      <c r="BU80">
        <f t="shared" si="28"/>
        <v>59.748604256486111</v>
      </c>
    </row>
    <row r="81" spans="1:73">
      <c r="A81" t="s">
        <v>177</v>
      </c>
      <c r="B81" t="s">
        <v>136</v>
      </c>
      <c r="C81">
        <v>72</v>
      </c>
      <c r="D81" t="s">
        <v>56</v>
      </c>
      <c r="E81" t="s">
        <v>53</v>
      </c>
      <c r="F81" t="s">
        <v>54</v>
      </c>
      <c r="G81">
        <v>60000</v>
      </c>
      <c r="H81">
        <v>0.5</v>
      </c>
      <c r="I81">
        <v>0.5</v>
      </c>
      <c r="J81">
        <v>0</v>
      </c>
      <c r="K81">
        <v>1</v>
      </c>
      <c r="L81">
        <v>2000000000</v>
      </c>
      <c r="M81">
        <v>190</v>
      </c>
      <c r="N81">
        <v>190</v>
      </c>
      <c r="O81">
        <v>190</v>
      </c>
      <c r="P81">
        <v>0</v>
      </c>
      <c r="Q81" t="s">
        <v>55</v>
      </c>
      <c r="R81">
        <v>9.9999613497836902E+17</v>
      </c>
      <c r="S81">
        <v>1000001517</v>
      </c>
      <c r="T81">
        <v>9.9999613497836902E+17</v>
      </c>
      <c r="U81">
        <v>1000001517</v>
      </c>
      <c r="V81" t="s">
        <v>63</v>
      </c>
      <c r="W81">
        <v>7</v>
      </c>
      <c r="X81">
        <v>104154432</v>
      </c>
      <c r="Y81">
        <v>1118670239</v>
      </c>
      <c r="Z81">
        <v>1222824671</v>
      </c>
      <c r="AA81">
        <v>1000001517</v>
      </c>
      <c r="AB81">
        <v>11.740500000000001</v>
      </c>
      <c r="AC81">
        <v>0.89392000000000005</v>
      </c>
      <c r="AD81">
        <v>4.0404600000000004</v>
      </c>
      <c r="AE81">
        <v>26242715744</v>
      </c>
      <c r="AF81" t="s">
        <v>502</v>
      </c>
      <c r="AG81" t="s">
        <v>502</v>
      </c>
      <c r="AI81">
        <v>51160</v>
      </c>
      <c r="AJ81">
        <v>11372797185806</v>
      </c>
      <c r="AK81">
        <v>1020440408</v>
      </c>
      <c r="AM81">
        <v>2908688177</v>
      </c>
      <c r="AN81">
        <v>14707702552</v>
      </c>
      <c r="AO81">
        <v>598867589</v>
      </c>
      <c r="AP81">
        <v>8651354318</v>
      </c>
      <c r="AQ81">
        <v>0</v>
      </c>
      <c r="AR81">
        <v>87392537</v>
      </c>
      <c r="AS81">
        <v>8651354318</v>
      </c>
      <c r="AT81">
        <v>8738746855</v>
      </c>
      <c r="AU81">
        <v>144189238</v>
      </c>
      <c r="AV81">
        <v>0</v>
      </c>
      <c r="AW81">
        <v>1456542</v>
      </c>
      <c r="AX81">
        <v>144189238</v>
      </c>
      <c r="AY81">
        <v>145645780</v>
      </c>
      <c r="AZ81">
        <v>22.1953</v>
      </c>
      <c r="BA81">
        <v>14.136900000000001</v>
      </c>
      <c r="BB81">
        <v>3631</v>
      </c>
      <c r="BC81">
        <v>2892.03</v>
      </c>
      <c r="BD81">
        <v>62234</v>
      </c>
      <c r="BE81">
        <v>9041</v>
      </c>
      <c r="BF81">
        <f t="shared" si="19"/>
        <v>59.856827293715781</v>
      </c>
      <c r="BG81" s="31">
        <f t="shared" si="20"/>
        <v>0.10124051961052631</v>
      </c>
      <c r="BH81">
        <f t="shared" si="21"/>
        <v>0</v>
      </c>
      <c r="BI81">
        <f t="shared" si="22"/>
        <v>0</v>
      </c>
      <c r="BJ81">
        <f t="shared" si="23"/>
        <v>0</v>
      </c>
      <c r="BK81">
        <f t="shared" si="24"/>
        <v>605872</v>
      </c>
      <c r="BL81">
        <f t="shared" si="25"/>
        <v>794673</v>
      </c>
      <c r="BM81">
        <f t="shared" si="26"/>
        <v>0</v>
      </c>
      <c r="BN81" t="str">
        <f t="shared" si="17"/>
        <v>u=1%, k=2x10^9</v>
      </c>
      <c r="BO81" t="str">
        <f t="shared" si="18"/>
        <v>u=1%, k=2x10^9, sequential</v>
      </c>
      <c r="BP81">
        <f t="shared" si="27"/>
        <v>5.3707389894736843E-3</v>
      </c>
      <c r="BQ81">
        <f t="shared" si="29"/>
        <v>0</v>
      </c>
      <c r="BR81">
        <f t="shared" si="30"/>
        <v>1.5308885142105265E-2</v>
      </c>
      <c r="BS81">
        <f t="shared" si="31"/>
        <v>7.740896080000001E-2</v>
      </c>
      <c r="BT81">
        <f t="shared" si="32"/>
        <v>3.1519346789473687E-3</v>
      </c>
      <c r="BU81">
        <f t="shared" si="28"/>
        <v>59.755586774105254</v>
      </c>
    </row>
    <row r="82" spans="1:73">
      <c r="A82" t="s">
        <v>178</v>
      </c>
      <c r="B82" t="s">
        <v>136</v>
      </c>
      <c r="C82">
        <v>72</v>
      </c>
      <c r="D82" t="s">
        <v>56</v>
      </c>
      <c r="E82" t="s">
        <v>53</v>
      </c>
      <c r="F82" t="s">
        <v>54</v>
      </c>
      <c r="G82">
        <v>60000</v>
      </c>
      <c r="H82">
        <v>5</v>
      </c>
      <c r="I82">
        <v>5</v>
      </c>
      <c r="J82">
        <v>0</v>
      </c>
      <c r="K82">
        <v>1</v>
      </c>
      <c r="L82">
        <v>2000000</v>
      </c>
      <c r="M82">
        <v>24</v>
      </c>
      <c r="N82">
        <v>24</v>
      </c>
      <c r="O82">
        <v>24</v>
      </c>
      <c r="P82">
        <v>0</v>
      </c>
      <c r="Q82" t="s">
        <v>55</v>
      </c>
      <c r="R82">
        <v>1000452414171</v>
      </c>
      <c r="S82">
        <v>1000754</v>
      </c>
      <c r="T82">
        <v>1000452414171</v>
      </c>
      <c r="U82">
        <v>1000754</v>
      </c>
      <c r="V82" t="s">
        <v>63</v>
      </c>
      <c r="W82">
        <v>6</v>
      </c>
      <c r="X82">
        <v>83930</v>
      </c>
      <c r="Y82">
        <v>1138938</v>
      </c>
      <c r="Z82">
        <v>1222868</v>
      </c>
      <c r="AA82">
        <v>1000754</v>
      </c>
      <c r="AB82">
        <v>14.5701</v>
      </c>
      <c r="AC82">
        <v>0.87867300000000004</v>
      </c>
      <c r="AD82">
        <v>3.11158</v>
      </c>
      <c r="AE82">
        <v>25049232</v>
      </c>
      <c r="AF82" t="s">
        <v>503</v>
      </c>
      <c r="AG82" t="s">
        <v>504</v>
      </c>
      <c r="AI82">
        <v>1050518</v>
      </c>
      <c r="AJ82">
        <v>1436563527675</v>
      </c>
      <c r="AK82">
        <v>24764323416</v>
      </c>
      <c r="AL82">
        <v>430603094582</v>
      </c>
      <c r="AM82">
        <v>29846166428</v>
      </c>
      <c r="AN82">
        <v>11929017469</v>
      </c>
      <c r="AO82">
        <v>12520933755</v>
      </c>
      <c r="AP82">
        <v>2496907682</v>
      </c>
      <c r="AQ82">
        <v>0</v>
      </c>
      <c r="AR82">
        <v>277434927</v>
      </c>
      <c r="AS82">
        <v>2496907682</v>
      </c>
      <c r="AT82">
        <v>2774342609</v>
      </c>
      <c r="AU82">
        <v>41615128</v>
      </c>
      <c r="AV82">
        <v>0</v>
      </c>
      <c r="AW82">
        <v>4623915</v>
      </c>
      <c r="AX82">
        <v>41615128</v>
      </c>
      <c r="AY82">
        <v>46239043</v>
      </c>
      <c r="AZ82">
        <v>9.8332200000000007</v>
      </c>
      <c r="BA82">
        <v>0.38775500000000002</v>
      </c>
      <c r="BB82">
        <v>1441.99</v>
      </c>
      <c r="BC82">
        <v>344.678</v>
      </c>
      <c r="BD82">
        <v>1682</v>
      </c>
      <c r="BE82">
        <v>30</v>
      </c>
      <c r="BF82">
        <f t="shared" si="19"/>
        <v>59.856813653124995</v>
      </c>
      <c r="BG82" s="31">
        <f t="shared" si="20"/>
        <v>21.235980652083331</v>
      </c>
      <c r="BH82">
        <f t="shared" si="21"/>
        <v>554</v>
      </c>
      <c r="BI82">
        <f t="shared" si="22"/>
        <v>497246</v>
      </c>
      <c r="BJ82">
        <f t="shared" si="23"/>
        <v>7165781</v>
      </c>
      <c r="BK82">
        <f t="shared" si="24"/>
        <v>8016475</v>
      </c>
      <c r="BL82">
        <f t="shared" si="25"/>
        <v>0</v>
      </c>
      <c r="BM82">
        <f t="shared" si="26"/>
        <v>0</v>
      </c>
      <c r="BN82" t="str">
        <f t="shared" si="17"/>
        <v>u=10%, k=2x10^6</v>
      </c>
      <c r="BO82" t="str">
        <f t="shared" si="18"/>
        <v>u=10%, k=2x10^6, sequential</v>
      </c>
      <c r="BP82">
        <f t="shared" si="27"/>
        <v>1.0318468089999999</v>
      </c>
      <c r="BQ82">
        <f t="shared" si="29"/>
        <v>17.941795607583334</v>
      </c>
      <c r="BR82">
        <f t="shared" si="30"/>
        <v>1.2435902678333333</v>
      </c>
      <c r="BS82">
        <f t="shared" si="31"/>
        <v>0.49704239454166665</v>
      </c>
      <c r="BT82">
        <f t="shared" si="32"/>
        <v>0.52170557312499999</v>
      </c>
      <c r="BU82">
        <f t="shared" si="28"/>
        <v>38.62083300104166</v>
      </c>
    </row>
    <row r="83" spans="1:73">
      <c r="A83" t="s">
        <v>179</v>
      </c>
      <c r="B83" t="s">
        <v>136</v>
      </c>
      <c r="C83">
        <v>72</v>
      </c>
      <c r="D83" t="s">
        <v>56</v>
      </c>
      <c r="E83" t="s">
        <v>53</v>
      </c>
      <c r="F83" t="s">
        <v>54</v>
      </c>
      <c r="G83">
        <v>60000</v>
      </c>
      <c r="H83">
        <v>5</v>
      </c>
      <c r="I83">
        <v>5</v>
      </c>
      <c r="J83">
        <v>0</v>
      </c>
      <c r="K83">
        <v>1</v>
      </c>
      <c r="L83">
        <v>2000000</v>
      </c>
      <c r="M83">
        <v>48</v>
      </c>
      <c r="N83">
        <v>48</v>
      </c>
      <c r="O83">
        <v>48</v>
      </c>
      <c r="P83">
        <v>0</v>
      </c>
      <c r="Q83" t="s">
        <v>55</v>
      </c>
      <c r="R83">
        <v>1001038448851</v>
      </c>
      <c r="S83">
        <v>1000680</v>
      </c>
      <c r="T83">
        <v>1001038448851</v>
      </c>
      <c r="U83">
        <v>1000680</v>
      </c>
      <c r="V83" t="s">
        <v>63</v>
      </c>
      <c r="W83">
        <v>6</v>
      </c>
      <c r="X83">
        <v>33047</v>
      </c>
      <c r="Y83">
        <v>1032739</v>
      </c>
      <c r="Z83">
        <v>1065786</v>
      </c>
      <c r="AA83">
        <v>1000680</v>
      </c>
      <c r="AB83">
        <v>32.250599999999999</v>
      </c>
      <c r="AC83">
        <v>0.96895699999999996</v>
      </c>
      <c r="AD83">
        <v>3.0000200000000001</v>
      </c>
      <c r="AE83">
        <v>19167568</v>
      </c>
      <c r="AF83" t="s">
        <v>505</v>
      </c>
      <c r="AG83" t="s">
        <v>506</v>
      </c>
      <c r="AI83">
        <v>291910</v>
      </c>
      <c r="AJ83">
        <v>2873232618201</v>
      </c>
      <c r="AK83">
        <v>44236112326</v>
      </c>
      <c r="AL83">
        <v>1448776454934</v>
      </c>
      <c r="AM83">
        <v>50086558255</v>
      </c>
      <c r="AN83">
        <v>21639148415</v>
      </c>
      <c r="AO83">
        <v>21516230807</v>
      </c>
      <c r="AP83">
        <v>2776191916</v>
      </c>
      <c r="AQ83">
        <v>0</v>
      </c>
      <c r="AR83">
        <v>308438875</v>
      </c>
      <c r="AS83">
        <v>2776191916</v>
      </c>
      <c r="AT83">
        <v>3084630791</v>
      </c>
      <c r="AU83">
        <v>46269865</v>
      </c>
      <c r="AV83">
        <v>0</v>
      </c>
      <c r="AW83">
        <v>5140647</v>
      </c>
      <c r="AX83">
        <v>46269865</v>
      </c>
      <c r="AY83">
        <v>51410513</v>
      </c>
      <c r="AZ83">
        <v>9.8468300000000006</v>
      </c>
      <c r="BA83">
        <v>0.47510400000000003</v>
      </c>
      <c r="BB83">
        <v>2586.37</v>
      </c>
      <c r="BC83">
        <v>501.40899999999999</v>
      </c>
      <c r="BD83">
        <v>2064</v>
      </c>
      <c r="BE83">
        <v>30</v>
      </c>
      <c r="BF83">
        <f t="shared" si="19"/>
        <v>59.859012879187503</v>
      </c>
      <c r="BG83" s="31">
        <f t="shared" si="20"/>
        <v>33.046968848687499</v>
      </c>
      <c r="BH83">
        <f t="shared" si="21"/>
        <v>617</v>
      </c>
      <c r="BI83">
        <f t="shared" si="22"/>
        <v>608541</v>
      </c>
      <c r="BJ83">
        <f t="shared" si="23"/>
        <v>5780708</v>
      </c>
      <c r="BK83">
        <f t="shared" si="24"/>
        <v>8393301</v>
      </c>
      <c r="BL83">
        <f t="shared" si="25"/>
        <v>0</v>
      </c>
      <c r="BM83">
        <f t="shared" si="26"/>
        <v>0</v>
      </c>
      <c r="BN83" t="str">
        <f t="shared" si="17"/>
        <v>u=10%, k=2x10^6</v>
      </c>
      <c r="BO83" t="str">
        <f t="shared" si="18"/>
        <v>u=10%, k=2x10^6, sequential</v>
      </c>
      <c r="BP83">
        <f t="shared" si="27"/>
        <v>0.92158567345833331</v>
      </c>
      <c r="BQ83">
        <f t="shared" si="29"/>
        <v>30.182842811124999</v>
      </c>
      <c r="BR83">
        <f t="shared" si="30"/>
        <v>1.0434699636458333</v>
      </c>
      <c r="BS83">
        <f t="shared" si="31"/>
        <v>0.45081559197916671</v>
      </c>
      <c r="BT83">
        <f t="shared" si="32"/>
        <v>0.44825480847916666</v>
      </c>
      <c r="BU83">
        <f t="shared" si="28"/>
        <v>26.812044030500005</v>
      </c>
    </row>
    <row r="84" spans="1:73">
      <c r="A84" t="s">
        <v>180</v>
      </c>
      <c r="B84" t="s">
        <v>136</v>
      </c>
      <c r="C84">
        <v>72</v>
      </c>
      <c r="D84" t="s">
        <v>56</v>
      </c>
      <c r="E84" t="s">
        <v>53</v>
      </c>
      <c r="F84" t="s">
        <v>54</v>
      </c>
      <c r="G84">
        <v>60000</v>
      </c>
      <c r="H84">
        <v>5</v>
      </c>
      <c r="I84">
        <v>5</v>
      </c>
      <c r="J84">
        <v>0</v>
      </c>
      <c r="K84">
        <v>1</v>
      </c>
      <c r="L84">
        <v>2000000</v>
      </c>
      <c r="M84">
        <v>96</v>
      </c>
      <c r="N84">
        <v>96</v>
      </c>
      <c r="O84">
        <v>96</v>
      </c>
      <c r="P84">
        <v>0</v>
      </c>
      <c r="Q84" t="s">
        <v>55</v>
      </c>
      <c r="R84">
        <v>999879382844</v>
      </c>
      <c r="S84">
        <v>999810</v>
      </c>
      <c r="T84">
        <v>999879382844</v>
      </c>
      <c r="U84">
        <v>999810</v>
      </c>
      <c r="V84" t="s">
        <v>63</v>
      </c>
      <c r="W84">
        <v>6</v>
      </c>
      <c r="X84">
        <v>52584</v>
      </c>
      <c r="Y84">
        <v>1071746</v>
      </c>
      <c r="Z84">
        <v>1124330</v>
      </c>
      <c r="AA84">
        <v>999810</v>
      </c>
      <c r="AB84">
        <v>21.381599999999999</v>
      </c>
      <c r="AC84">
        <v>0.93288000000000004</v>
      </c>
      <c r="AD84">
        <v>3.0411000000000001</v>
      </c>
      <c r="AE84">
        <v>21375856</v>
      </c>
      <c r="AF84" t="s">
        <v>507</v>
      </c>
      <c r="AG84" t="s">
        <v>508</v>
      </c>
      <c r="AI84">
        <v>84866</v>
      </c>
      <c r="AJ84">
        <v>5746269928052</v>
      </c>
      <c r="AK84">
        <v>107822187016</v>
      </c>
      <c r="AL84">
        <v>3812038751239</v>
      </c>
      <c r="AM84">
        <v>80553185712</v>
      </c>
      <c r="AN84">
        <v>51041420165</v>
      </c>
      <c r="AO84">
        <v>25656632252</v>
      </c>
      <c r="AP84">
        <v>3092480127</v>
      </c>
      <c r="AQ84">
        <v>0</v>
      </c>
      <c r="AR84">
        <v>343602033</v>
      </c>
      <c r="AS84">
        <v>3092480127</v>
      </c>
      <c r="AT84">
        <v>3436082160</v>
      </c>
      <c r="AU84">
        <v>51541335</v>
      </c>
      <c r="AV84">
        <v>0</v>
      </c>
      <c r="AW84">
        <v>5726700</v>
      </c>
      <c r="AX84">
        <v>51541335</v>
      </c>
      <c r="AY84">
        <v>57268036</v>
      </c>
      <c r="AZ84">
        <v>10.365399999999999</v>
      </c>
      <c r="BA84">
        <v>1.49119</v>
      </c>
      <c r="BB84">
        <v>4649.75</v>
      </c>
      <c r="BC84">
        <v>783.14200000000005</v>
      </c>
      <c r="BD84">
        <v>2938</v>
      </c>
      <c r="BE84">
        <v>149</v>
      </c>
      <c r="BF84">
        <f t="shared" si="19"/>
        <v>59.856978417208332</v>
      </c>
      <c r="BG84" s="31">
        <f t="shared" si="20"/>
        <v>42.469918503999999</v>
      </c>
      <c r="BH84">
        <f t="shared" si="21"/>
        <v>687</v>
      </c>
      <c r="BI84">
        <f t="shared" si="22"/>
        <v>1073072</v>
      </c>
      <c r="BJ84">
        <f t="shared" si="23"/>
        <v>1865304</v>
      </c>
      <c r="BK84">
        <f t="shared" si="24"/>
        <v>7937755</v>
      </c>
      <c r="BL84">
        <f t="shared" si="25"/>
        <v>0</v>
      </c>
      <c r="BM84">
        <f t="shared" si="26"/>
        <v>0</v>
      </c>
      <c r="BN84" t="str">
        <f t="shared" si="17"/>
        <v>u=10%, k=2x10^6</v>
      </c>
      <c r="BO84" t="str">
        <f t="shared" si="18"/>
        <v>u=10%, k=2x10^6, sequential</v>
      </c>
      <c r="BP84">
        <f t="shared" si="27"/>
        <v>1.1231477814166666</v>
      </c>
      <c r="BQ84">
        <f t="shared" si="29"/>
        <v>39.708736992072915</v>
      </c>
      <c r="BR84">
        <f t="shared" si="30"/>
        <v>0.83909568450000005</v>
      </c>
      <c r="BS84">
        <f t="shared" si="31"/>
        <v>0.53168146005208328</v>
      </c>
      <c r="BT84">
        <f t="shared" si="32"/>
        <v>0.26725658595833335</v>
      </c>
      <c r="BU84">
        <f t="shared" si="28"/>
        <v>17.387059913208326</v>
      </c>
    </row>
    <row r="85" spans="1:73">
      <c r="A85" t="s">
        <v>181</v>
      </c>
      <c r="B85" t="s">
        <v>136</v>
      </c>
      <c r="C85">
        <v>72</v>
      </c>
      <c r="D85" t="s">
        <v>56</v>
      </c>
      <c r="E85" t="s">
        <v>53</v>
      </c>
      <c r="F85" t="s">
        <v>54</v>
      </c>
      <c r="G85">
        <v>60000</v>
      </c>
      <c r="H85">
        <v>5</v>
      </c>
      <c r="I85">
        <v>5</v>
      </c>
      <c r="J85">
        <v>0</v>
      </c>
      <c r="K85">
        <v>1</v>
      </c>
      <c r="L85">
        <v>2000000</v>
      </c>
      <c r="M85">
        <v>144</v>
      </c>
      <c r="N85">
        <v>144</v>
      </c>
      <c r="O85">
        <v>144</v>
      </c>
      <c r="P85">
        <v>0</v>
      </c>
      <c r="Q85" t="s">
        <v>55</v>
      </c>
      <c r="R85">
        <v>1001380323421</v>
      </c>
      <c r="S85">
        <v>1001060</v>
      </c>
      <c r="T85">
        <v>1001380323421</v>
      </c>
      <c r="U85">
        <v>1001060</v>
      </c>
      <c r="V85" t="s">
        <v>63</v>
      </c>
      <c r="W85">
        <v>6</v>
      </c>
      <c r="X85">
        <v>33071</v>
      </c>
      <c r="Y85">
        <v>1033169</v>
      </c>
      <c r="Z85">
        <v>1066240</v>
      </c>
      <c r="AA85">
        <v>1001060</v>
      </c>
      <c r="AB85">
        <v>32.240900000000003</v>
      </c>
      <c r="AC85">
        <v>0.96892199999999995</v>
      </c>
      <c r="AD85">
        <v>3.00007</v>
      </c>
      <c r="AE85">
        <v>19176368</v>
      </c>
      <c r="AF85" t="s">
        <v>509</v>
      </c>
      <c r="AG85" t="s">
        <v>510</v>
      </c>
      <c r="AI85">
        <v>44004</v>
      </c>
      <c r="AJ85">
        <v>8626027479012</v>
      </c>
      <c r="AK85">
        <v>156317844885</v>
      </c>
      <c r="AL85">
        <v>6153434302968</v>
      </c>
      <c r="AM85">
        <v>117744858383</v>
      </c>
      <c r="AN85">
        <v>357440299605</v>
      </c>
      <c r="AO85">
        <v>32403466810</v>
      </c>
      <c r="AP85">
        <v>3057900265</v>
      </c>
      <c r="AQ85">
        <v>0</v>
      </c>
      <c r="AR85">
        <v>339762943</v>
      </c>
      <c r="AS85">
        <v>3057900265</v>
      </c>
      <c r="AT85">
        <v>3397663208</v>
      </c>
      <c r="AU85">
        <v>50965004</v>
      </c>
      <c r="AV85">
        <v>0</v>
      </c>
      <c r="AW85">
        <v>5662715</v>
      </c>
      <c r="AX85">
        <v>50965004</v>
      </c>
      <c r="AY85">
        <v>56627720</v>
      </c>
      <c r="AZ85">
        <v>11.4483</v>
      </c>
      <c r="BA85">
        <v>2.4249499999999999</v>
      </c>
      <c r="BB85">
        <v>6974.82</v>
      </c>
      <c r="BC85">
        <v>1004.6</v>
      </c>
      <c r="BD85">
        <v>3663</v>
      </c>
      <c r="BE85">
        <v>370</v>
      </c>
      <c r="BF85">
        <f t="shared" si="19"/>
        <v>59.902968604249999</v>
      </c>
      <c r="BG85" s="31">
        <f t="shared" si="20"/>
        <v>47.342644254520835</v>
      </c>
      <c r="BH85">
        <f t="shared" si="21"/>
        <v>680</v>
      </c>
      <c r="BI85">
        <f t="shared" si="22"/>
        <v>1974123</v>
      </c>
      <c r="BJ85">
        <f t="shared" si="23"/>
        <v>355726</v>
      </c>
      <c r="BK85">
        <f t="shared" si="24"/>
        <v>5517597</v>
      </c>
      <c r="BL85">
        <f t="shared" si="25"/>
        <v>0</v>
      </c>
      <c r="BM85">
        <f t="shared" si="26"/>
        <v>0</v>
      </c>
      <c r="BN85" t="str">
        <f t="shared" si="17"/>
        <v>u=10%, k=2x10^6</v>
      </c>
      <c r="BO85" t="str">
        <f t="shared" si="18"/>
        <v>u=10%, k=2x10^6, sequential</v>
      </c>
      <c r="BP85">
        <f t="shared" si="27"/>
        <v>1.0855405894791668</v>
      </c>
      <c r="BQ85">
        <f t="shared" si="29"/>
        <v>42.732182659500005</v>
      </c>
      <c r="BR85">
        <f t="shared" si="30"/>
        <v>0.81767262765972215</v>
      </c>
      <c r="BS85">
        <f t="shared" si="31"/>
        <v>2.4822243028124999</v>
      </c>
      <c r="BT85">
        <f t="shared" si="32"/>
        <v>0.22502407506944444</v>
      </c>
      <c r="BU85">
        <f t="shared" si="28"/>
        <v>12.560324349729164</v>
      </c>
    </row>
    <row r="86" spans="1:73">
      <c r="A86" t="s">
        <v>182</v>
      </c>
      <c r="B86" t="s">
        <v>136</v>
      </c>
      <c r="C86">
        <v>72</v>
      </c>
      <c r="D86" t="s">
        <v>56</v>
      </c>
      <c r="E86" t="s">
        <v>53</v>
      </c>
      <c r="F86" t="s">
        <v>54</v>
      </c>
      <c r="G86">
        <v>60000</v>
      </c>
      <c r="H86">
        <v>5</v>
      </c>
      <c r="I86">
        <v>5</v>
      </c>
      <c r="J86">
        <v>0</v>
      </c>
      <c r="K86">
        <v>1</v>
      </c>
      <c r="L86">
        <v>2000000</v>
      </c>
      <c r="M86">
        <v>190</v>
      </c>
      <c r="N86">
        <v>190</v>
      </c>
      <c r="O86">
        <v>190</v>
      </c>
      <c r="P86">
        <v>0</v>
      </c>
      <c r="Q86" t="s">
        <v>55</v>
      </c>
      <c r="R86">
        <v>999977010635</v>
      </c>
      <c r="S86">
        <v>1000193</v>
      </c>
      <c r="T86">
        <v>999977010635</v>
      </c>
      <c r="U86">
        <v>1000193</v>
      </c>
      <c r="V86" t="s">
        <v>63</v>
      </c>
      <c r="W86">
        <v>6</v>
      </c>
      <c r="X86">
        <v>53608</v>
      </c>
      <c r="Y86">
        <v>1074025</v>
      </c>
      <c r="Z86">
        <v>1127633</v>
      </c>
      <c r="AA86">
        <v>1000193</v>
      </c>
      <c r="AB86">
        <v>21.034800000000001</v>
      </c>
      <c r="AC86">
        <v>0.931257</v>
      </c>
      <c r="AD86">
        <v>3.0429200000000001</v>
      </c>
      <c r="AE86">
        <v>21492256</v>
      </c>
      <c r="AF86" t="s">
        <v>511</v>
      </c>
      <c r="AG86" t="s">
        <v>512</v>
      </c>
      <c r="AI86">
        <v>37426</v>
      </c>
      <c r="AJ86">
        <v>11372842134892</v>
      </c>
      <c r="AK86">
        <v>202290053778</v>
      </c>
      <c r="AL86">
        <v>7822897022925</v>
      </c>
      <c r="AM86">
        <v>124298156124</v>
      </c>
      <c r="AN86">
        <v>829380713682</v>
      </c>
      <c r="AO86">
        <v>33870620587</v>
      </c>
      <c r="AP86">
        <v>3771611624</v>
      </c>
      <c r="AQ86">
        <v>0</v>
      </c>
      <c r="AR86">
        <v>419036791</v>
      </c>
      <c r="AS86">
        <v>3771611624</v>
      </c>
      <c r="AT86">
        <v>4190648415</v>
      </c>
      <c r="AU86">
        <v>62860193</v>
      </c>
      <c r="AV86">
        <v>0</v>
      </c>
      <c r="AW86">
        <v>6983946</v>
      </c>
      <c r="AX86">
        <v>62860193</v>
      </c>
      <c r="AY86">
        <v>69844140</v>
      </c>
      <c r="AZ86">
        <v>11.5412</v>
      </c>
      <c r="BA86">
        <v>2.7721200000000001</v>
      </c>
      <c r="BB86">
        <v>7388.65</v>
      </c>
      <c r="BC86">
        <v>1130.05</v>
      </c>
      <c r="BD86">
        <v>3099</v>
      </c>
      <c r="BE86">
        <v>256</v>
      </c>
      <c r="BF86">
        <f t="shared" si="19"/>
        <v>59.857063867852631</v>
      </c>
      <c r="BG86" s="31">
        <f t="shared" si="20"/>
        <v>47.435455616294739</v>
      </c>
      <c r="BH86">
        <f t="shared" si="21"/>
        <v>838</v>
      </c>
      <c r="BI86">
        <f t="shared" si="22"/>
        <v>1958156</v>
      </c>
      <c r="BJ86">
        <f t="shared" si="23"/>
        <v>953944</v>
      </c>
      <c r="BK86">
        <f t="shared" si="24"/>
        <v>7869063</v>
      </c>
      <c r="BL86">
        <f t="shared" si="25"/>
        <v>0</v>
      </c>
      <c r="BM86">
        <f t="shared" si="26"/>
        <v>0</v>
      </c>
      <c r="BN86" t="str">
        <f t="shared" si="17"/>
        <v>u=10%, k=2x10^6</v>
      </c>
      <c r="BO86" t="str">
        <f t="shared" si="18"/>
        <v>u=10%, k=2x10^6, sequential</v>
      </c>
      <c r="BP86">
        <f t="shared" si="27"/>
        <v>1.064684493568421</v>
      </c>
      <c r="BQ86">
        <f t="shared" si="29"/>
        <v>41.173142225921055</v>
      </c>
      <c r="BR86">
        <f t="shared" si="30"/>
        <v>0.65420082170526317</v>
      </c>
      <c r="BS86">
        <f t="shared" si="31"/>
        <v>4.3651616509578943</v>
      </c>
      <c r="BT86">
        <f t="shared" si="32"/>
        <v>0.17826642414210525</v>
      </c>
      <c r="BU86">
        <f t="shared" si="28"/>
        <v>12.421608251557899</v>
      </c>
    </row>
    <row r="87" spans="1:73">
      <c r="A87" t="s">
        <v>183</v>
      </c>
      <c r="B87" t="s">
        <v>136</v>
      </c>
      <c r="C87">
        <v>72</v>
      </c>
      <c r="D87" t="s">
        <v>56</v>
      </c>
      <c r="E87" t="s">
        <v>53</v>
      </c>
      <c r="F87" t="s">
        <v>54</v>
      </c>
      <c r="G87">
        <v>60000</v>
      </c>
      <c r="H87">
        <v>5</v>
      </c>
      <c r="I87">
        <v>5</v>
      </c>
      <c r="J87">
        <v>0</v>
      </c>
      <c r="K87">
        <v>1</v>
      </c>
      <c r="L87">
        <v>20000000</v>
      </c>
      <c r="M87">
        <v>24</v>
      </c>
      <c r="N87">
        <v>24</v>
      </c>
      <c r="O87">
        <v>24</v>
      </c>
      <c r="P87">
        <v>0</v>
      </c>
      <c r="Q87" t="s">
        <v>55</v>
      </c>
      <c r="R87">
        <v>100026114405589</v>
      </c>
      <c r="S87">
        <v>10001248</v>
      </c>
      <c r="T87">
        <v>100026114405589</v>
      </c>
      <c r="U87">
        <v>10001248</v>
      </c>
      <c r="V87" t="s">
        <v>63</v>
      </c>
      <c r="W87">
        <v>7</v>
      </c>
      <c r="X87">
        <v>1625791</v>
      </c>
      <c r="Y87">
        <v>11443588</v>
      </c>
      <c r="Z87">
        <v>13069379</v>
      </c>
      <c r="AA87">
        <v>10001248</v>
      </c>
      <c r="AB87">
        <v>8.0387799999999991</v>
      </c>
      <c r="AC87">
        <v>0.87396099999999999</v>
      </c>
      <c r="AD87">
        <v>4</v>
      </c>
      <c r="AE87">
        <v>313160672</v>
      </c>
      <c r="AF87" t="s">
        <v>513</v>
      </c>
      <c r="AG87" t="s">
        <v>514</v>
      </c>
      <c r="AI87">
        <v>426984</v>
      </c>
      <c r="AJ87">
        <v>1443604423203</v>
      </c>
      <c r="AK87">
        <v>31733986583</v>
      </c>
      <c r="AL87">
        <v>473338459708</v>
      </c>
      <c r="AM87">
        <v>37315642285</v>
      </c>
      <c r="AN87">
        <v>23907841000</v>
      </c>
      <c r="AO87">
        <v>11647333683</v>
      </c>
      <c r="AP87">
        <v>1079891428</v>
      </c>
      <c r="AQ87">
        <v>0</v>
      </c>
      <c r="AR87">
        <v>119982203</v>
      </c>
      <c r="AS87">
        <v>1079891428</v>
      </c>
      <c r="AT87">
        <v>1199873631</v>
      </c>
      <c r="AU87">
        <v>17998190</v>
      </c>
      <c r="AV87">
        <v>0</v>
      </c>
      <c r="AW87">
        <v>1999703</v>
      </c>
      <c r="AX87">
        <v>17998190</v>
      </c>
      <c r="AY87">
        <v>19997893</v>
      </c>
      <c r="AZ87">
        <v>17.979399999999998</v>
      </c>
      <c r="BA87">
        <v>7.1655100000000003</v>
      </c>
      <c r="BB87">
        <v>3344.44</v>
      </c>
      <c r="BC87">
        <v>1433.95</v>
      </c>
      <c r="BD87">
        <v>3359</v>
      </c>
      <c r="BE87">
        <v>154</v>
      </c>
      <c r="BF87">
        <f t="shared" si="19"/>
        <v>60.150184300124998</v>
      </c>
      <c r="BG87" s="31">
        <f t="shared" si="20"/>
        <v>24.080969302458332</v>
      </c>
      <c r="BH87">
        <f t="shared" si="21"/>
        <v>24</v>
      </c>
      <c r="BI87">
        <f t="shared" si="22"/>
        <v>66954</v>
      </c>
      <c r="BJ87">
        <f t="shared" si="23"/>
        <v>1923608</v>
      </c>
      <c r="BK87">
        <f t="shared" si="24"/>
        <v>17555416</v>
      </c>
      <c r="BL87">
        <f t="shared" si="25"/>
        <v>58609</v>
      </c>
      <c r="BM87">
        <f t="shared" si="26"/>
        <v>0</v>
      </c>
      <c r="BN87" t="str">
        <f t="shared" si="17"/>
        <v>u=10%, k=2x10^7</v>
      </c>
      <c r="BO87" t="str">
        <f t="shared" si="18"/>
        <v>u=10%, k=2x10^7, sequential</v>
      </c>
      <c r="BP87">
        <f t="shared" si="27"/>
        <v>1.3222494409583334</v>
      </c>
      <c r="BQ87">
        <f t="shared" si="29"/>
        <v>19.722435821166666</v>
      </c>
      <c r="BR87">
        <f t="shared" si="30"/>
        <v>1.5548184285416669</v>
      </c>
      <c r="BS87">
        <f t="shared" si="31"/>
        <v>0.99616004166666672</v>
      </c>
      <c r="BT87">
        <f t="shared" si="32"/>
        <v>0.48530557012499997</v>
      </c>
      <c r="BU87">
        <f t="shared" si="28"/>
        <v>36.069214997666663</v>
      </c>
    </row>
    <row r="88" spans="1:73">
      <c r="A88" t="s">
        <v>184</v>
      </c>
      <c r="B88" t="s">
        <v>136</v>
      </c>
      <c r="C88">
        <v>72</v>
      </c>
      <c r="D88" t="s">
        <v>56</v>
      </c>
      <c r="E88" t="s">
        <v>53</v>
      </c>
      <c r="F88" t="s">
        <v>54</v>
      </c>
      <c r="G88">
        <v>60000</v>
      </c>
      <c r="H88">
        <v>5</v>
      </c>
      <c r="I88">
        <v>5</v>
      </c>
      <c r="J88">
        <v>0</v>
      </c>
      <c r="K88">
        <v>1</v>
      </c>
      <c r="L88">
        <v>20000000</v>
      </c>
      <c r="M88">
        <v>48</v>
      </c>
      <c r="N88">
        <v>48</v>
      </c>
      <c r="O88">
        <v>48</v>
      </c>
      <c r="P88">
        <v>0</v>
      </c>
      <c r="Q88" t="s">
        <v>55</v>
      </c>
      <c r="R88">
        <v>99984183561184</v>
      </c>
      <c r="S88">
        <v>9998110</v>
      </c>
      <c r="T88">
        <v>99984183561184</v>
      </c>
      <c r="U88">
        <v>9998110</v>
      </c>
      <c r="V88" t="s">
        <v>63</v>
      </c>
      <c r="W88">
        <v>7</v>
      </c>
      <c r="X88">
        <v>1894192</v>
      </c>
      <c r="Y88">
        <v>12001611</v>
      </c>
      <c r="Z88">
        <v>13895803</v>
      </c>
      <c r="AA88">
        <v>9998110</v>
      </c>
      <c r="AB88">
        <v>7.3360099999999999</v>
      </c>
      <c r="AC88">
        <v>0.83306400000000003</v>
      </c>
      <c r="AD88">
        <v>4.0538100000000004</v>
      </c>
      <c r="AE88">
        <v>343584000</v>
      </c>
      <c r="AF88" t="s">
        <v>515</v>
      </c>
      <c r="AG88" t="s">
        <v>516</v>
      </c>
      <c r="AI88">
        <v>137654</v>
      </c>
      <c r="AJ88">
        <v>2873125679516</v>
      </c>
      <c r="AK88">
        <v>53405384641</v>
      </c>
      <c r="AL88">
        <v>1374035652011</v>
      </c>
      <c r="AM88">
        <v>65983274901</v>
      </c>
      <c r="AN88">
        <v>62277561364</v>
      </c>
      <c r="AO88">
        <v>20876779418</v>
      </c>
      <c r="AP88">
        <v>1415871540</v>
      </c>
      <c r="AQ88">
        <v>0</v>
      </c>
      <c r="AR88">
        <v>157324781</v>
      </c>
      <c r="AS88">
        <v>1415871540</v>
      </c>
      <c r="AT88">
        <v>1573196321</v>
      </c>
      <c r="AU88">
        <v>23597859</v>
      </c>
      <c r="AV88">
        <v>0</v>
      </c>
      <c r="AW88">
        <v>2622079</v>
      </c>
      <c r="AX88">
        <v>23597859</v>
      </c>
      <c r="AY88">
        <v>26219938</v>
      </c>
      <c r="AZ88">
        <v>18.157299999999999</v>
      </c>
      <c r="BA88">
        <v>7.3438699999999999</v>
      </c>
      <c r="BB88">
        <v>5067.88</v>
      </c>
      <c r="BC88">
        <v>1757.71</v>
      </c>
      <c r="BD88">
        <v>3757</v>
      </c>
      <c r="BE88">
        <v>204</v>
      </c>
      <c r="BF88">
        <f t="shared" si="19"/>
        <v>59.856784989916669</v>
      </c>
      <c r="BG88" s="31">
        <f t="shared" si="20"/>
        <v>32.845388590312503</v>
      </c>
      <c r="BH88">
        <f t="shared" si="21"/>
        <v>31</v>
      </c>
      <c r="BI88">
        <f t="shared" si="22"/>
        <v>96229</v>
      </c>
      <c r="BJ88">
        <f t="shared" si="23"/>
        <v>2107424</v>
      </c>
      <c r="BK88">
        <f t="shared" si="24"/>
        <v>22334384</v>
      </c>
      <c r="BL88">
        <f t="shared" si="25"/>
        <v>72317</v>
      </c>
      <c r="BM88">
        <f t="shared" si="26"/>
        <v>0</v>
      </c>
      <c r="BN88" t="str">
        <f t="shared" si="17"/>
        <v>u=10%, k=2x10^7</v>
      </c>
      <c r="BO88" t="str">
        <f t="shared" si="18"/>
        <v>u=10%, k=2x10^7, sequential</v>
      </c>
      <c r="BP88">
        <f t="shared" si="27"/>
        <v>1.1126121800208333</v>
      </c>
      <c r="BQ88">
        <f t="shared" si="29"/>
        <v>28.625742750229165</v>
      </c>
      <c r="BR88">
        <f t="shared" si="30"/>
        <v>1.3746515604375</v>
      </c>
      <c r="BS88">
        <f t="shared" si="31"/>
        <v>1.2974491950833333</v>
      </c>
      <c r="BT88">
        <f t="shared" si="32"/>
        <v>0.43493290454166672</v>
      </c>
      <c r="BU88">
        <f t="shared" si="28"/>
        <v>27.011396399604173</v>
      </c>
    </row>
    <row r="89" spans="1:73">
      <c r="A89" t="s">
        <v>185</v>
      </c>
      <c r="B89" t="s">
        <v>136</v>
      </c>
      <c r="C89">
        <v>72</v>
      </c>
      <c r="D89" t="s">
        <v>56</v>
      </c>
      <c r="E89" t="s">
        <v>53</v>
      </c>
      <c r="F89" t="s">
        <v>54</v>
      </c>
      <c r="G89">
        <v>60000</v>
      </c>
      <c r="H89">
        <v>5</v>
      </c>
      <c r="I89">
        <v>5</v>
      </c>
      <c r="J89">
        <v>0</v>
      </c>
      <c r="K89">
        <v>1</v>
      </c>
      <c r="L89">
        <v>20000000</v>
      </c>
      <c r="M89">
        <v>96</v>
      </c>
      <c r="N89">
        <v>96</v>
      </c>
      <c r="O89">
        <v>96</v>
      </c>
      <c r="P89">
        <v>0</v>
      </c>
      <c r="Q89" t="s">
        <v>55</v>
      </c>
      <c r="R89">
        <v>100023635474609</v>
      </c>
      <c r="S89">
        <v>10002099</v>
      </c>
      <c r="T89">
        <v>100023635474609</v>
      </c>
      <c r="U89">
        <v>10002099</v>
      </c>
      <c r="V89" t="s">
        <v>63</v>
      </c>
      <c r="W89">
        <v>7</v>
      </c>
      <c r="X89">
        <v>1853277</v>
      </c>
      <c r="Y89">
        <v>11914102</v>
      </c>
      <c r="Z89">
        <v>13767379</v>
      </c>
      <c r="AA89">
        <v>10002099</v>
      </c>
      <c r="AB89">
        <v>7.4286700000000003</v>
      </c>
      <c r="AC89">
        <v>0.83951799999999999</v>
      </c>
      <c r="AD89">
        <v>4.0455500000000004</v>
      </c>
      <c r="AE89">
        <v>338897168</v>
      </c>
      <c r="AF89" t="s">
        <v>517</v>
      </c>
      <c r="AG89" t="s">
        <v>518</v>
      </c>
      <c r="AI89">
        <v>47338</v>
      </c>
      <c r="AJ89">
        <v>5746567954443</v>
      </c>
      <c r="AK89">
        <v>62595921422</v>
      </c>
      <c r="AL89">
        <v>3666525973369</v>
      </c>
      <c r="AM89">
        <v>79584422877</v>
      </c>
      <c r="AN89">
        <v>445795087513</v>
      </c>
      <c r="AO89">
        <v>24607923316</v>
      </c>
      <c r="AP89">
        <v>1633721611</v>
      </c>
      <c r="AQ89">
        <v>0</v>
      </c>
      <c r="AR89">
        <v>181511645</v>
      </c>
      <c r="AS89">
        <v>1633721611</v>
      </c>
      <c r="AT89">
        <v>1815233256</v>
      </c>
      <c r="AU89">
        <v>27228693</v>
      </c>
      <c r="AV89">
        <v>0</v>
      </c>
      <c r="AW89">
        <v>3025194</v>
      </c>
      <c r="AX89">
        <v>27228693</v>
      </c>
      <c r="AY89">
        <v>30253887</v>
      </c>
      <c r="AZ89">
        <v>18.2729</v>
      </c>
      <c r="BA89">
        <v>7.6767700000000003</v>
      </c>
      <c r="BB89">
        <v>8284.8700000000008</v>
      </c>
      <c r="BC89">
        <v>1648.38</v>
      </c>
      <c r="BD89">
        <v>4478</v>
      </c>
      <c r="BE89">
        <v>253</v>
      </c>
      <c r="BF89">
        <f t="shared" si="19"/>
        <v>59.860082858781254</v>
      </c>
      <c r="BG89" s="31">
        <f t="shared" si="20"/>
        <v>44.574055505177085</v>
      </c>
      <c r="BH89">
        <f t="shared" si="21"/>
        <v>36</v>
      </c>
      <c r="BI89">
        <f t="shared" si="22"/>
        <v>113821</v>
      </c>
      <c r="BJ89">
        <f t="shared" si="23"/>
        <v>1658203</v>
      </c>
      <c r="BK89">
        <f t="shared" si="24"/>
        <v>24819385</v>
      </c>
      <c r="BL89">
        <f t="shared" si="25"/>
        <v>71834</v>
      </c>
      <c r="BM89">
        <f t="shared" si="26"/>
        <v>0</v>
      </c>
      <c r="BN89" t="str">
        <f t="shared" si="17"/>
        <v>u=10%, k=2x10^7</v>
      </c>
      <c r="BO89" t="str">
        <f t="shared" si="18"/>
        <v>u=10%, k=2x10^7, sequential</v>
      </c>
      <c r="BP89">
        <f t="shared" si="27"/>
        <v>0.65204084814583341</v>
      </c>
      <c r="BQ89">
        <f t="shared" si="29"/>
        <v>38.192978889260417</v>
      </c>
      <c r="BR89">
        <f t="shared" si="30"/>
        <v>0.82900440496874994</v>
      </c>
      <c r="BS89">
        <f t="shared" si="31"/>
        <v>4.6436988282604164</v>
      </c>
      <c r="BT89">
        <f t="shared" si="32"/>
        <v>0.25633253454166666</v>
      </c>
      <c r="BU89">
        <f t="shared" si="28"/>
        <v>15.286027353604169</v>
      </c>
    </row>
    <row r="90" spans="1:73">
      <c r="A90" t="s">
        <v>186</v>
      </c>
      <c r="B90" t="s">
        <v>136</v>
      </c>
      <c r="C90">
        <v>72</v>
      </c>
      <c r="D90" t="s">
        <v>56</v>
      </c>
      <c r="E90" t="s">
        <v>53</v>
      </c>
      <c r="F90" t="s">
        <v>54</v>
      </c>
      <c r="G90">
        <v>60000</v>
      </c>
      <c r="H90">
        <v>5</v>
      </c>
      <c r="I90">
        <v>5</v>
      </c>
      <c r="J90">
        <v>0</v>
      </c>
      <c r="K90">
        <v>1</v>
      </c>
      <c r="L90">
        <v>20000000</v>
      </c>
      <c r="M90">
        <v>144</v>
      </c>
      <c r="N90">
        <v>144</v>
      </c>
      <c r="O90">
        <v>144</v>
      </c>
      <c r="P90">
        <v>0</v>
      </c>
      <c r="Q90" t="s">
        <v>55</v>
      </c>
      <c r="R90">
        <v>99971660485884</v>
      </c>
      <c r="S90">
        <v>9997696</v>
      </c>
      <c r="T90">
        <v>99971660485884</v>
      </c>
      <c r="U90">
        <v>9997696</v>
      </c>
      <c r="V90" t="s">
        <v>63</v>
      </c>
      <c r="W90">
        <v>7</v>
      </c>
      <c r="X90">
        <v>1625308</v>
      </c>
      <c r="Y90">
        <v>11439648</v>
      </c>
      <c r="Z90">
        <v>13064956</v>
      </c>
      <c r="AA90">
        <v>9997696</v>
      </c>
      <c r="AB90">
        <v>8.0384499999999992</v>
      </c>
      <c r="AC90">
        <v>0.87395100000000003</v>
      </c>
      <c r="AD90">
        <v>4.0000099999999996</v>
      </c>
      <c r="AE90">
        <v>313058992</v>
      </c>
      <c r="AF90" t="s">
        <v>519</v>
      </c>
      <c r="AG90" t="s">
        <v>520</v>
      </c>
      <c r="AI90">
        <v>27280</v>
      </c>
      <c r="AJ90">
        <v>8650804601250</v>
      </c>
      <c r="AK90">
        <v>60272759222</v>
      </c>
      <c r="AL90">
        <v>5985527627255</v>
      </c>
      <c r="AM90">
        <v>77916397660</v>
      </c>
      <c r="AN90">
        <v>1074348868880</v>
      </c>
      <c r="AO90">
        <v>25285996811</v>
      </c>
      <c r="AP90">
        <v>1575225978</v>
      </c>
      <c r="AQ90">
        <v>0</v>
      </c>
      <c r="AR90">
        <v>175029688</v>
      </c>
      <c r="AS90">
        <v>1575225978</v>
      </c>
      <c r="AT90">
        <v>1750255666</v>
      </c>
      <c r="AU90">
        <v>26253766</v>
      </c>
      <c r="AV90">
        <v>0</v>
      </c>
      <c r="AW90">
        <v>2917161</v>
      </c>
      <c r="AX90">
        <v>26253766</v>
      </c>
      <c r="AY90">
        <v>29170927</v>
      </c>
      <c r="AZ90">
        <v>18.3828</v>
      </c>
      <c r="BA90">
        <v>7.9800599999999999</v>
      </c>
      <c r="BB90">
        <v>12194</v>
      </c>
      <c r="BC90">
        <v>1633.67</v>
      </c>
      <c r="BD90">
        <v>4745</v>
      </c>
      <c r="BE90">
        <v>359</v>
      </c>
      <c r="BF90">
        <f t="shared" si="19"/>
        <v>60.075031953124999</v>
      </c>
      <c r="BG90" s="31">
        <f t="shared" si="20"/>
        <v>50.162164234916666</v>
      </c>
      <c r="BH90">
        <f t="shared" si="21"/>
        <v>35</v>
      </c>
      <c r="BI90">
        <f t="shared" si="22"/>
        <v>110710</v>
      </c>
      <c r="BJ90">
        <f t="shared" si="23"/>
        <v>928289</v>
      </c>
      <c r="BK90">
        <f t="shared" si="24"/>
        <v>23417884</v>
      </c>
      <c r="BL90">
        <f t="shared" si="25"/>
        <v>59037</v>
      </c>
      <c r="BM90">
        <f t="shared" si="26"/>
        <v>0</v>
      </c>
      <c r="BN90" t="str">
        <f t="shared" si="17"/>
        <v>u=10%, k=2x10^7</v>
      </c>
      <c r="BO90" t="str">
        <f t="shared" si="18"/>
        <v>u=10%, k=2x10^7, sequential</v>
      </c>
      <c r="BP90">
        <f t="shared" si="27"/>
        <v>0.41856082793055555</v>
      </c>
      <c r="BQ90">
        <f t="shared" si="29"/>
        <v>41.566164078159723</v>
      </c>
      <c r="BR90">
        <f t="shared" si="30"/>
        <v>0.54108609486111114</v>
      </c>
      <c r="BS90">
        <f t="shared" si="31"/>
        <v>7.460756033888889</v>
      </c>
      <c r="BT90">
        <f t="shared" si="32"/>
        <v>0.1755972000763889</v>
      </c>
      <c r="BU90">
        <f t="shared" si="28"/>
        <v>9.9128677182083251</v>
      </c>
    </row>
    <row r="91" spans="1:73">
      <c r="A91" t="s">
        <v>187</v>
      </c>
      <c r="B91" t="s">
        <v>136</v>
      </c>
      <c r="C91">
        <v>72</v>
      </c>
      <c r="D91" t="s">
        <v>56</v>
      </c>
      <c r="E91" t="s">
        <v>53</v>
      </c>
      <c r="F91" t="s">
        <v>54</v>
      </c>
      <c r="G91">
        <v>60000</v>
      </c>
      <c r="H91">
        <v>5</v>
      </c>
      <c r="I91">
        <v>5</v>
      </c>
      <c r="J91">
        <v>0</v>
      </c>
      <c r="K91">
        <v>1</v>
      </c>
      <c r="L91">
        <v>20000000</v>
      </c>
      <c r="M91">
        <v>190</v>
      </c>
      <c r="N91">
        <v>190</v>
      </c>
      <c r="O91">
        <v>190</v>
      </c>
      <c r="P91">
        <v>0</v>
      </c>
      <c r="Q91" t="s">
        <v>55</v>
      </c>
      <c r="R91">
        <v>99981477004973</v>
      </c>
      <c r="S91">
        <v>9997430</v>
      </c>
      <c r="T91">
        <v>99981477004973</v>
      </c>
      <c r="U91">
        <v>9997430</v>
      </c>
      <c r="V91" t="s">
        <v>63</v>
      </c>
      <c r="W91">
        <v>7</v>
      </c>
      <c r="X91">
        <v>1625325</v>
      </c>
      <c r="Y91">
        <v>11439399</v>
      </c>
      <c r="Z91">
        <v>13064724</v>
      </c>
      <c r="AA91">
        <v>9997430</v>
      </c>
      <c r="AB91">
        <v>8.0382200000000008</v>
      </c>
      <c r="AC91">
        <v>0.87394700000000003</v>
      </c>
      <c r="AD91">
        <v>4.0000099999999996</v>
      </c>
      <c r="AE91">
        <v>313056368</v>
      </c>
      <c r="AF91" t="s">
        <v>521</v>
      </c>
      <c r="AG91" t="s">
        <v>522</v>
      </c>
      <c r="AI91">
        <v>19824</v>
      </c>
      <c r="AJ91">
        <v>11449173431213</v>
      </c>
      <c r="AK91">
        <v>63449042916</v>
      </c>
      <c r="AL91">
        <v>7969529268421</v>
      </c>
      <c r="AM91">
        <v>82356412426</v>
      </c>
      <c r="AN91">
        <v>1831766763461</v>
      </c>
      <c r="AO91">
        <v>25642336974</v>
      </c>
      <c r="AP91">
        <v>1619693609</v>
      </c>
      <c r="AQ91">
        <v>0</v>
      </c>
      <c r="AR91">
        <v>179954214</v>
      </c>
      <c r="AS91">
        <v>1619693609</v>
      </c>
      <c r="AT91">
        <v>1799647823</v>
      </c>
      <c r="AU91">
        <v>26994893</v>
      </c>
      <c r="AV91">
        <v>0</v>
      </c>
      <c r="AW91">
        <v>2999236</v>
      </c>
      <c r="AX91">
        <v>26994893</v>
      </c>
      <c r="AY91">
        <v>29994130</v>
      </c>
      <c r="AZ91">
        <v>18.490600000000001</v>
      </c>
      <c r="BA91">
        <v>8.1856299999999997</v>
      </c>
      <c r="BB91">
        <v>14972.3</v>
      </c>
      <c r="BC91">
        <v>1657.7</v>
      </c>
      <c r="BD91">
        <v>5140</v>
      </c>
      <c r="BE91">
        <v>387</v>
      </c>
      <c r="BF91">
        <f t="shared" si="19"/>
        <v>60.258807532699997</v>
      </c>
      <c r="BG91" s="31">
        <f t="shared" si="20"/>
        <v>52.488125390515791</v>
      </c>
      <c r="BH91">
        <f t="shared" si="21"/>
        <v>36</v>
      </c>
      <c r="BI91">
        <f t="shared" si="22"/>
        <v>113869</v>
      </c>
      <c r="BJ91">
        <f t="shared" si="23"/>
        <v>961737</v>
      </c>
      <c r="BK91">
        <f t="shared" si="24"/>
        <v>24092267</v>
      </c>
      <c r="BL91">
        <f t="shared" si="25"/>
        <v>60624</v>
      </c>
      <c r="BM91">
        <f t="shared" si="26"/>
        <v>0</v>
      </c>
      <c r="BN91" t="str">
        <f t="shared" si="17"/>
        <v>u=10%, k=2x10^7</v>
      </c>
      <c r="BO91" t="str">
        <f t="shared" si="18"/>
        <v>u=10%, k=2x10^7, sequential</v>
      </c>
      <c r="BP91">
        <f t="shared" si="27"/>
        <v>0.33394233113684213</v>
      </c>
      <c r="BQ91">
        <f t="shared" si="29"/>
        <v>41.944890886426315</v>
      </c>
      <c r="BR91">
        <f t="shared" si="30"/>
        <v>0.43345480224210531</v>
      </c>
      <c r="BS91">
        <f t="shared" si="31"/>
        <v>9.6408777024263159</v>
      </c>
      <c r="BT91">
        <f t="shared" si="32"/>
        <v>0.13495966828421052</v>
      </c>
      <c r="BU91">
        <f t="shared" si="28"/>
        <v>7.7706821421842136</v>
      </c>
    </row>
    <row r="92" spans="1:73">
      <c r="A92" t="s">
        <v>188</v>
      </c>
      <c r="B92" t="s">
        <v>136</v>
      </c>
      <c r="C92">
        <v>72</v>
      </c>
      <c r="D92" t="s">
        <v>56</v>
      </c>
      <c r="E92" t="s">
        <v>53</v>
      </c>
      <c r="F92" t="s">
        <v>54</v>
      </c>
      <c r="G92">
        <v>60000</v>
      </c>
      <c r="H92">
        <v>5</v>
      </c>
      <c r="I92">
        <v>5</v>
      </c>
      <c r="J92">
        <v>0</v>
      </c>
      <c r="K92">
        <v>1</v>
      </c>
      <c r="L92">
        <v>200000000</v>
      </c>
      <c r="M92">
        <v>24</v>
      </c>
      <c r="N92">
        <v>24</v>
      </c>
      <c r="O92">
        <v>24</v>
      </c>
      <c r="P92">
        <v>0</v>
      </c>
      <c r="Q92" t="s">
        <v>55</v>
      </c>
      <c r="R92">
        <v>9999885017261650</v>
      </c>
      <c r="S92">
        <v>99996743</v>
      </c>
      <c r="T92">
        <v>9999885017261650</v>
      </c>
      <c r="U92">
        <v>99996743</v>
      </c>
      <c r="V92" t="s">
        <v>63</v>
      </c>
      <c r="W92">
        <v>7</v>
      </c>
      <c r="X92">
        <v>11010009</v>
      </c>
      <c r="Y92">
        <v>109996753</v>
      </c>
      <c r="Z92">
        <v>121006762</v>
      </c>
      <c r="AA92">
        <v>99996743</v>
      </c>
      <c r="AB92">
        <v>10.990600000000001</v>
      </c>
      <c r="AC92">
        <v>0.90908800000000001</v>
      </c>
      <c r="AD92">
        <v>4</v>
      </c>
      <c r="AE92">
        <v>2640748752</v>
      </c>
      <c r="AF92" t="s">
        <v>523</v>
      </c>
      <c r="AG92" t="s">
        <v>524</v>
      </c>
      <c r="AI92">
        <v>365614</v>
      </c>
      <c r="AJ92">
        <v>1469870895930</v>
      </c>
      <c r="AK92">
        <v>24222579104</v>
      </c>
      <c r="AL92">
        <v>444620473380</v>
      </c>
      <c r="AM92">
        <v>31848658053</v>
      </c>
      <c r="AN92">
        <v>29681711833</v>
      </c>
      <c r="AO92">
        <v>10079732204</v>
      </c>
      <c r="AP92">
        <v>900146590</v>
      </c>
      <c r="AQ92">
        <v>0</v>
      </c>
      <c r="AR92">
        <v>100023039</v>
      </c>
      <c r="AS92">
        <v>900146590</v>
      </c>
      <c r="AT92">
        <v>1000169629</v>
      </c>
      <c r="AU92">
        <v>15002443</v>
      </c>
      <c r="AV92">
        <v>0</v>
      </c>
      <c r="AW92">
        <v>1667050</v>
      </c>
      <c r="AX92">
        <v>15002443</v>
      </c>
      <c r="AY92">
        <v>16669493</v>
      </c>
      <c r="AZ92">
        <v>21.054200000000002</v>
      </c>
      <c r="BA92">
        <v>9.5873100000000004</v>
      </c>
      <c r="BB92">
        <v>4020.3</v>
      </c>
      <c r="BC92">
        <v>2032.47</v>
      </c>
      <c r="BD92">
        <v>9853</v>
      </c>
      <c r="BE92">
        <v>1555</v>
      </c>
      <c r="BF92">
        <f t="shared" si="19"/>
        <v>61.244620663749998</v>
      </c>
      <c r="BG92" s="31">
        <f t="shared" si="20"/>
        <v>22.518881440583332</v>
      </c>
      <c r="BH92">
        <f t="shared" si="21"/>
        <v>2</v>
      </c>
      <c r="BI92">
        <f t="shared" si="22"/>
        <v>12722</v>
      </c>
      <c r="BJ92">
        <f t="shared" si="23"/>
        <v>994215</v>
      </c>
      <c r="BK92">
        <f t="shared" si="24"/>
        <v>8434616</v>
      </c>
      <c r="BL92">
        <f t="shared" si="25"/>
        <v>1382514</v>
      </c>
      <c r="BM92">
        <f t="shared" si="26"/>
        <v>0</v>
      </c>
      <c r="BN92" t="str">
        <f t="shared" si="17"/>
        <v>u=10%, k=2x10^8</v>
      </c>
      <c r="BO92" t="str">
        <f t="shared" si="18"/>
        <v>u=10%, k=2x10^8, sequential</v>
      </c>
      <c r="BP92">
        <f t="shared" si="27"/>
        <v>1.0092741293333334</v>
      </c>
      <c r="BQ92">
        <f t="shared" si="29"/>
        <v>18.525853057500001</v>
      </c>
      <c r="BR92">
        <f t="shared" si="30"/>
        <v>1.327027418875</v>
      </c>
      <c r="BS92">
        <f t="shared" si="31"/>
        <v>1.2367379930416667</v>
      </c>
      <c r="BT92">
        <f t="shared" si="32"/>
        <v>0.41998884183333335</v>
      </c>
      <c r="BU92">
        <f t="shared" si="28"/>
        <v>38.725739223166656</v>
      </c>
    </row>
    <row r="93" spans="1:73">
      <c r="A93" t="s">
        <v>189</v>
      </c>
      <c r="B93" t="s">
        <v>136</v>
      </c>
      <c r="C93">
        <v>72</v>
      </c>
      <c r="D93" t="s">
        <v>56</v>
      </c>
      <c r="E93" t="s">
        <v>53</v>
      </c>
      <c r="F93" t="s">
        <v>54</v>
      </c>
      <c r="G93">
        <v>60000</v>
      </c>
      <c r="H93">
        <v>5</v>
      </c>
      <c r="I93">
        <v>5</v>
      </c>
      <c r="J93">
        <v>0</v>
      </c>
      <c r="K93">
        <v>1</v>
      </c>
      <c r="L93">
        <v>200000000</v>
      </c>
      <c r="M93">
        <v>48</v>
      </c>
      <c r="N93">
        <v>48</v>
      </c>
      <c r="O93">
        <v>48</v>
      </c>
      <c r="P93">
        <v>0</v>
      </c>
      <c r="Q93" t="s">
        <v>55</v>
      </c>
      <c r="R93">
        <v>9998320079014260</v>
      </c>
      <c r="S93">
        <v>99982017</v>
      </c>
      <c r="T93">
        <v>9998320079014260</v>
      </c>
      <c r="U93">
        <v>99982017</v>
      </c>
      <c r="V93" t="s">
        <v>63</v>
      </c>
      <c r="W93">
        <v>7</v>
      </c>
      <c r="X93">
        <v>11010010</v>
      </c>
      <c r="Y93">
        <v>109982036</v>
      </c>
      <c r="Z93">
        <v>120992046</v>
      </c>
      <c r="AA93">
        <v>99982017</v>
      </c>
      <c r="AB93">
        <v>10.9893</v>
      </c>
      <c r="AC93">
        <v>0.909076</v>
      </c>
      <c r="AD93">
        <v>4</v>
      </c>
      <c r="AE93">
        <v>2640513360</v>
      </c>
      <c r="AF93" t="s">
        <v>525</v>
      </c>
      <c r="AG93" t="s">
        <v>526</v>
      </c>
      <c r="AI93">
        <v>135956</v>
      </c>
      <c r="AJ93">
        <v>3331372608743</v>
      </c>
      <c r="AK93">
        <v>57223913020</v>
      </c>
      <c r="AL93">
        <v>1394060886424</v>
      </c>
      <c r="AM93">
        <v>70568470556</v>
      </c>
      <c r="AN93">
        <v>188172138847</v>
      </c>
      <c r="AO93">
        <v>21031748814</v>
      </c>
      <c r="AP93">
        <v>1349617897</v>
      </c>
      <c r="AQ93">
        <v>0</v>
      </c>
      <c r="AR93">
        <v>149982406</v>
      </c>
      <c r="AS93">
        <v>1349617897</v>
      </c>
      <c r="AT93">
        <v>1499600303</v>
      </c>
      <c r="AU93">
        <v>22493631</v>
      </c>
      <c r="AV93">
        <v>0</v>
      </c>
      <c r="AW93">
        <v>2499706</v>
      </c>
      <c r="AX93">
        <v>22493631</v>
      </c>
      <c r="AY93">
        <v>24993338</v>
      </c>
      <c r="AZ93">
        <v>21.654199999999999</v>
      </c>
      <c r="BA93">
        <v>9.8567300000000007</v>
      </c>
      <c r="BB93">
        <v>5923.62</v>
      </c>
      <c r="BC93">
        <v>2393.41</v>
      </c>
      <c r="BD93">
        <v>13295</v>
      </c>
      <c r="BE93">
        <v>1295</v>
      </c>
      <c r="BF93">
        <f t="shared" si="19"/>
        <v>69.403596015479167</v>
      </c>
      <c r="BG93" s="31">
        <f t="shared" si="20"/>
        <v>36.063690784604169</v>
      </c>
      <c r="BH93">
        <f t="shared" si="21"/>
        <v>3</v>
      </c>
      <c r="BI93">
        <f t="shared" si="22"/>
        <v>25741</v>
      </c>
      <c r="BJ93">
        <f t="shared" si="23"/>
        <v>1409900</v>
      </c>
      <c r="BK93">
        <f t="shared" si="24"/>
        <v>12477452</v>
      </c>
      <c r="BL93">
        <f t="shared" si="25"/>
        <v>2055522</v>
      </c>
      <c r="BM93">
        <f t="shared" si="26"/>
        <v>0</v>
      </c>
      <c r="BN93" t="str">
        <f t="shared" si="17"/>
        <v>u=10%, k=2x10^8</v>
      </c>
      <c r="BO93" t="str">
        <f t="shared" si="18"/>
        <v>u=10%, k=2x10^8, sequential</v>
      </c>
      <c r="BP93">
        <f t="shared" si="27"/>
        <v>1.1921648545833332</v>
      </c>
      <c r="BQ93">
        <f t="shared" si="29"/>
        <v>29.042935133833335</v>
      </c>
      <c r="BR93">
        <f t="shared" si="30"/>
        <v>1.4701764699166666</v>
      </c>
      <c r="BS93">
        <f t="shared" si="31"/>
        <v>3.9202528926458338</v>
      </c>
      <c r="BT93">
        <f t="shared" si="32"/>
        <v>0.43816143362499999</v>
      </c>
      <c r="BU93">
        <f t="shared" si="28"/>
        <v>33.339905230875004</v>
      </c>
    </row>
    <row r="94" spans="1:73">
      <c r="A94" t="s">
        <v>190</v>
      </c>
      <c r="B94" t="s">
        <v>136</v>
      </c>
      <c r="C94">
        <v>72</v>
      </c>
      <c r="D94" t="s">
        <v>56</v>
      </c>
      <c r="E94" t="s">
        <v>53</v>
      </c>
      <c r="F94" t="s">
        <v>54</v>
      </c>
      <c r="G94">
        <v>60000</v>
      </c>
      <c r="H94">
        <v>5</v>
      </c>
      <c r="I94">
        <v>5</v>
      </c>
      <c r="J94">
        <v>0</v>
      </c>
      <c r="K94">
        <v>1</v>
      </c>
      <c r="L94">
        <v>200000000</v>
      </c>
      <c r="M94">
        <v>96</v>
      </c>
      <c r="N94">
        <v>96</v>
      </c>
      <c r="O94">
        <v>96</v>
      </c>
      <c r="P94">
        <v>0</v>
      </c>
      <c r="Q94" t="s">
        <v>55</v>
      </c>
      <c r="R94">
        <v>9998231459971740</v>
      </c>
      <c r="S94">
        <v>99986570</v>
      </c>
      <c r="T94">
        <v>9998231459971740</v>
      </c>
      <c r="U94">
        <v>99986570</v>
      </c>
      <c r="V94" t="s">
        <v>63</v>
      </c>
      <c r="W94">
        <v>7</v>
      </c>
      <c r="X94">
        <v>14758868</v>
      </c>
      <c r="Y94">
        <v>117810043</v>
      </c>
      <c r="Z94">
        <v>132568911</v>
      </c>
      <c r="AA94">
        <v>99986570</v>
      </c>
      <c r="AB94">
        <v>8.9823199999999996</v>
      </c>
      <c r="AC94">
        <v>0.84870999999999996</v>
      </c>
      <c r="AD94">
        <v>4.0782299999999996</v>
      </c>
      <c r="AE94">
        <v>3069345344</v>
      </c>
      <c r="AF94" t="s">
        <v>527</v>
      </c>
      <c r="AG94" t="s">
        <v>528</v>
      </c>
      <c r="AI94">
        <v>49318</v>
      </c>
      <c r="AJ94">
        <v>5765863199937</v>
      </c>
      <c r="AK94">
        <v>58942624265</v>
      </c>
      <c r="AL94">
        <v>2616213292012</v>
      </c>
      <c r="AM94">
        <v>73791058234</v>
      </c>
      <c r="AN94">
        <v>1120818663848</v>
      </c>
      <c r="AO94">
        <v>20481752434</v>
      </c>
      <c r="AP94">
        <v>1579477784</v>
      </c>
      <c r="AQ94">
        <v>0</v>
      </c>
      <c r="AR94">
        <v>175480186</v>
      </c>
      <c r="AS94">
        <v>1579477784</v>
      </c>
      <c r="AT94">
        <v>1754957970</v>
      </c>
      <c r="AU94">
        <v>26324629</v>
      </c>
      <c r="AV94">
        <v>0</v>
      </c>
      <c r="AW94">
        <v>2924669</v>
      </c>
      <c r="AX94">
        <v>26324629</v>
      </c>
      <c r="AY94">
        <v>29249299</v>
      </c>
      <c r="AZ94">
        <v>21.7607</v>
      </c>
      <c r="BA94">
        <v>10.4626</v>
      </c>
      <c r="BB94">
        <v>7526.74</v>
      </c>
      <c r="BC94">
        <v>2277.61</v>
      </c>
      <c r="BD94">
        <v>13236</v>
      </c>
      <c r="BE94">
        <v>1132</v>
      </c>
      <c r="BF94">
        <f t="shared" si="19"/>
        <v>60.061074999343752</v>
      </c>
      <c r="BG94" s="31">
        <f t="shared" si="20"/>
        <v>40.523410320760412</v>
      </c>
      <c r="BH94">
        <f t="shared" si="21"/>
        <v>3</v>
      </c>
      <c r="BI94">
        <f t="shared" si="22"/>
        <v>29721</v>
      </c>
      <c r="BJ94">
        <f t="shared" si="23"/>
        <v>1186161</v>
      </c>
      <c r="BK94">
        <f t="shared" si="24"/>
        <v>13445039</v>
      </c>
      <c r="BL94">
        <f t="shared" si="25"/>
        <v>2360315</v>
      </c>
      <c r="BM94">
        <f t="shared" si="26"/>
        <v>0</v>
      </c>
      <c r="BN94" t="str">
        <f t="shared" si="17"/>
        <v>u=10%, k=2x10^8</v>
      </c>
      <c r="BO94" t="str">
        <f t="shared" si="18"/>
        <v>u=10%, k=2x10^8, sequential</v>
      </c>
      <c r="BP94">
        <f t="shared" si="27"/>
        <v>0.61398566942708332</v>
      </c>
      <c r="BQ94">
        <f t="shared" si="29"/>
        <v>27.252221791791666</v>
      </c>
      <c r="BR94">
        <f t="shared" si="30"/>
        <v>0.76865685660416672</v>
      </c>
      <c r="BS94">
        <f t="shared" si="31"/>
        <v>11.675194415083332</v>
      </c>
      <c r="BT94">
        <f t="shared" si="32"/>
        <v>0.21335158785416666</v>
      </c>
      <c r="BU94">
        <f t="shared" si="28"/>
        <v>19.537664678583333</v>
      </c>
    </row>
    <row r="95" spans="1:73">
      <c r="A95" t="s">
        <v>191</v>
      </c>
      <c r="B95" t="s">
        <v>136</v>
      </c>
      <c r="C95">
        <v>72</v>
      </c>
      <c r="D95" t="s">
        <v>56</v>
      </c>
      <c r="E95" t="s">
        <v>53</v>
      </c>
      <c r="F95" t="s">
        <v>54</v>
      </c>
      <c r="G95">
        <v>60000</v>
      </c>
      <c r="H95">
        <v>5</v>
      </c>
      <c r="I95">
        <v>5</v>
      </c>
      <c r="J95">
        <v>0</v>
      </c>
      <c r="K95">
        <v>1</v>
      </c>
      <c r="L95">
        <v>200000000</v>
      </c>
      <c r="M95">
        <v>144</v>
      </c>
      <c r="N95">
        <v>144</v>
      </c>
      <c r="O95">
        <v>144</v>
      </c>
      <c r="P95">
        <v>0</v>
      </c>
      <c r="Q95" t="s">
        <v>55</v>
      </c>
      <c r="R95">
        <v>9999443230234470</v>
      </c>
      <c r="S95">
        <v>99992696</v>
      </c>
      <c r="T95">
        <v>9999443230234470</v>
      </c>
      <c r="U95">
        <v>99992696</v>
      </c>
      <c r="V95" t="s">
        <v>63</v>
      </c>
      <c r="W95">
        <v>7</v>
      </c>
      <c r="X95">
        <v>12951061</v>
      </c>
      <c r="Y95">
        <v>113973026</v>
      </c>
      <c r="Z95">
        <v>126924087</v>
      </c>
      <c r="AA95">
        <v>99992696</v>
      </c>
      <c r="AB95">
        <v>9.8002800000000008</v>
      </c>
      <c r="AC95">
        <v>0.87733700000000003</v>
      </c>
      <c r="AD95">
        <v>4.0380900000000004</v>
      </c>
      <c r="AE95">
        <v>2861591552</v>
      </c>
      <c r="AF95" t="s">
        <v>529</v>
      </c>
      <c r="AG95" t="s">
        <v>530</v>
      </c>
      <c r="AI95">
        <v>33610</v>
      </c>
      <c r="AJ95">
        <v>8640307566706</v>
      </c>
      <c r="AK95">
        <v>67012914539</v>
      </c>
      <c r="AL95">
        <v>3971757745945</v>
      </c>
      <c r="AM95">
        <v>101141839991</v>
      </c>
      <c r="AN95">
        <v>2372317085598</v>
      </c>
      <c r="AO95">
        <v>22938263274</v>
      </c>
      <c r="AP95">
        <v>1759165467</v>
      </c>
      <c r="AQ95">
        <v>0</v>
      </c>
      <c r="AR95">
        <v>195454894</v>
      </c>
      <c r="AS95">
        <v>1759165467</v>
      </c>
      <c r="AT95">
        <v>1954620361</v>
      </c>
      <c r="AU95">
        <v>29319424</v>
      </c>
      <c r="AV95">
        <v>0</v>
      </c>
      <c r="AW95">
        <v>3257581</v>
      </c>
      <c r="AX95">
        <v>29319424</v>
      </c>
      <c r="AY95">
        <v>32577006</v>
      </c>
      <c r="AZ95">
        <v>21.9481</v>
      </c>
      <c r="BA95">
        <v>10.790100000000001</v>
      </c>
      <c r="BB95">
        <v>9292.6299999999992</v>
      </c>
      <c r="BC95">
        <v>2311.7199999999998</v>
      </c>
      <c r="BD95">
        <v>17323</v>
      </c>
      <c r="BE95">
        <v>1056</v>
      </c>
      <c r="BF95">
        <f t="shared" si="19"/>
        <v>60.002135879902781</v>
      </c>
      <c r="BG95" s="31">
        <f t="shared" si="20"/>
        <v>45.383110064909722</v>
      </c>
      <c r="BH95">
        <f t="shared" si="21"/>
        <v>3</v>
      </c>
      <c r="BI95">
        <f t="shared" si="22"/>
        <v>34751</v>
      </c>
      <c r="BJ95">
        <f t="shared" si="23"/>
        <v>1377999</v>
      </c>
      <c r="BK95">
        <f t="shared" si="24"/>
        <v>15518292</v>
      </c>
      <c r="BL95">
        <f t="shared" si="25"/>
        <v>2637812</v>
      </c>
      <c r="BM95">
        <f t="shared" si="26"/>
        <v>0</v>
      </c>
      <c r="BN95" t="str">
        <f t="shared" si="17"/>
        <v>u=10%, k=2x10^8</v>
      </c>
      <c r="BO95" t="str">
        <f t="shared" si="18"/>
        <v>u=10%, k=2x10^8, sequential</v>
      </c>
      <c r="BP95">
        <f t="shared" si="27"/>
        <v>0.46536746207638885</v>
      </c>
      <c r="BQ95">
        <f t="shared" si="29"/>
        <v>27.581651013506942</v>
      </c>
      <c r="BR95">
        <f t="shared" si="30"/>
        <v>0.70237388882638885</v>
      </c>
      <c r="BS95">
        <f t="shared" si="31"/>
        <v>16.474424205541666</v>
      </c>
      <c r="BT95">
        <f t="shared" si="32"/>
        <v>0.15929349495833334</v>
      </c>
      <c r="BU95">
        <f t="shared" si="28"/>
        <v>14.619025814993059</v>
      </c>
    </row>
    <row r="96" spans="1:73">
      <c r="A96" t="s">
        <v>192</v>
      </c>
      <c r="B96" t="s">
        <v>136</v>
      </c>
      <c r="C96">
        <v>72</v>
      </c>
      <c r="D96" t="s">
        <v>56</v>
      </c>
      <c r="E96" t="s">
        <v>53</v>
      </c>
      <c r="F96" t="s">
        <v>54</v>
      </c>
      <c r="G96">
        <v>60000</v>
      </c>
      <c r="H96">
        <v>5</v>
      </c>
      <c r="I96">
        <v>5</v>
      </c>
      <c r="J96">
        <v>0</v>
      </c>
      <c r="K96">
        <v>1</v>
      </c>
      <c r="L96">
        <v>2000000000</v>
      </c>
      <c r="M96">
        <v>24</v>
      </c>
      <c r="N96">
        <v>24</v>
      </c>
      <c r="O96">
        <v>24</v>
      </c>
      <c r="P96">
        <v>0</v>
      </c>
      <c r="Q96" t="s">
        <v>55</v>
      </c>
      <c r="R96">
        <v>1.00001926493677E+18</v>
      </c>
      <c r="S96">
        <v>1000006262</v>
      </c>
      <c r="T96">
        <v>1.00001926493677E+18</v>
      </c>
      <c r="U96">
        <v>1000006262</v>
      </c>
      <c r="V96" t="s">
        <v>63</v>
      </c>
      <c r="W96">
        <v>7</v>
      </c>
      <c r="X96">
        <v>107456426</v>
      </c>
      <c r="Y96">
        <v>1125482854</v>
      </c>
      <c r="Z96">
        <v>1232939280</v>
      </c>
      <c r="AA96">
        <v>1000006262</v>
      </c>
      <c r="AB96">
        <v>11.4739</v>
      </c>
      <c r="AC96">
        <v>0.888513</v>
      </c>
      <c r="AD96">
        <v>4.0474399999999999</v>
      </c>
      <c r="AE96">
        <v>26620144096</v>
      </c>
      <c r="AF96" t="s">
        <v>531</v>
      </c>
      <c r="AG96" t="s">
        <v>531</v>
      </c>
      <c r="AI96">
        <v>388644</v>
      </c>
      <c r="AJ96">
        <v>1436562374035</v>
      </c>
      <c r="AK96">
        <v>872649003</v>
      </c>
      <c r="AM96">
        <v>1785405558</v>
      </c>
      <c r="AN96">
        <v>2220458535</v>
      </c>
      <c r="AO96">
        <v>245178066</v>
      </c>
      <c r="AP96">
        <v>946250583</v>
      </c>
      <c r="AQ96">
        <v>0</v>
      </c>
      <c r="AR96">
        <v>105124490</v>
      </c>
      <c r="AS96">
        <v>946250583</v>
      </c>
      <c r="AT96">
        <v>1051375073</v>
      </c>
      <c r="AU96">
        <v>15770843</v>
      </c>
      <c r="AV96">
        <v>0</v>
      </c>
      <c r="AW96">
        <v>1752074</v>
      </c>
      <c r="AX96">
        <v>15770843</v>
      </c>
      <c r="AY96">
        <v>17522917</v>
      </c>
      <c r="AZ96">
        <v>22.944800000000001</v>
      </c>
      <c r="BA96">
        <v>13.476800000000001</v>
      </c>
      <c r="BB96">
        <v>3811.72</v>
      </c>
      <c r="BC96">
        <v>3045.87</v>
      </c>
      <c r="BD96">
        <v>61805</v>
      </c>
      <c r="BE96">
        <v>16110</v>
      </c>
      <c r="BF96">
        <f t="shared" si="19"/>
        <v>59.856765584791667</v>
      </c>
      <c r="BG96" s="31">
        <f t="shared" si="20"/>
        <v>0.21348713175</v>
      </c>
      <c r="BH96">
        <f t="shared" si="21"/>
        <v>0</v>
      </c>
      <c r="BI96">
        <f t="shared" si="22"/>
        <v>0</v>
      </c>
      <c r="BJ96">
        <f t="shared" si="23"/>
        <v>0</v>
      </c>
      <c r="BK96">
        <f t="shared" si="24"/>
        <v>1024028</v>
      </c>
      <c r="BL96">
        <f t="shared" si="25"/>
        <v>1105348</v>
      </c>
      <c r="BM96">
        <f t="shared" si="26"/>
        <v>0</v>
      </c>
      <c r="BN96" t="str">
        <f t="shared" si="17"/>
        <v>u=10%, k=2x10^9</v>
      </c>
      <c r="BO96" t="str">
        <f t="shared" si="18"/>
        <v>u=10%, k=2x10^9, sequential</v>
      </c>
      <c r="BP96">
        <f t="shared" si="27"/>
        <v>3.6360375125000004E-2</v>
      </c>
      <c r="BQ96">
        <f t="shared" si="29"/>
        <v>0</v>
      </c>
      <c r="BR96">
        <f t="shared" si="30"/>
        <v>7.4391898249999991E-2</v>
      </c>
      <c r="BS96">
        <f t="shared" si="31"/>
        <v>9.2519105625E-2</v>
      </c>
      <c r="BT96">
        <f t="shared" si="32"/>
        <v>1.0215752749999999E-2</v>
      </c>
      <c r="BU96">
        <f t="shared" si="28"/>
        <v>59.643278453041667</v>
      </c>
    </row>
    <row r="97" spans="1:73">
      <c r="A97" t="s">
        <v>193</v>
      </c>
      <c r="B97" t="s">
        <v>136</v>
      </c>
      <c r="C97">
        <v>72</v>
      </c>
      <c r="D97" t="s">
        <v>56</v>
      </c>
      <c r="E97" t="s">
        <v>53</v>
      </c>
      <c r="F97" t="s">
        <v>54</v>
      </c>
      <c r="G97">
        <v>60000</v>
      </c>
      <c r="H97">
        <v>5</v>
      </c>
      <c r="I97">
        <v>5</v>
      </c>
      <c r="J97">
        <v>0</v>
      </c>
      <c r="K97">
        <v>1</v>
      </c>
      <c r="L97">
        <v>2000000000</v>
      </c>
      <c r="M97">
        <v>48</v>
      </c>
      <c r="N97">
        <v>48</v>
      </c>
      <c r="O97">
        <v>48</v>
      </c>
      <c r="P97">
        <v>0</v>
      </c>
      <c r="Q97" t="s">
        <v>55</v>
      </c>
      <c r="R97">
        <v>9.9997822820635699E+17</v>
      </c>
      <c r="S97">
        <v>999995659</v>
      </c>
      <c r="T97">
        <v>9.9997822820635699E+17</v>
      </c>
      <c r="U97">
        <v>999995659</v>
      </c>
      <c r="V97" t="s">
        <v>63</v>
      </c>
      <c r="W97">
        <v>7</v>
      </c>
      <c r="X97">
        <v>119403296</v>
      </c>
      <c r="Y97">
        <v>1150699082</v>
      </c>
      <c r="Z97">
        <v>1270102378</v>
      </c>
      <c r="AA97">
        <v>999995659</v>
      </c>
      <c r="AB97">
        <v>10.6371</v>
      </c>
      <c r="AC97">
        <v>0.86903300000000006</v>
      </c>
      <c r="AD97">
        <v>4.0732299999999997</v>
      </c>
      <c r="AE97">
        <v>28000485520</v>
      </c>
      <c r="AF97" t="s">
        <v>532</v>
      </c>
      <c r="AG97" t="s">
        <v>532</v>
      </c>
      <c r="AI97">
        <v>171972</v>
      </c>
      <c r="AJ97">
        <v>2873124682383</v>
      </c>
      <c r="AK97">
        <v>5191055744</v>
      </c>
      <c r="AM97">
        <v>9196681269</v>
      </c>
      <c r="AN97">
        <v>9175489162</v>
      </c>
      <c r="AO97">
        <v>1763535676</v>
      </c>
      <c r="AP97">
        <v>1704608727</v>
      </c>
      <c r="AQ97">
        <v>0</v>
      </c>
      <c r="AR97">
        <v>189389624</v>
      </c>
      <c r="AS97">
        <v>1704608727</v>
      </c>
      <c r="AT97">
        <v>1893998351</v>
      </c>
      <c r="AU97">
        <v>28410145</v>
      </c>
      <c r="AV97">
        <v>0</v>
      </c>
      <c r="AW97">
        <v>3156493</v>
      </c>
      <c r="AX97">
        <v>28410145</v>
      </c>
      <c r="AY97">
        <v>31566639</v>
      </c>
      <c r="AZ97">
        <v>23.151399999999999</v>
      </c>
      <c r="BA97">
        <v>13.6998</v>
      </c>
      <c r="BB97">
        <v>4230.93</v>
      </c>
      <c r="BC97">
        <v>3524.49</v>
      </c>
      <c r="BD97">
        <v>63677</v>
      </c>
      <c r="BE97">
        <v>12555</v>
      </c>
      <c r="BF97">
        <f t="shared" si="19"/>
        <v>59.856764216312506</v>
      </c>
      <c r="BG97" s="31">
        <f t="shared" si="20"/>
        <v>0.52764087189583331</v>
      </c>
      <c r="BH97">
        <f t="shared" si="21"/>
        <v>0</v>
      </c>
      <c r="BI97">
        <f t="shared" si="22"/>
        <v>0</v>
      </c>
      <c r="BJ97">
        <f t="shared" si="23"/>
        <v>0</v>
      </c>
      <c r="BK97">
        <f t="shared" si="24"/>
        <v>4932497</v>
      </c>
      <c r="BL97">
        <f t="shared" si="25"/>
        <v>2912421</v>
      </c>
      <c r="BM97">
        <f t="shared" si="26"/>
        <v>0</v>
      </c>
      <c r="BN97" t="str">
        <f t="shared" si="17"/>
        <v>u=10%, k=2x10^9</v>
      </c>
      <c r="BO97" t="str">
        <f t="shared" si="18"/>
        <v>u=10%, k=2x10^9, sequential</v>
      </c>
      <c r="BP97">
        <f t="shared" si="27"/>
        <v>0.10814699466666666</v>
      </c>
      <c r="BQ97">
        <f t="shared" si="29"/>
        <v>0</v>
      </c>
      <c r="BR97">
        <f t="shared" si="30"/>
        <v>0.19159752643750003</v>
      </c>
      <c r="BS97">
        <f t="shared" si="31"/>
        <v>0.19115602420833333</v>
      </c>
      <c r="BT97">
        <f t="shared" si="32"/>
        <v>3.6740326583333337E-2</v>
      </c>
      <c r="BU97">
        <f t="shared" si="28"/>
        <v>59.329123344416672</v>
      </c>
    </row>
    <row r="98" spans="1:73">
      <c r="A98" t="s">
        <v>194</v>
      </c>
      <c r="B98" t="s">
        <v>136</v>
      </c>
      <c r="C98">
        <v>72</v>
      </c>
      <c r="D98" t="s">
        <v>56</v>
      </c>
      <c r="E98" t="s">
        <v>53</v>
      </c>
      <c r="F98" t="s">
        <v>54</v>
      </c>
      <c r="G98">
        <v>60000</v>
      </c>
      <c r="H98">
        <v>5</v>
      </c>
      <c r="I98">
        <v>5</v>
      </c>
      <c r="J98">
        <v>0</v>
      </c>
      <c r="K98">
        <v>1</v>
      </c>
      <c r="L98">
        <v>2000000000</v>
      </c>
      <c r="M98">
        <v>96</v>
      </c>
      <c r="N98">
        <v>96</v>
      </c>
      <c r="O98">
        <v>96</v>
      </c>
      <c r="P98">
        <v>0</v>
      </c>
      <c r="Q98" t="s">
        <v>55</v>
      </c>
      <c r="R98">
        <v>9.9999561946075098E+17</v>
      </c>
      <c r="S98">
        <v>999994135</v>
      </c>
      <c r="T98">
        <v>9.9999561946075098E+17</v>
      </c>
      <c r="U98">
        <v>999994135</v>
      </c>
      <c r="V98" t="s">
        <v>63</v>
      </c>
      <c r="W98">
        <v>7</v>
      </c>
      <c r="X98">
        <v>126249664</v>
      </c>
      <c r="Y98">
        <v>1167288942</v>
      </c>
      <c r="Z98">
        <v>1293538606</v>
      </c>
      <c r="AA98">
        <v>999994135</v>
      </c>
      <c r="AB98">
        <v>10.245900000000001</v>
      </c>
      <c r="AC98">
        <v>0.85668100000000003</v>
      </c>
      <c r="AD98">
        <v>4.0892900000000001</v>
      </c>
      <c r="AE98">
        <v>28841019872</v>
      </c>
      <c r="AF98" t="s">
        <v>533</v>
      </c>
      <c r="AG98" t="s">
        <v>534</v>
      </c>
      <c r="AI98">
        <v>90336</v>
      </c>
      <c r="AJ98">
        <v>5746249627696</v>
      </c>
      <c r="AK98">
        <v>32883047286</v>
      </c>
      <c r="AL98">
        <v>348154</v>
      </c>
      <c r="AM98">
        <v>46015861003</v>
      </c>
      <c r="AN98">
        <v>41393331340</v>
      </c>
      <c r="AO98">
        <v>11426464499</v>
      </c>
      <c r="AP98">
        <v>3604987022</v>
      </c>
      <c r="AQ98">
        <v>0</v>
      </c>
      <c r="AR98">
        <v>400580080</v>
      </c>
      <c r="AS98">
        <v>3604987022</v>
      </c>
      <c r="AT98">
        <v>4005567102</v>
      </c>
      <c r="AU98">
        <v>60083117</v>
      </c>
      <c r="AV98">
        <v>0</v>
      </c>
      <c r="AW98">
        <v>6676334</v>
      </c>
      <c r="AX98">
        <v>60083117</v>
      </c>
      <c r="AY98">
        <v>66759451</v>
      </c>
      <c r="AZ98">
        <v>23.607700000000001</v>
      </c>
      <c r="BA98">
        <v>14.677199999999999</v>
      </c>
      <c r="BB98">
        <v>3997.34</v>
      </c>
      <c r="BC98">
        <v>3224.78</v>
      </c>
      <c r="BD98">
        <v>66653</v>
      </c>
      <c r="BE98">
        <v>9985</v>
      </c>
      <c r="BF98">
        <f t="shared" si="19"/>
        <v>59.85676695516667</v>
      </c>
      <c r="BG98" s="31">
        <f t="shared" si="20"/>
        <v>1.3720734612708334</v>
      </c>
      <c r="BH98">
        <f t="shared" si="21"/>
        <v>0</v>
      </c>
      <c r="BI98">
        <f t="shared" si="22"/>
        <v>0</v>
      </c>
      <c r="BJ98">
        <f t="shared" si="23"/>
        <v>456403</v>
      </c>
      <c r="BK98">
        <f t="shared" si="24"/>
        <v>25865553</v>
      </c>
      <c r="BL98">
        <f t="shared" si="25"/>
        <v>7897184</v>
      </c>
      <c r="BM98">
        <f t="shared" si="26"/>
        <v>0</v>
      </c>
      <c r="BN98" t="str">
        <f t="shared" si="17"/>
        <v>u=10%, k=2x10^9</v>
      </c>
      <c r="BO98" t="str">
        <f t="shared" si="18"/>
        <v>u=10%, k=2x10^9, sequential</v>
      </c>
      <c r="BP98">
        <f t="shared" si="27"/>
        <v>0.34253174256250002</v>
      </c>
      <c r="BQ98">
        <f t="shared" si="29"/>
        <v>3.6266041666666664E-6</v>
      </c>
      <c r="BR98">
        <f t="shared" si="30"/>
        <v>0.47933188544791666</v>
      </c>
      <c r="BS98">
        <f t="shared" si="31"/>
        <v>0.43118053479166668</v>
      </c>
      <c r="BT98">
        <f t="shared" si="32"/>
        <v>0.11902567186458334</v>
      </c>
      <c r="BU98">
        <f t="shared" si="28"/>
        <v>58.48469349389584</v>
      </c>
    </row>
    <row r="99" spans="1:73">
      <c r="A99" t="s">
        <v>195</v>
      </c>
      <c r="B99" t="s">
        <v>136</v>
      </c>
      <c r="C99">
        <v>72</v>
      </c>
      <c r="D99" t="s">
        <v>56</v>
      </c>
      <c r="E99" t="s">
        <v>53</v>
      </c>
      <c r="F99" t="s">
        <v>54</v>
      </c>
      <c r="G99">
        <v>60000</v>
      </c>
      <c r="H99">
        <v>5</v>
      </c>
      <c r="I99">
        <v>5</v>
      </c>
      <c r="J99">
        <v>0</v>
      </c>
      <c r="K99">
        <v>1</v>
      </c>
      <c r="L99">
        <v>2000000000</v>
      </c>
      <c r="M99">
        <v>190</v>
      </c>
      <c r="N99">
        <v>190</v>
      </c>
      <c r="O99">
        <v>190</v>
      </c>
      <c r="P99">
        <v>0</v>
      </c>
      <c r="Q99" t="s">
        <v>55</v>
      </c>
      <c r="R99">
        <v>9.9994756237762803E+17</v>
      </c>
      <c r="S99">
        <v>999967026</v>
      </c>
      <c r="T99">
        <v>9.9994756237762803E+17</v>
      </c>
      <c r="U99">
        <v>999967026</v>
      </c>
      <c r="V99" t="s">
        <v>63</v>
      </c>
      <c r="W99">
        <v>7</v>
      </c>
      <c r="X99">
        <v>84465089</v>
      </c>
      <c r="Y99">
        <v>1078771653</v>
      </c>
      <c r="Z99">
        <v>1163236742</v>
      </c>
      <c r="AA99">
        <v>999967026</v>
      </c>
      <c r="AB99">
        <v>13.771800000000001</v>
      </c>
      <c r="AC99">
        <v>0.92695000000000005</v>
      </c>
      <c r="AD99">
        <v>4</v>
      </c>
      <c r="AE99">
        <v>24017553552</v>
      </c>
      <c r="AF99" t="s">
        <v>535</v>
      </c>
      <c r="AG99" t="s">
        <v>536</v>
      </c>
      <c r="AI99">
        <v>28374</v>
      </c>
      <c r="AJ99">
        <v>20726419412509</v>
      </c>
      <c r="AK99">
        <v>232979490870</v>
      </c>
      <c r="AL99">
        <v>12653473091583</v>
      </c>
      <c r="AM99">
        <v>310858274841</v>
      </c>
      <c r="AN99">
        <v>179473603866</v>
      </c>
      <c r="AO99">
        <v>87433341714</v>
      </c>
      <c r="AP99">
        <v>4500155324</v>
      </c>
      <c r="AQ99">
        <v>0</v>
      </c>
      <c r="AR99">
        <v>499973364</v>
      </c>
      <c r="AS99">
        <v>4500155324</v>
      </c>
      <c r="AT99">
        <v>5000128688</v>
      </c>
      <c r="AU99">
        <v>75002588</v>
      </c>
      <c r="AV99">
        <v>0</v>
      </c>
      <c r="AW99">
        <v>8332889</v>
      </c>
      <c r="AX99">
        <v>75002588</v>
      </c>
      <c r="AY99">
        <v>83335478</v>
      </c>
      <c r="AZ99">
        <v>25.147099999999998</v>
      </c>
      <c r="BA99">
        <v>15.9932</v>
      </c>
      <c r="BB99">
        <v>11476.3</v>
      </c>
      <c r="BC99">
        <v>3544.29</v>
      </c>
      <c r="BD99">
        <v>104111</v>
      </c>
      <c r="BE99">
        <v>9065</v>
      </c>
      <c r="BF99">
        <f t="shared" si="19"/>
        <v>109.08641796057368</v>
      </c>
      <c r="BG99" s="31">
        <f t="shared" si="20"/>
        <v>70.864304225652631</v>
      </c>
      <c r="BH99">
        <f t="shared" si="21"/>
        <v>1</v>
      </c>
      <c r="BI99">
        <f t="shared" si="22"/>
        <v>31595</v>
      </c>
      <c r="BJ99">
        <f t="shared" si="23"/>
        <v>2150030</v>
      </c>
      <c r="BK99">
        <f t="shared" si="24"/>
        <v>33455614</v>
      </c>
      <c r="BL99">
        <f t="shared" si="25"/>
        <v>9428166</v>
      </c>
      <c r="BM99">
        <f t="shared" si="26"/>
        <v>0</v>
      </c>
      <c r="BN99" t="str">
        <f t="shared" si="17"/>
        <v>u=10%, k=2x10^9</v>
      </c>
      <c r="BO99" t="str">
        <f t="shared" si="18"/>
        <v>u=10%, k=2x10^9, sequential</v>
      </c>
      <c r="BP99">
        <f t="shared" si="27"/>
        <v>1.2262078466842106</v>
      </c>
      <c r="BQ99">
        <f t="shared" si="29"/>
        <v>66.597226797805263</v>
      </c>
      <c r="BR99">
        <f t="shared" si="30"/>
        <v>1.6360961833736842</v>
      </c>
      <c r="BS99">
        <f t="shared" si="31"/>
        <v>0.94459791508421043</v>
      </c>
      <c r="BT99">
        <f t="shared" si="32"/>
        <v>0.46017548270526315</v>
      </c>
      <c r="BU99">
        <f t="shared" si="28"/>
        <v>38.222113734921052</v>
      </c>
    </row>
    <row r="100" spans="1:73">
      <c r="A100" t="s">
        <v>196</v>
      </c>
      <c r="B100" t="s">
        <v>136</v>
      </c>
      <c r="C100">
        <v>72</v>
      </c>
      <c r="D100" t="s">
        <v>56</v>
      </c>
      <c r="E100" t="s">
        <v>53</v>
      </c>
      <c r="F100" t="s">
        <v>54</v>
      </c>
      <c r="G100">
        <v>60000</v>
      </c>
      <c r="H100">
        <v>20</v>
      </c>
      <c r="I100">
        <v>20</v>
      </c>
      <c r="J100">
        <v>0</v>
      </c>
      <c r="K100">
        <v>1</v>
      </c>
      <c r="L100">
        <v>2000000</v>
      </c>
      <c r="M100">
        <v>24</v>
      </c>
      <c r="N100">
        <v>24</v>
      </c>
      <c r="O100">
        <v>24</v>
      </c>
      <c r="P100">
        <v>0</v>
      </c>
      <c r="Q100" t="s">
        <v>55</v>
      </c>
      <c r="R100">
        <v>1001102416254</v>
      </c>
      <c r="S100">
        <v>1000551</v>
      </c>
      <c r="T100">
        <v>1001102416254</v>
      </c>
      <c r="U100">
        <v>1000551</v>
      </c>
      <c r="V100" t="s">
        <v>63</v>
      </c>
      <c r="W100">
        <v>6</v>
      </c>
      <c r="X100">
        <v>70024</v>
      </c>
      <c r="Y100">
        <v>1110378</v>
      </c>
      <c r="Z100">
        <v>1180402</v>
      </c>
      <c r="AA100">
        <v>1000551</v>
      </c>
      <c r="AB100">
        <v>16.857099999999999</v>
      </c>
      <c r="AC100">
        <v>0.90108999999999995</v>
      </c>
      <c r="AD100">
        <v>3.0812200000000001</v>
      </c>
      <c r="AE100">
        <v>23454032</v>
      </c>
      <c r="AF100" t="s">
        <v>537</v>
      </c>
      <c r="AG100" t="s">
        <v>538</v>
      </c>
      <c r="AI100">
        <v>510284</v>
      </c>
      <c r="AJ100">
        <v>1436557344927</v>
      </c>
      <c r="AK100">
        <v>45640466022</v>
      </c>
      <c r="AL100">
        <v>751191045444</v>
      </c>
      <c r="AM100">
        <v>51007825569</v>
      </c>
      <c r="AN100">
        <v>17929851046</v>
      </c>
      <c r="AO100">
        <v>22287400470</v>
      </c>
      <c r="AP100">
        <v>750530744</v>
      </c>
      <c r="AQ100">
        <v>0</v>
      </c>
      <c r="AR100">
        <v>500367273</v>
      </c>
      <c r="AS100">
        <v>750530744</v>
      </c>
      <c r="AT100">
        <v>1250898017</v>
      </c>
      <c r="AU100">
        <v>12508845</v>
      </c>
      <c r="AV100">
        <v>0</v>
      </c>
      <c r="AW100">
        <v>8339454</v>
      </c>
      <c r="AX100">
        <v>12508845</v>
      </c>
      <c r="AY100">
        <v>20848300</v>
      </c>
      <c r="AZ100">
        <v>14.850300000000001</v>
      </c>
      <c r="BA100">
        <v>1.2583</v>
      </c>
      <c r="BB100">
        <v>3194.38</v>
      </c>
      <c r="BC100">
        <v>594.85</v>
      </c>
      <c r="BD100">
        <v>1754</v>
      </c>
      <c r="BE100">
        <v>28</v>
      </c>
      <c r="BF100">
        <f t="shared" si="19"/>
        <v>59.856556038625001</v>
      </c>
      <c r="BG100" s="31">
        <f t="shared" si="20"/>
        <v>37.002357856291667</v>
      </c>
      <c r="BH100">
        <f t="shared" si="21"/>
        <v>1000</v>
      </c>
      <c r="BI100">
        <f t="shared" si="22"/>
        <v>895972</v>
      </c>
      <c r="BJ100">
        <f t="shared" si="23"/>
        <v>12930870</v>
      </c>
      <c r="BK100">
        <f t="shared" si="24"/>
        <v>14435437</v>
      </c>
      <c r="BL100">
        <f t="shared" si="25"/>
        <v>0</v>
      </c>
      <c r="BM100">
        <f t="shared" si="26"/>
        <v>0</v>
      </c>
      <c r="BN100" t="str">
        <f t="shared" si="17"/>
        <v>u=40%, k=2x10^6</v>
      </c>
      <c r="BO100" t="str">
        <f t="shared" si="18"/>
        <v>u=40%, k=2x10^6, sequential</v>
      </c>
      <c r="BP100">
        <f t="shared" si="27"/>
        <v>1.9016860842499999</v>
      </c>
      <c r="BQ100">
        <f t="shared" si="29"/>
        <v>31.299626893500001</v>
      </c>
      <c r="BR100">
        <f t="shared" si="30"/>
        <v>2.1253260653749999</v>
      </c>
      <c r="BS100">
        <f t="shared" si="31"/>
        <v>0.74707712691666661</v>
      </c>
      <c r="BT100">
        <f t="shared" si="32"/>
        <v>0.9286416862500001</v>
      </c>
      <c r="BU100">
        <f t="shared" si="28"/>
        <v>22.854198182333334</v>
      </c>
    </row>
    <row r="101" spans="1:73">
      <c r="A101" t="s">
        <v>197</v>
      </c>
      <c r="B101" t="s">
        <v>136</v>
      </c>
      <c r="C101">
        <v>72</v>
      </c>
      <c r="D101" t="s">
        <v>56</v>
      </c>
      <c r="E101" t="s">
        <v>53</v>
      </c>
      <c r="F101" t="s">
        <v>54</v>
      </c>
      <c r="G101">
        <v>60000</v>
      </c>
      <c r="H101">
        <v>20</v>
      </c>
      <c r="I101">
        <v>20</v>
      </c>
      <c r="J101">
        <v>0</v>
      </c>
      <c r="K101">
        <v>1</v>
      </c>
      <c r="L101">
        <v>2000000</v>
      </c>
      <c r="M101">
        <v>48</v>
      </c>
      <c r="N101">
        <v>48</v>
      </c>
      <c r="O101">
        <v>48</v>
      </c>
      <c r="P101">
        <v>0</v>
      </c>
      <c r="Q101" t="s">
        <v>55</v>
      </c>
      <c r="R101">
        <v>1000207369527</v>
      </c>
      <c r="S101">
        <v>999967</v>
      </c>
      <c r="T101">
        <v>1000207369527</v>
      </c>
      <c r="U101">
        <v>999967</v>
      </c>
      <c r="V101" t="s">
        <v>63</v>
      </c>
      <c r="W101">
        <v>6</v>
      </c>
      <c r="X101">
        <v>33019</v>
      </c>
      <c r="Y101">
        <v>1031996</v>
      </c>
      <c r="Z101">
        <v>1065015</v>
      </c>
      <c r="AA101">
        <v>999967</v>
      </c>
      <c r="AB101">
        <v>32.254600000000003</v>
      </c>
      <c r="AC101">
        <v>0.96896400000000005</v>
      </c>
      <c r="AD101">
        <v>3.0000300000000002</v>
      </c>
      <c r="AE101">
        <v>19153440</v>
      </c>
      <c r="AF101" t="s">
        <v>539</v>
      </c>
      <c r="AG101" t="s">
        <v>540</v>
      </c>
      <c r="AI101">
        <v>119568</v>
      </c>
      <c r="AJ101">
        <v>2874469811660</v>
      </c>
      <c r="AK101">
        <v>69756090385</v>
      </c>
      <c r="AL101">
        <v>2045297743408</v>
      </c>
      <c r="AM101">
        <v>70773427797</v>
      </c>
      <c r="AN101">
        <v>30407258098</v>
      </c>
      <c r="AO101">
        <v>30850078252</v>
      </c>
      <c r="AP101">
        <v>676506475</v>
      </c>
      <c r="AQ101">
        <v>0</v>
      </c>
      <c r="AR101">
        <v>450934976</v>
      </c>
      <c r="AS101">
        <v>676506475</v>
      </c>
      <c r="AT101">
        <v>1127441451</v>
      </c>
      <c r="AU101">
        <v>11275107</v>
      </c>
      <c r="AV101">
        <v>0</v>
      </c>
      <c r="AW101">
        <v>7515582</v>
      </c>
      <c r="AX101">
        <v>11275107</v>
      </c>
      <c r="AY101">
        <v>18790690</v>
      </c>
      <c r="AZ101">
        <v>14.9154</v>
      </c>
      <c r="BA101">
        <v>1.63174</v>
      </c>
      <c r="BB101">
        <v>7093.6</v>
      </c>
      <c r="BC101">
        <v>984.38</v>
      </c>
      <c r="BD101">
        <v>2203</v>
      </c>
      <c r="BE101">
        <v>82</v>
      </c>
      <c r="BF101">
        <f t="shared" si="19"/>
        <v>59.884787742916664</v>
      </c>
      <c r="BG101" s="31">
        <f t="shared" si="20"/>
        <v>46.814262457083338</v>
      </c>
      <c r="BH101">
        <f t="shared" si="21"/>
        <v>902</v>
      </c>
      <c r="BI101">
        <f t="shared" si="22"/>
        <v>888687</v>
      </c>
      <c r="BJ101">
        <f t="shared" si="23"/>
        <v>8444063</v>
      </c>
      <c r="BK101">
        <f t="shared" si="24"/>
        <v>12271291</v>
      </c>
      <c r="BL101">
        <f t="shared" si="25"/>
        <v>0</v>
      </c>
      <c r="BM101">
        <f t="shared" si="26"/>
        <v>0</v>
      </c>
      <c r="BN101" t="str">
        <f t="shared" si="17"/>
        <v>u=40%, k=2x10^6</v>
      </c>
      <c r="BO101" t="str">
        <f t="shared" si="18"/>
        <v>u=40%, k=2x10^6, sequential</v>
      </c>
      <c r="BP101">
        <f t="shared" si="27"/>
        <v>1.4532518830208332</v>
      </c>
      <c r="BQ101">
        <f t="shared" si="29"/>
        <v>42.610369654333333</v>
      </c>
      <c r="BR101">
        <f t="shared" si="30"/>
        <v>1.4744464124374999</v>
      </c>
      <c r="BS101">
        <f t="shared" si="31"/>
        <v>0.63348454370833329</v>
      </c>
      <c r="BT101">
        <f t="shared" si="32"/>
        <v>0.64270996358333332</v>
      </c>
      <c r="BU101">
        <f t="shared" si="28"/>
        <v>13.070525285833327</v>
      </c>
    </row>
    <row r="102" spans="1:73">
      <c r="A102" t="s">
        <v>198</v>
      </c>
      <c r="B102" t="s">
        <v>136</v>
      </c>
      <c r="C102">
        <v>72</v>
      </c>
      <c r="D102" t="s">
        <v>56</v>
      </c>
      <c r="E102" t="s">
        <v>53</v>
      </c>
      <c r="F102" t="s">
        <v>54</v>
      </c>
      <c r="G102">
        <v>60000</v>
      </c>
      <c r="H102">
        <v>20</v>
      </c>
      <c r="I102">
        <v>20</v>
      </c>
      <c r="J102">
        <v>0</v>
      </c>
      <c r="K102">
        <v>1</v>
      </c>
      <c r="L102">
        <v>2000000</v>
      </c>
      <c r="M102">
        <v>96</v>
      </c>
      <c r="N102">
        <v>96</v>
      </c>
      <c r="O102">
        <v>96</v>
      </c>
      <c r="P102">
        <v>0</v>
      </c>
      <c r="Q102" t="s">
        <v>55</v>
      </c>
      <c r="R102">
        <v>1001054380913</v>
      </c>
      <c r="S102">
        <v>1000650</v>
      </c>
      <c r="T102">
        <v>1001054380913</v>
      </c>
      <c r="U102">
        <v>1000650</v>
      </c>
      <c r="V102" t="s">
        <v>63</v>
      </c>
      <c r="W102">
        <v>6</v>
      </c>
      <c r="X102">
        <v>33054</v>
      </c>
      <c r="Y102">
        <v>1032726</v>
      </c>
      <c r="Z102">
        <v>1065780</v>
      </c>
      <c r="AA102">
        <v>1000650</v>
      </c>
      <c r="AB102">
        <v>32.243600000000001</v>
      </c>
      <c r="AC102">
        <v>0.96894000000000002</v>
      </c>
      <c r="AD102">
        <v>3.0000399999999998</v>
      </c>
      <c r="AE102">
        <v>19167920</v>
      </c>
      <c r="AF102" t="s">
        <v>541</v>
      </c>
      <c r="AG102" t="s">
        <v>542</v>
      </c>
      <c r="AI102">
        <v>33460</v>
      </c>
      <c r="AJ102">
        <v>5750483629599</v>
      </c>
      <c r="AK102">
        <v>134931937164</v>
      </c>
      <c r="AL102">
        <v>4408129400097</v>
      </c>
      <c r="AM102">
        <v>91707764395</v>
      </c>
      <c r="AN102">
        <v>307024984583</v>
      </c>
      <c r="AO102">
        <v>28547332209</v>
      </c>
      <c r="AP102">
        <v>573459344</v>
      </c>
      <c r="AQ102">
        <v>0</v>
      </c>
      <c r="AR102">
        <v>382335843</v>
      </c>
      <c r="AS102">
        <v>573459344</v>
      </c>
      <c r="AT102">
        <v>955795187</v>
      </c>
      <c r="AU102">
        <v>9557655</v>
      </c>
      <c r="AV102">
        <v>0</v>
      </c>
      <c r="AW102">
        <v>6372264</v>
      </c>
      <c r="AX102">
        <v>9557655</v>
      </c>
      <c r="AY102">
        <v>15929919</v>
      </c>
      <c r="AZ102">
        <v>17.249300000000002</v>
      </c>
      <c r="BA102">
        <v>5.5177100000000001</v>
      </c>
      <c r="BB102">
        <v>16511.099999999999</v>
      </c>
      <c r="BC102">
        <v>2198.79</v>
      </c>
      <c r="BD102">
        <v>3007</v>
      </c>
      <c r="BE102">
        <v>120</v>
      </c>
      <c r="BF102">
        <f t="shared" si="19"/>
        <v>59.900871141656246</v>
      </c>
      <c r="BG102" s="31">
        <f t="shared" si="20"/>
        <v>51.774389775499998</v>
      </c>
      <c r="BH102">
        <f t="shared" si="21"/>
        <v>765</v>
      </c>
      <c r="BI102">
        <f t="shared" si="22"/>
        <v>1189961</v>
      </c>
      <c r="BJ102">
        <f t="shared" si="23"/>
        <v>2074939</v>
      </c>
      <c r="BK102">
        <f t="shared" si="24"/>
        <v>8837631</v>
      </c>
      <c r="BL102">
        <f t="shared" si="25"/>
        <v>0</v>
      </c>
      <c r="BM102">
        <f t="shared" si="26"/>
        <v>0</v>
      </c>
      <c r="BN102" t="str">
        <f t="shared" si="17"/>
        <v>u=40%, k=2x10^6</v>
      </c>
      <c r="BO102" t="str">
        <f t="shared" si="18"/>
        <v>u=40%, k=2x10^6, sequential</v>
      </c>
      <c r="BP102">
        <f t="shared" si="27"/>
        <v>1.405541012125</v>
      </c>
      <c r="BQ102">
        <f t="shared" si="29"/>
        <v>45.918014584343751</v>
      </c>
      <c r="BR102">
        <f t="shared" si="30"/>
        <v>0.95528921244791665</v>
      </c>
      <c r="BS102">
        <f t="shared" si="31"/>
        <v>3.1981769227395831</v>
      </c>
      <c r="BT102">
        <f t="shared" si="32"/>
        <v>0.29736804384374999</v>
      </c>
      <c r="BU102">
        <f t="shared" si="28"/>
        <v>8.1264813661562485</v>
      </c>
    </row>
    <row r="103" spans="1:73">
      <c r="A103" t="s">
        <v>199</v>
      </c>
      <c r="B103" t="s">
        <v>136</v>
      </c>
      <c r="C103">
        <v>72</v>
      </c>
      <c r="D103" t="s">
        <v>56</v>
      </c>
      <c r="E103" t="s">
        <v>53</v>
      </c>
      <c r="F103" t="s">
        <v>54</v>
      </c>
      <c r="G103">
        <v>60000</v>
      </c>
      <c r="H103">
        <v>20</v>
      </c>
      <c r="I103">
        <v>20</v>
      </c>
      <c r="J103">
        <v>0</v>
      </c>
      <c r="K103">
        <v>1</v>
      </c>
      <c r="L103">
        <v>2000000</v>
      </c>
      <c r="M103">
        <v>144</v>
      </c>
      <c r="N103">
        <v>144</v>
      </c>
      <c r="O103">
        <v>144</v>
      </c>
      <c r="P103">
        <v>0</v>
      </c>
      <c r="Q103" t="s">
        <v>55</v>
      </c>
      <c r="R103">
        <v>999966940677</v>
      </c>
      <c r="S103">
        <v>1000042</v>
      </c>
      <c r="T103">
        <v>999966940677</v>
      </c>
      <c r="U103">
        <v>1000042</v>
      </c>
      <c r="V103" t="s">
        <v>63</v>
      </c>
      <c r="W103">
        <v>6</v>
      </c>
      <c r="X103">
        <v>33067</v>
      </c>
      <c r="Y103">
        <v>1032138</v>
      </c>
      <c r="Z103">
        <v>1065205</v>
      </c>
      <c r="AA103">
        <v>1000042</v>
      </c>
      <c r="AB103">
        <v>32.213500000000003</v>
      </c>
      <c r="AC103">
        <v>0.96890299999999996</v>
      </c>
      <c r="AD103">
        <v>3.0000599999999999</v>
      </c>
      <c r="AE103">
        <v>19159552</v>
      </c>
      <c r="AF103" t="s">
        <v>543</v>
      </c>
      <c r="AG103" t="s">
        <v>544</v>
      </c>
      <c r="AI103">
        <v>16214</v>
      </c>
      <c r="AJ103">
        <v>8621737744560</v>
      </c>
      <c r="AK103">
        <v>191362325158</v>
      </c>
      <c r="AL103">
        <v>6707426087739</v>
      </c>
      <c r="AM103">
        <v>125870838287</v>
      </c>
      <c r="AN103">
        <v>739343911799</v>
      </c>
      <c r="AO103">
        <v>32740270489</v>
      </c>
      <c r="AP103">
        <v>530574558</v>
      </c>
      <c r="AQ103">
        <v>0</v>
      </c>
      <c r="AR103">
        <v>353720866</v>
      </c>
      <c r="AS103">
        <v>530574558</v>
      </c>
      <c r="AT103">
        <v>884295424</v>
      </c>
      <c r="AU103">
        <v>8842909</v>
      </c>
      <c r="AV103">
        <v>0</v>
      </c>
      <c r="AW103">
        <v>5895347</v>
      </c>
      <c r="AX103">
        <v>8842909</v>
      </c>
      <c r="AY103">
        <v>14738257</v>
      </c>
      <c r="AZ103">
        <v>20.719000000000001</v>
      </c>
      <c r="BA103">
        <v>8.8373100000000004</v>
      </c>
      <c r="BB103">
        <v>26075.200000000001</v>
      </c>
      <c r="BC103">
        <v>2925.61</v>
      </c>
      <c r="BD103">
        <v>3677</v>
      </c>
      <c r="BE103">
        <v>181</v>
      </c>
      <c r="BF103">
        <f t="shared" si="19"/>
        <v>59.873178781666667</v>
      </c>
      <c r="BG103" s="31">
        <f t="shared" si="20"/>
        <v>54.144051621333332</v>
      </c>
      <c r="BH103">
        <f t="shared" si="21"/>
        <v>708</v>
      </c>
      <c r="BI103">
        <f t="shared" si="22"/>
        <v>2050553</v>
      </c>
      <c r="BJ103">
        <f t="shared" si="23"/>
        <v>369694</v>
      </c>
      <c r="BK103">
        <f t="shared" si="24"/>
        <v>5744922</v>
      </c>
      <c r="BL103">
        <f t="shared" si="25"/>
        <v>0</v>
      </c>
      <c r="BM103">
        <f t="shared" si="26"/>
        <v>0</v>
      </c>
      <c r="BN103" t="str">
        <f t="shared" si="17"/>
        <v>u=40%, k=2x10^6</v>
      </c>
      <c r="BO103" t="str">
        <f t="shared" si="18"/>
        <v>u=40%, k=2x10^6, sequential</v>
      </c>
      <c r="BP103">
        <f t="shared" si="27"/>
        <v>1.3289050358194445</v>
      </c>
      <c r="BQ103">
        <f t="shared" si="29"/>
        <v>46.579347831520835</v>
      </c>
      <c r="BR103">
        <f t="shared" si="30"/>
        <v>0.87410304365972225</v>
      </c>
      <c r="BS103">
        <f t="shared" si="31"/>
        <v>5.1343327208263894</v>
      </c>
      <c r="BT103">
        <f t="shared" si="32"/>
        <v>0.22736298950694442</v>
      </c>
      <c r="BU103">
        <f t="shared" si="28"/>
        <v>5.7291271603333342</v>
      </c>
    </row>
    <row r="104" spans="1:73">
      <c r="A104" t="s">
        <v>200</v>
      </c>
      <c r="B104" t="s">
        <v>136</v>
      </c>
      <c r="C104">
        <v>72</v>
      </c>
      <c r="D104" t="s">
        <v>56</v>
      </c>
      <c r="E104" t="s">
        <v>53</v>
      </c>
      <c r="F104" t="s">
        <v>54</v>
      </c>
      <c r="G104">
        <v>60000</v>
      </c>
      <c r="H104">
        <v>20</v>
      </c>
      <c r="I104">
        <v>20</v>
      </c>
      <c r="J104">
        <v>0</v>
      </c>
      <c r="K104">
        <v>1</v>
      </c>
      <c r="L104">
        <v>2000000</v>
      </c>
      <c r="M104">
        <v>190</v>
      </c>
      <c r="N104">
        <v>190</v>
      </c>
      <c r="O104">
        <v>190</v>
      </c>
      <c r="P104">
        <v>0</v>
      </c>
      <c r="Q104" t="s">
        <v>55</v>
      </c>
      <c r="R104">
        <v>999862918120</v>
      </c>
      <c r="S104">
        <v>999659</v>
      </c>
      <c r="T104">
        <v>999862918120</v>
      </c>
      <c r="U104">
        <v>999659</v>
      </c>
      <c r="V104" t="s">
        <v>63</v>
      </c>
      <c r="W104">
        <v>6</v>
      </c>
      <c r="X104">
        <v>33040</v>
      </c>
      <c r="Y104">
        <v>1031738</v>
      </c>
      <c r="Z104">
        <v>1064778</v>
      </c>
      <c r="AA104">
        <v>999659</v>
      </c>
      <c r="AB104">
        <v>32.226900000000001</v>
      </c>
      <c r="AC104">
        <v>0.96890799999999999</v>
      </c>
      <c r="AD104">
        <v>3.0000800000000001</v>
      </c>
      <c r="AE104">
        <v>19150992</v>
      </c>
      <c r="AF104" t="s">
        <v>545</v>
      </c>
      <c r="AG104" t="s">
        <v>546</v>
      </c>
      <c r="AI104">
        <v>10774</v>
      </c>
      <c r="AJ104">
        <v>11380453015829</v>
      </c>
      <c r="AK104">
        <v>202711759053</v>
      </c>
      <c r="AL104">
        <v>9014167954705</v>
      </c>
      <c r="AM104">
        <v>119751427155</v>
      </c>
      <c r="AN104">
        <v>1097386391220</v>
      </c>
      <c r="AO104">
        <v>29855967589</v>
      </c>
      <c r="AP104">
        <v>536456089</v>
      </c>
      <c r="AQ104">
        <v>0</v>
      </c>
      <c r="AR104">
        <v>357662195</v>
      </c>
      <c r="AS104">
        <v>536456089</v>
      </c>
      <c r="AT104">
        <v>894118284</v>
      </c>
      <c r="AU104">
        <v>8940934</v>
      </c>
      <c r="AV104">
        <v>0</v>
      </c>
      <c r="AW104">
        <v>5961036</v>
      </c>
      <c r="AX104">
        <v>8940934</v>
      </c>
      <c r="AY104">
        <v>14901971</v>
      </c>
      <c r="AZ104">
        <v>20.813099999999999</v>
      </c>
      <c r="BA104">
        <v>9.6488899999999997</v>
      </c>
      <c r="BB104">
        <v>33925.1</v>
      </c>
      <c r="BC104">
        <v>3467.2</v>
      </c>
      <c r="BD104">
        <v>4016</v>
      </c>
      <c r="BE104">
        <v>331</v>
      </c>
      <c r="BF104">
        <f t="shared" si="19"/>
        <v>59.897121135942108</v>
      </c>
      <c r="BG104" s="31">
        <f t="shared" si="20"/>
        <v>55.073018419589474</v>
      </c>
      <c r="BH104">
        <f t="shared" si="21"/>
        <v>716</v>
      </c>
      <c r="BI104">
        <f t="shared" si="22"/>
        <v>1671125</v>
      </c>
      <c r="BJ104">
        <f t="shared" si="23"/>
        <v>813215</v>
      </c>
      <c r="BK104">
        <f t="shared" si="24"/>
        <v>6714673</v>
      </c>
      <c r="BL104">
        <f t="shared" si="25"/>
        <v>0</v>
      </c>
      <c r="BM104">
        <f t="shared" si="26"/>
        <v>0</v>
      </c>
      <c r="BN104" t="str">
        <f t="shared" si="17"/>
        <v>u=40%, k=2x10^6</v>
      </c>
      <c r="BO104" t="str">
        <f t="shared" si="18"/>
        <v>u=40%, k=2x10^6, sequential</v>
      </c>
      <c r="BP104">
        <f t="shared" si="27"/>
        <v>1.0669039950157895</v>
      </c>
      <c r="BQ104">
        <f t="shared" si="29"/>
        <v>47.442989235289481</v>
      </c>
      <c r="BR104">
        <f t="shared" si="30"/>
        <v>0.63027066923684216</v>
      </c>
      <c r="BS104">
        <f t="shared" si="31"/>
        <v>5.7757178485263152</v>
      </c>
      <c r="BT104">
        <f t="shared" si="32"/>
        <v>0.15713667152105262</v>
      </c>
      <c r="BU104">
        <f t="shared" si="28"/>
        <v>4.8241027163526269</v>
      </c>
    </row>
    <row r="105" spans="1:73">
      <c r="A105" t="s">
        <v>201</v>
      </c>
      <c r="B105" t="s">
        <v>136</v>
      </c>
      <c r="C105">
        <v>72</v>
      </c>
      <c r="D105" t="s">
        <v>56</v>
      </c>
      <c r="E105" t="s">
        <v>53</v>
      </c>
      <c r="F105" t="s">
        <v>54</v>
      </c>
      <c r="G105">
        <v>60000</v>
      </c>
      <c r="H105">
        <v>20</v>
      </c>
      <c r="I105">
        <v>20</v>
      </c>
      <c r="J105">
        <v>0</v>
      </c>
      <c r="K105">
        <v>1</v>
      </c>
      <c r="L105">
        <v>20000000</v>
      </c>
      <c r="M105">
        <v>24</v>
      </c>
      <c r="N105">
        <v>24</v>
      </c>
      <c r="O105">
        <v>24</v>
      </c>
      <c r="P105">
        <v>0</v>
      </c>
      <c r="Q105" t="s">
        <v>55</v>
      </c>
      <c r="R105">
        <v>100030731504316</v>
      </c>
      <c r="S105">
        <v>10004278</v>
      </c>
      <c r="T105">
        <v>100030731504316</v>
      </c>
      <c r="U105">
        <v>10004278</v>
      </c>
      <c r="V105" t="s">
        <v>63</v>
      </c>
      <c r="W105">
        <v>7</v>
      </c>
      <c r="X105">
        <v>1625788</v>
      </c>
      <c r="Y105">
        <v>11446619</v>
      </c>
      <c r="Z105">
        <v>13072407</v>
      </c>
      <c r="AA105">
        <v>10004278</v>
      </c>
      <c r="AB105">
        <v>8.0406600000000008</v>
      </c>
      <c r="AC105">
        <v>0.87399400000000005</v>
      </c>
      <c r="AD105">
        <v>4</v>
      </c>
      <c r="AE105">
        <v>313208928</v>
      </c>
      <c r="AF105" t="s">
        <v>547</v>
      </c>
      <c r="AG105" t="s">
        <v>548</v>
      </c>
      <c r="AI105">
        <v>207582</v>
      </c>
      <c r="AJ105">
        <v>1449747769141</v>
      </c>
      <c r="AK105">
        <v>54687518276</v>
      </c>
      <c r="AL105">
        <v>808432646344</v>
      </c>
      <c r="AM105">
        <v>63395568656</v>
      </c>
      <c r="AN105">
        <v>57527967573</v>
      </c>
      <c r="AO105">
        <v>20380873477</v>
      </c>
      <c r="AP105">
        <v>322465127</v>
      </c>
      <c r="AQ105">
        <v>0</v>
      </c>
      <c r="AR105">
        <v>214993469</v>
      </c>
      <c r="AS105">
        <v>322465127</v>
      </c>
      <c r="AT105">
        <v>537458596</v>
      </c>
      <c r="AU105">
        <v>5374418</v>
      </c>
      <c r="AV105">
        <v>0</v>
      </c>
      <c r="AW105">
        <v>3583224</v>
      </c>
      <c r="AX105">
        <v>5374418</v>
      </c>
      <c r="AY105">
        <v>8957643</v>
      </c>
      <c r="AZ105">
        <v>24.335899999999999</v>
      </c>
      <c r="BA105">
        <v>10.549200000000001</v>
      </c>
      <c r="BB105">
        <v>7442.04</v>
      </c>
      <c r="BC105">
        <v>1940.93</v>
      </c>
      <c r="BD105">
        <v>3851</v>
      </c>
      <c r="BE105">
        <v>155</v>
      </c>
      <c r="BF105">
        <f t="shared" si="19"/>
        <v>60.406157047541662</v>
      </c>
      <c r="BG105" s="31">
        <f t="shared" si="20"/>
        <v>41.851023930250001</v>
      </c>
      <c r="BH105">
        <f t="shared" si="21"/>
        <v>43</v>
      </c>
      <c r="BI105">
        <f t="shared" si="22"/>
        <v>119986</v>
      </c>
      <c r="BJ105">
        <f t="shared" si="23"/>
        <v>3445846</v>
      </c>
      <c r="BK105">
        <f t="shared" si="24"/>
        <v>31467562</v>
      </c>
      <c r="BL105">
        <f t="shared" si="25"/>
        <v>104714</v>
      </c>
      <c r="BM105">
        <f t="shared" si="26"/>
        <v>0</v>
      </c>
      <c r="BN105" t="str">
        <f t="shared" si="17"/>
        <v>u=40%, k=2x10^7</v>
      </c>
      <c r="BO105" t="str">
        <f t="shared" si="18"/>
        <v>u=40%, k=2x10^7, sequential</v>
      </c>
      <c r="BP105">
        <f t="shared" si="27"/>
        <v>2.2786465948333334</v>
      </c>
      <c r="BQ105">
        <f t="shared" si="29"/>
        <v>33.684693597666666</v>
      </c>
      <c r="BR105">
        <f t="shared" si="30"/>
        <v>2.6414820273333333</v>
      </c>
      <c r="BS105">
        <f t="shared" si="31"/>
        <v>2.3969986488749999</v>
      </c>
      <c r="BT105">
        <f t="shared" si="32"/>
        <v>0.84920306154166669</v>
      </c>
      <c r="BU105">
        <f t="shared" si="28"/>
        <v>18.555133117291668</v>
      </c>
    </row>
    <row r="106" spans="1:73">
      <c r="A106" t="s">
        <v>202</v>
      </c>
      <c r="B106" t="s">
        <v>136</v>
      </c>
      <c r="C106">
        <v>72</v>
      </c>
      <c r="D106" t="s">
        <v>56</v>
      </c>
      <c r="E106" t="s">
        <v>53</v>
      </c>
      <c r="F106" t="s">
        <v>54</v>
      </c>
      <c r="G106">
        <v>60000</v>
      </c>
      <c r="H106">
        <v>20</v>
      </c>
      <c r="I106">
        <v>20</v>
      </c>
      <c r="J106">
        <v>0</v>
      </c>
      <c r="K106">
        <v>1</v>
      </c>
      <c r="L106">
        <v>20000000</v>
      </c>
      <c r="M106">
        <v>48</v>
      </c>
      <c r="N106">
        <v>48</v>
      </c>
      <c r="O106">
        <v>48</v>
      </c>
      <c r="P106">
        <v>0</v>
      </c>
      <c r="Q106" t="s">
        <v>55</v>
      </c>
      <c r="R106">
        <v>100021524036542</v>
      </c>
      <c r="S106">
        <v>10002567</v>
      </c>
      <c r="T106">
        <v>100021524036542</v>
      </c>
      <c r="U106">
        <v>10002567</v>
      </c>
      <c r="V106" t="s">
        <v>63</v>
      </c>
      <c r="W106">
        <v>7</v>
      </c>
      <c r="X106">
        <v>1625794</v>
      </c>
      <c r="Y106">
        <v>11444915</v>
      </c>
      <c r="Z106">
        <v>13070709</v>
      </c>
      <c r="AA106">
        <v>10002567</v>
      </c>
      <c r="AB106">
        <v>8.0395800000000008</v>
      </c>
      <c r="AC106">
        <v>0.87397499999999995</v>
      </c>
      <c r="AD106">
        <v>4</v>
      </c>
      <c r="AE106">
        <v>313182144</v>
      </c>
      <c r="AF106" t="s">
        <v>549</v>
      </c>
      <c r="AG106" t="s">
        <v>550</v>
      </c>
      <c r="AI106">
        <v>55862</v>
      </c>
      <c r="AJ106">
        <v>2907394003258</v>
      </c>
      <c r="AK106">
        <v>70796252380</v>
      </c>
      <c r="AL106">
        <v>2043807477190</v>
      </c>
      <c r="AM106">
        <v>88198950074</v>
      </c>
      <c r="AN106">
        <v>150534119588</v>
      </c>
      <c r="AO106">
        <v>27383592738</v>
      </c>
      <c r="AP106">
        <v>322467831</v>
      </c>
      <c r="AQ106">
        <v>0</v>
      </c>
      <c r="AR106">
        <v>214988411</v>
      </c>
      <c r="AS106">
        <v>322467831</v>
      </c>
      <c r="AT106">
        <v>537456242</v>
      </c>
      <c r="AU106">
        <v>5374463</v>
      </c>
      <c r="AV106">
        <v>0</v>
      </c>
      <c r="AW106">
        <v>3583140</v>
      </c>
      <c r="AX106">
        <v>5374463</v>
      </c>
      <c r="AY106">
        <v>8957604</v>
      </c>
      <c r="AZ106">
        <v>24.885999999999999</v>
      </c>
      <c r="BA106">
        <v>11.0427</v>
      </c>
      <c r="BB106">
        <v>14731.2</v>
      </c>
      <c r="BC106">
        <v>2490.85</v>
      </c>
      <c r="BD106">
        <v>4392</v>
      </c>
      <c r="BE106">
        <v>168</v>
      </c>
      <c r="BF106">
        <f t="shared" si="19"/>
        <v>60.570708401208329</v>
      </c>
      <c r="BG106" s="31">
        <f t="shared" si="20"/>
        <v>49.598341499375003</v>
      </c>
      <c r="BH106">
        <f t="shared" si="21"/>
        <v>43</v>
      </c>
      <c r="BI106">
        <f t="shared" si="22"/>
        <v>133495</v>
      </c>
      <c r="BJ106">
        <f t="shared" si="23"/>
        <v>2922822</v>
      </c>
      <c r="BK106">
        <f t="shared" si="24"/>
        <v>30572263</v>
      </c>
      <c r="BL106">
        <f t="shared" si="25"/>
        <v>99804</v>
      </c>
      <c r="BM106">
        <f t="shared" si="26"/>
        <v>0</v>
      </c>
      <c r="BN106" t="str">
        <f t="shared" si="17"/>
        <v>u=40%, k=2x10^7</v>
      </c>
      <c r="BO106" t="str">
        <f t="shared" si="18"/>
        <v>u=40%, k=2x10^7, sequential</v>
      </c>
      <c r="BP106">
        <f t="shared" si="27"/>
        <v>1.4749219245833334</v>
      </c>
      <c r="BQ106">
        <f t="shared" si="29"/>
        <v>42.579322441458338</v>
      </c>
      <c r="BR106">
        <f t="shared" si="30"/>
        <v>1.8374781265416666</v>
      </c>
      <c r="BS106">
        <f t="shared" si="31"/>
        <v>3.136127491416667</v>
      </c>
      <c r="BT106">
        <f t="shared" si="32"/>
        <v>0.57049151537499998</v>
      </c>
      <c r="BU106">
        <f t="shared" si="28"/>
        <v>10.972366901833325</v>
      </c>
    </row>
    <row r="107" spans="1:73">
      <c r="A107" t="s">
        <v>203</v>
      </c>
      <c r="B107" t="s">
        <v>136</v>
      </c>
      <c r="C107">
        <v>72</v>
      </c>
      <c r="D107" t="s">
        <v>56</v>
      </c>
      <c r="E107" t="s">
        <v>53</v>
      </c>
      <c r="F107" t="s">
        <v>54</v>
      </c>
      <c r="G107">
        <v>60000</v>
      </c>
      <c r="H107">
        <v>20</v>
      </c>
      <c r="I107">
        <v>20</v>
      </c>
      <c r="J107">
        <v>0</v>
      </c>
      <c r="K107">
        <v>1</v>
      </c>
      <c r="L107">
        <v>20000000</v>
      </c>
      <c r="M107">
        <v>96</v>
      </c>
      <c r="N107">
        <v>96</v>
      </c>
      <c r="O107">
        <v>96</v>
      </c>
      <c r="P107">
        <v>0</v>
      </c>
      <c r="Q107" t="s">
        <v>55</v>
      </c>
      <c r="R107">
        <v>99999166614554</v>
      </c>
      <c r="S107">
        <v>9998867</v>
      </c>
      <c r="T107">
        <v>99999166614554</v>
      </c>
      <c r="U107">
        <v>9998867</v>
      </c>
      <c r="V107" t="s">
        <v>63</v>
      </c>
      <c r="W107">
        <v>7</v>
      </c>
      <c r="X107">
        <v>1625806</v>
      </c>
      <c r="Y107">
        <v>11441240</v>
      </c>
      <c r="Z107">
        <v>13067046</v>
      </c>
      <c r="AA107">
        <v>9998867</v>
      </c>
      <c r="AB107">
        <v>8.0372699999999995</v>
      </c>
      <c r="AC107">
        <v>0.87393200000000004</v>
      </c>
      <c r="AD107">
        <v>4</v>
      </c>
      <c r="AE107">
        <v>313124304</v>
      </c>
      <c r="AF107" t="s">
        <v>551</v>
      </c>
      <c r="AG107" t="s">
        <v>552</v>
      </c>
      <c r="AI107">
        <v>26634</v>
      </c>
      <c r="AJ107">
        <v>5842078309617</v>
      </c>
      <c r="AK107">
        <v>65518077163</v>
      </c>
      <c r="AL107">
        <v>4113452061917</v>
      </c>
      <c r="AM107">
        <v>85217984391</v>
      </c>
      <c r="AN107">
        <v>1026530739455</v>
      </c>
      <c r="AO107">
        <v>26539070118</v>
      </c>
      <c r="AP107">
        <v>292496169</v>
      </c>
      <c r="AQ107">
        <v>0</v>
      </c>
      <c r="AR107">
        <v>194994921</v>
      </c>
      <c r="AS107">
        <v>292496169</v>
      </c>
      <c r="AT107">
        <v>487491090</v>
      </c>
      <c r="AU107">
        <v>4874936</v>
      </c>
      <c r="AV107">
        <v>0</v>
      </c>
      <c r="AW107">
        <v>3249915</v>
      </c>
      <c r="AX107">
        <v>4874936</v>
      </c>
      <c r="AY107">
        <v>8124851</v>
      </c>
      <c r="AZ107">
        <v>25.654800000000002</v>
      </c>
      <c r="BA107">
        <v>12.579000000000001</v>
      </c>
      <c r="BB107">
        <v>28184.6</v>
      </c>
      <c r="BC107">
        <v>2625.02</v>
      </c>
      <c r="BD107">
        <v>4598</v>
      </c>
      <c r="BE107">
        <v>219</v>
      </c>
      <c r="BF107">
        <f t="shared" si="19"/>
        <v>60.854982391843748</v>
      </c>
      <c r="BG107" s="31">
        <f t="shared" si="20"/>
        <v>55.388103469208339</v>
      </c>
      <c r="BH107">
        <f t="shared" si="21"/>
        <v>39</v>
      </c>
      <c r="BI107">
        <f t="shared" si="22"/>
        <v>123296</v>
      </c>
      <c r="BJ107">
        <f t="shared" si="23"/>
        <v>1798866</v>
      </c>
      <c r="BK107">
        <f t="shared" si="24"/>
        <v>26724591</v>
      </c>
      <c r="BL107">
        <f t="shared" si="25"/>
        <v>78025</v>
      </c>
      <c r="BM107">
        <f t="shared" si="26"/>
        <v>0</v>
      </c>
      <c r="BN107" t="str">
        <f t="shared" si="17"/>
        <v>u=40%, k=2x10^7</v>
      </c>
      <c r="BO107" t="str">
        <f t="shared" si="18"/>
        <v>u=40%, k=2x10^7, sequential</v>
      </c>
      <c r="BP107">
        <f t="shared" si="27"/>
        <v>0.68247997044791664</v>
      </c>
      <c r="BQ107">
        <f t="shared" si="29"/>
        <v>42.848458978302084</v>
      </c>
      <c r="BR107">
        <f t="shared" si="30"/>
        <v>0.88768733740625005</v>
      </c>
      <c r="BS107">
        <f t="shared" si="31"/>
        <v>10.693028535989583</v>
      </c>
      <c r="BT107">
        <f t="shared" si="32"/>
        <v>0.2764486470625</v>
      </c>
      <c r="BU107">
        <f t="shared" si="28"/>
        <v>5.4668789226354164</v>
      </c>
    </row>
    <row r="108" spans="1:73">
      <c r="A108" t="s">
        <v>204</v>
      </c>
      <c r="B108" t="s">
        <v>136</v>
      </c>
      <c r="C108">
        <v>72</v>
      </c>
      <c r="D108" t="s">
        <v>56</v>
      </c>
      <c r="E108" t="s">
        <v>53</v>
      </c>
      <c r="F108" t="s">
        <v>54</v>
      </c>
      <c r="G108">
        <v>60000</v>
      </c>
      <c r="H108">
        <v>20</v>
      </c>
      <c r="I108">
        <v>20</v>
      </c>
      <c r="J108">
        <v>0</v>
      </c>
      <c r="K108">
        <v>1</v>
      </c>
      <c r="L108">
        <v>20000000</v>
      </c>
      <c r="M108">
        <v>144</v>
      </c>
      <c r="N108">
        <v>144</v>
      </c>
      <c r="O108">
        <v>144</v>
      </c>
      <c r="P108">
        <v>0</v>
      </c>
      <c r="Q108" t="s">
        <v>55</v>
      </c>
      <c r="R108">
        <v>100023119051483</v>
      </c>
      <c r="S108">
        <v>10000358</v>
      </c>
      <c r="T108">
        <v>100023119051483</v>
      </c>
      <c r="U108">
        <v>10000358</v>
      </c>
      <c r="V108" t="s">
        <v>63</v>
      </c>
      <c r="W108">
        <v>7</v>
      </c>
      <c r="X108">
        <v>1625817</v>
      </c>
      <c r="Y108">
        <v>11442759</v>
      </c>
      <c r="Z108">
        <v>13068576</v>
      </c>
      <c r="AA108">
        <v>10000358</v>
      </c>
      <c r="AB108">
        <v>8.0381599999999995</v>
      </c>
      <c r="AC108">
        <v>0.873946</v>
      </c>
      <c r="AD108">
        <v>4.0000099999999996</v>
      </c>
      <c r="AE108">
        <v>313149488</v>
      </c>
      <c r="AF108" t="s">
        <v>553</v>
      </c>
      <c r="AG108" t="s">
        <v>554</v>
      </c>
      <c r="AI108">
        <v>15884</v>
      </c>
      <c r="AJ108">
        <v>8708542431815</v>
      </c>
      <c r="AK108">
        <v>60229615318</v>
      </c>
      <c r="AL108">
        <v>6326957813413</v>
      </c>
      <c r="AM108">
        <v>80818531014</v>
      </c>
      <c r="AN108">
        <v>1702236063712</v>
      </c>
      <c r="AO108">
        <v>26084814677</v>
      </c>
      <c r="AP108">
        <v>277417587</v>
      </c>
      <c r="AQ108">
        <v>0</v>
      </c>
      <c r="AR108">
        <v>184980488</v>
      </c>
      <c r="AS108">
        <v>277417587</v>
      </c>
      <c r="AT108">
        <v>462398075</v>
      </c>
      <c r="AU108">
        <v>4623626</v>
      </c>
      <c r="AV108">
        <v>0</v>
      </c>
      <c r="AW108">
        <v>3083008</v>
      </c>
      <c r="AX108">
        <v>4623626</v>
      </c>
      <c r="AY108">
        <v>7706634</v>
      </c>
      <c r="AZ108">
        <v>25.900700000000001</v>
      </c>
      <c r="BA108">
        <v>13.180300000000001</v>
      </c>
      <c r="BB108">
        <v>42443.8</v>
      </c>
      <c r="BC108">
        <v>2700.3</v>
      </c>
      <c r="BD108">
        <v>4889</v>
      </c>
      <c r="BE108">
        <v>341</v>
      </c>
      <c r="BF108">
        <f t="shared" si="19"/>
        <v>60.475989109826386</v>
      </c>
      <c r="BG108" s="31">
        <f t="shared" si="20"/>
        <v>56.918936375930556</v>
      </c>
      <c r="BH108">
        <f t="shared" si="21"/>
        <v>37</v>
      </c>
      <c r="BI108">
        <f t="shared" si="22"/>
        <v>117025</v>
      </c>
      <c r="BJ108">
        <f t="shared" si="23"/>
        <v>978711</v>
      </c>
      <c r="BK108">
        <f t="shared" si="24"/>
        <v>24752782</v>
      </c>
      <c r="BL108">
        <f t="shared" si="25"/>
        <v>61792</v>
      </c>
      <c r="BM108">
        <f t="shared" si="26"/>
        <v>0</v>
      </c>
      <c r="BN108" t="str">
        <f t="shared" si="17"/>
        <v>u=40%, k=2x10^7</v>
      </c>
      <c r="BO108" t="str">
        <f t="shared" si="18"/>
        <v>u=40%, k=2x10^7, sequential</v>
      </c>
      <c r="BP108">
        <f t="shared" si="27"/>
        <v>0.41826121748611111</v>
      </c>
      <c r="BQ108">
        <f t="shared" si="29"/>
        <v>43.937207037590277</v>
      </c>
      <c r="BR108">
        <f t="shared" si="30"/>
        <v>0.56123979870833329</v>
      </c>
      <c r="BS108">
        <f t="shared" si="31"/>
        <v>11.821083775777778</v>
      </c>
      <c r="BT108">
        <f t="shared" si="32"/>
        <v>0.18114454636805555</v>
      </c>
      <c r="BU108">
        <f t="shared" si="28"/>
        <v>3.55705273389583</v>
      </c>
    </row>
    <row r="109" spans="1:73">
      <c r="A109" t="s">
        <v>205</v>
      </c>
      <c r="B109" t="s">
        <v>136</v>
      </c>
      <c r="C109">
        <v>72</v>
      </c>
      <c r="D109" t="s">
        <v>56</v>
      </c>
      <c r="E109" t="s">
        <v>53</v>
      </c>
      <c r="F109" t="s">
        <v>54</v>
      </c>
      <c r="G109">
        <v>60000</v>
      </c>
      <c r="H109">
        <v>20</v>
      </c>
      <c r="I109">
        <v>20</v>
      </c>
      <c r="J109">
        <v>0</v>
      </c>
      <c r="K109">
        <v>1</v>
      </c>
      <c r="L109">
        <v>20000000</v>
      </c>
      <c r="M109">
        <v>190</v>
      </c>
      <c r="N109">
        <v>190</v>
      </c>
      <c r="O109">
        <v>190</v>
      </c>
      <c r="P109">
        <v>0</v>
      </c>
      <c r="Q109" t="s">
        <v>55</v>
      </c>
      <c r="R109">
        <v>100008181123627</v>
      </c>
      <c r="S109">
        <v>9999172</v>
      </c>
      <c r="T109">
        <v>100008181123627</v>
      </c>
      <c r="U109">
        <v>9999172</v>
      </c>
      <c r="V109" t="s">
        <v>63</v>
      </c>
      <c r="W109">
        <v>7</v>
      </c>
      <c r="X109">
        <v>1625833</v>
      </c>
      <c r="Y109">
        <v>11441599</v>
      </c>
      <c r="Z109">
        <v>13067432</v>
      </c>
      <c r="AA109">
        <v>9999172</v>
      </c>
      <c r="AB109">
        <v>8.0373800000000006</v>
      </c>
      <c r="AC109">
        <v>0.87393100000000001</v>
      </c>
      <c r="AD109">
        <v>4.0000099999999996</v>
      </c>
      <c r="AE109">
        <v>313132208</v>
      </c>
      <c r="AF109" t="s">
        <v>555</v>
      </c>
      <c r="AG109" t="s">
        <v>556</v>
      </c>
      <c r="AI109">
        <v>11716</v>
      </c>
      <c r="AJ109">
        <v>11553166772929</v>
      </c>
      <c r="AK109">
        <v>61360751953</v>
      </c>
      <c r="AL109">
        <v>8468037397182</v>
      </c>
      <c r="AM109">
        <v>86019049465</v>
      </c>
      <c r="AN109">
        <v>2386098517458</v>
      </c>
      <c r="AO109">
        <v>26188048103</v>
      </c>
      <c r="AP109">
        <v>284977879</v>
      </c>
      <c r="AQ109">
        <v>0</v>
      </c>
      <c r="AR109">
        <v>189936616</v>
      </c>
      <c r="AS109">
        <v>284977879</v>
      </c>
      <c r="AT109">
        <v>474914495</v>
      </c>
      <c r="AU109">
        <v>4749631</v>
      </c>
      <c r="AV109">
        <v>0</v>
      </c>
      <c r="AW109">
        <v>3165610</v>
      </c>
      <c r="AX109">
        <v>4749631</v>
      </c>
      <c r="AY109">
        <v>7915241</v>
      </c>
      <c r="AZ109">
        <v>26.225899999999999</v>
      </c>
      <c r="BA109">
        <v>13.717000000000001</v>
      </c>
      <c r="BB109">
        <v>53927.9</v>
      </c>
      <c r="BC109">
        <v>2865.2</v>
      </c>
      <c r="BD109">
        <v>5465</v>
      </c>
      <c r="BE109">
        <v>360</v>
      </c>
      <c r="BF109">
        <f t="shared" si="19"/>
        <v>60.806140910152635</v>
      </c>
      <c r="BG109" s="31">
        <f t="shared" si="20"/>
        <v>58.040546127163161</v>
      </c>
      <c r="BH109">
        <f t="shared" si="21"/>
        <v>38</v>
      </c>
      <c r="BI109">
        <f t="shared" si="22"/>
        <v>120185</v>
      </c>
      <c r="BJ109">
        <f t="shared" si="23"/>
        <v>1013108</v>
      </c>
      <c r="BK109">
        <f t="shared" si="24"/>
        <v>25425979</v>
      </c>
      <c r="BL109">
        <f t="shared" si="25"/>
        <v>63451</v>
      </c>
      <c r="BM109">
        <f t="shared" si="26"/>
        <v>0</v>
      </c>
      <c r="BN109" t="str">
        <f t="shared" si="17"/>
        <v>u=40%, k=2x10^7</v>
      </c>
      <c r="BO109" t="str">
        <f t="shared" si="18"/>
        <v>u=40%, k=2x10^7, sequential</v>
      </c>
      <c r="BP109">
        <f t="shared" si="27"/>
        <v>0.32295132606842103</v>
      </c>
      <c r="BQ109">
        <f t="shared" si="29"/>
        <v>44.568617879905268</v>
      </c>
      <c r="BR109">
        <f t="shared" si="30"/>
        <v>0.45273183928947364</v>
      </c>
      <c r="BS109">
        <f t="shared" si="31"/>
        <v>12.558413249778948</v>
      </c>
      <c r="BT109">
        <f t="shared" si="32"/>
        <v>0.13783183212105263</v>
      </c>
      <c r="BU109">
        <f t="shared" si="28"/>
        <v>2.7655947829894671</v>
      </c>
    </row>
    <row r="110" spans="1:73">
      <c r="A110" t="s">
        <v>206</v>
      </c>
      <c r="B110" t="s">
        <v>136</v>
      </c>
      <c r="C110">
        <v>72</v>
      </c>
      <c r="D110" t="s">
        <v>56</v>
      </c>
      <c r="E110" t="s">
        <v>53</v>
      </c>
      <c r="F110" t="s">
        <v>54</v>
      </c>
      <c r="G110">
        <v>60000</v>
      </c>
      <c r="H110">
        <v>20</v>
      </c>
      <c r="I110">
        <v>20</v>
      </c>
      <c r="J110">
        <v>0</v>
      </c>
      <c r="K110">
        <v>1</v>
      </c>
      <c r="L110">
        <v>200000000</v>
      </c>
      <c r="M110">
        <v>24</v>
      </c>
      <c r="N110">
        <v>24</v>
      </c>
      <c r="O110">
        <v>24</v>
      </c>
      <c r="P110">
        <v>0</v>
      </c>
      <c r="Q110" t="s">
        <v>55</v>
      </c>
      <c r="R110">
        <v>9999572195035920</v>
      </c>
      <c r="S110">
        <v>99992972</v>
      </c>
      <c r="T110">
        <v>9999572195035920</v>
      </c>
      <c r="U110">
        <v>99992972</v>
      </c>
      <c r="V110" t="s">
        <v>63</v>
      </c>
      <c r="W110">
        <v>7</v>
      </c>
      <c r="X110">
        <v>14415466</v>
      </c>
      <c r="Y110">
        <v>117041637</v>
      </c>
      <c r="Z110">
        <v>131457103</v>
      </c>
      <c r="AA110">
        <v>99992972</v>
      </c>
      <c r="AB110">
        <v>9.1191700000000004</v>
      </c>
      <c r="AC110">
        <v>0.85433700000000001</v>
      </c>
      <c r="AD110">
        <v>4.0677099999999999</v>
      </c>
      <c r="AE110">
        <v>3029565760</v>
      </c>
      <c r="AF110" t="s">
        <v>557</v>
      </c>
      <c r="AG110" t="s">
        <v>558</v>
      </c>
      <c r="AI110">
        <v>185244</v>
      </c>
      <c r="AJ110">
        <v>1436604896730</v>
      </c>
      <c r="AK110">
        <v>41359403649</v>
      </c>
      <c r="AL110">
        <v>683021783657</v>
      </c>
      <c r="AM110">
        <v>53296947793</v>
      </c>
      <c r="AN110">
        <v>89167209709</v>
      </c>
      <c r="AO110">
        <v>16593658645</v>
      </c>
      <c r="AP110">
        <v>292417607</v>
      </c>
      <c r="AQ110">
        <v>0</v>
      </c>
      <c r="AR110">
        <v>194928013</v>
      </c>
      <c r="AS110">
        <v>292417607</v>
      </c>
      <c r="AT110">
        <v>487345620</v>
      </c>
      <c r="AU110">
        <v>4873626</v>
      </c>
      <c r="AV110">
        <v>0</v>
      </c>
      <c r="AW110">
        <v>3248800</v>
      </c>
      <c r="AX110">
        <v>4873626</v>
      </c>
      <c r="AY110">
        <v>8122427</v>
      </c>
      <c r="AZ110">
        <v>26.6248</v>
      </c>
      <c r="BA110">
        <v>12.519299999999999</v>
      </c>
      <c r="BB110">
        <v>7827.82</v>
      </c>
      <c r="BC110">
        <v>2670.41</v>
      </c>
      <c r="BD110">
        <v>12754</v>
      </c>
      <c r="BE110">
        <v>1560</v>
      </c>
      <c r="BF110">
        <f t="shared" si="19"/>
        <v>59.858537363750003</v>
      </c>
      <c r="BG110" s="31">
        <f t="shared" si="20"/>
        <v>36.809958477208333</v>
      </c>
      <c r="BH110">
        <f t="shared" si="21"/>
        <v>3</v>
      </c>
      <c r="BI110">
        <f t="shared" si="22"/>
        <v>19134</v>
      </c>
      <c r="BJ110">
        <f t="shared" si="23"/>
        <v>1821215</v>
      </c>
      <c r="BK110">
        <f t="shared" si="24"/>
        <v>16473688</v>
      </c>
      <c r="BL110">
        <f t="shared" si="25"/>
        <v>2716288</v>
      </c>
      <c r="BM110">
        <f t="shared" si="26"/>
        <v>0</v>
      </c>
      <c r="BN110" t="str">
        <f t="shared" si="17"/>
        <v>u=40%, k=2x10^8</v>
      </c>
      <c r="BO110" t="str">
        <f t="shared" si="18"/>
        <v>u=40%, k=2x10^8, sequential</v>
      </c>
      <c r="BP110">
        <f t="shared" si="27"/>
        <v>1.723308485375</v>
      </c>
      <c r="BQ110">
        <f t="shared" si="29"/>
        <v>28.459240985708334</v>
      </c>
      <c r="BR110">
        <f t="shared" si="30"/>
        <v>2.2207061580416667</v>
      </c>
      <c r="BS110">
        <f t="shared" si="31"/>
        <v>3.7153004045416669</v>
      </c>
      <c r="BT110">
        <f t="shared" si="32"/>
        <v>0.69140244354166669</v>
      </c>
      <c r="BU110">
        <f t="shared" si="28"/>
        <v>23.048578886541669</v>
      </c>
    </row>
    <row r="111" spans="1:73">
      <c r="A111" t="s">
        <v>207</v>
      </c>
      <c r="B111" t="s">
        <v>136</v>
      </c>
      <c r="C111">
        <v>72</v>
      </c>
      <c r="D111" t="s">
        <v>56</v>
      </c>
      <c r="E111" t="s">
        <v>53</v>
      </c>
      <c r="F111" t="s">
        <v>54</v>
      </c>
      <c r="G111">
        <v>60000</v>
      </c>
      <c r="H111">
        <v>20</v>
      </c>
      <c r="I111">
        <v>20</v>
      </c>
      <c r="J111">
        <v>0</v>
      </c>
      <c r="K111">
        <v>1</v>
      </c>
      <c r="L111">
        <v>200000000</v>
      </c>
      <c r="M111">
        <v>48</v>
      </c>
      <c r="N111">
        <v>48</v>
      </c>
      <c r="O111">
        <v>48</v>
      </c>
      <c r="P111">
        <v>0</v>
      </c>
      <c r="Q111" t="s">
        <v>55</v>
      </c>
      <c r="R111">
        <v>9999483762764750</v>
      </c>
      <c r="S111">
        <v>100001771</v>
      </c>
      <c r="T111">
        <v>9999483762764750</v>
      </c>
      <c r="U111">
        <v>100001771</v>
      </c>
      <c r="V111" t="s">
        <v>63</v>
      </c>
      <c r="W111">
        <v>7</v>
      </c>
      <c r="X111">
        <v>11011111</v>
      </c>
      <c r="Y111">
        <v>110002790</v>
      </c>
      <c r="Z111">
        <v>121013901</v>
      </c>
      <c r="AA111">
        <v>100001771</v>
      </c>
      <c r="AB111">
        <v>10.9902</v>
      </c>
      <c r="AC111">
        <v>0.909084</v>
      </c>
      <c r="AD111">
        <v>4</v>
      </c>
      <c r="AE111">
        <v>2640933504</v>
      </c>
      <c r="AF111" t="s">
        <v>559</v>
      </c>
      <c r="AG111" t="s">
        <v>560</v>
      </c>
      <c r="AI111">
        <v>54882</v>
      </c>
      <c r="AJ111">
        <v>3226163869730</v>
      </c>
      <c r="AK111">
        <v>74764110549</v>
      </c>
      <c r="AL111">
        <v>1972122411261</v>
      </c>
      <c r="AM111">
        <v>90387614578</v>
      </c>
      <c r="AN111">
        <v>420368631423</v>
      </c>
      <c r="AO111">
        <v>27032035934</v>
      </c>
      <c r="AP111">
        <v>299974355</v>
      </c>
      <c r="AQ111">
        <v>0</v>
      </c>
      <c r="AR111">
        <v>199969550</v>
      </c>
      <c r="AS111">
        <v>299974355</v>
      </c>
      <c r="AT111">
        <v>499943905</v>
      </c>
      <c r="AU111">
        <v>4999572</v>
      </c>
      <c r="AV111">
        <v>0</v>
      </c>
      <c r="AW111">
        <v>3332825</v>
      </c>
      <c r="AX111">
        <v>4999572</v>
      </c>
      <c r="AY111">
        <v>8332398</v>
      </c>
      <c r="AZ111">
        <v>29.682700000000001</v>
      </c>
      <c r="BA111">
        <v>13.657299999999999</v>
      </c>
      <c r="BB111">
        <v>16441.8</v>
      </c>
      <c r="BC111">
        <v>3460.88</v>
      </c>
      <c r="BD111">
        <v>13295</v>
      </c>
      <c r="BE111">
        <v>1283</v>
      </c>
      <c r="BF111">
        <f t="shared" si="19"/>
        <v>67.211747286041671</v>
      </c>
      <c r="BG111" s="31">
        <f t="shared" si="20"/>
        <v>53.847391744687506</v>
      </c>
      <c r="BH111">
        <f t="shared" si="21"/>
        <v>4</v>
      </c>
      <c r="BI111">
        <f t="shared" si="22"/>
        <v>34325</v>
      </c>
      <c r="BJ111">
        <f t="shared" si="23"/>
        <v>1878813</v>
      </c>
      <c r="BK111">
        <f t="shared" si="24"/>
        <v>16636994</v>
      </c>
      <c r="BL111">
        <f t="shared" si="25"/>
        <v>2743967</v>
      </c>
      <c r="BM111">
        <f t="shared" si="26"/>
        <v>0</v>
      </c>
      <c r="BN111" t="str">
        <f t="shared" si="17"/>
        <v>u=40%, k=2x10^8</v>
      </c>
      <c r="BO111" t="str">
        <f t="shared" si="18"/>
        <v>u=40%, k=2x10^8, sequential</v>
      </c>
      <c r="BP111">
        <f t="shared" si="27"/>
        <v>1.5575856364374998</v>
      </c>
      <c r="BQ111">
        <f t="shared" si="29"/>
        <v>41.085883567937501</v>
      </c>
      <c r="BR111">
        <f t="shared" si="30"/>
        <v>1.8830753037083332</v>
      </c>
      <c r="BS111">
        <f t="shared" si="31"/>
        <v>8.7576798213125002</v>
      </c>
      <c r="BT111">
        <f t="shared" si="32"/>
        <v>0.5631674152916667</v>
      </c>
      <c r="BU111">
        <f t="shared" si="28"/>
        <v>13.364355541354172</v>
      </c>
    </row>
    <row r="112" spans="1:73">
      <c r="A112" t="s">
        <v>208</v>
      </c>
      <c r="B112" t="s">
        <v>136</v>
      </c>
      <c r="C112">
        <v>72</v>
      </c>
      <c r="D112" t="s">
        <v>56</v>
      </c>
      <c r="E112" t="s">
        <v>53</v>
      </c>
      <c r="F112" t="s">
        <v>54</v>
      </c>
      <c r="G112">
        <v>60000</v>
      </c>
      <c r="H112">
        <v>20</v>
      </c>
      <c r="I112">
        <v>20</v>
      </c>
      <c r="J112">
        <v>0</v>
      </c>
      <c r="K112">
        <v>1</v>
      </c>
      <c r="L112">
        <v>200000000</v>
      </c>
      <c r="M112">
        <v>96</v>
      </c>
      <c r="N112">
        <v>96</v>
      </c>
      <c r="O112">
        <v>96</v>
      </c>
      <c r="P112">
        <v>0</v>
      </c>
      <c r="Q112" t="s">
        <v>55</v>
      </c>
      <c r="R112">
        <v>9999847320166790</v>
      </c>
      <c r="S112">
        <v>100001892</v>
      </c>
      <c r="T112">
        <v>9999847320166790</v>
      </c>
      <c r="U112">
        <v>100001892</v>
      </c>
      <c r="V112" t="s">
        <v>63</v>
      </c>
      <c r="W112">
        <v>7</v>
      </c>
      <c r="X112">
        <v>11965067</v>
      </c>
      <c r="Y112">
        <v>111889856</v>
      </c>
      <c r="Z112">
        <v>123854923</v>
      </c>
      <c r="AA112">
        <v>100001892</v>
      </c>
      <c r="AB112">
        <v>10.3514</v>
      </c>
      <c r="AC112">
        <v>0.89375300000000002</v>
      </c>
      <c r="AD112">
        <v>4.0179799999999997</v>
      </c>
      <c r="AE112">
        <v>2748059584</v>
      </c>
      <c r="AF112" t="s">
        <v>561</v>
      </c>
      <c r="AG112" t="s">
        <v>562</v>
      </c>
      <c r="AI112">
        <v>28212</v>
      </c>
      <c r="AJ112">
        <v>5762278610181</v>
      </c>
      <c r="AK112">
        <v>70244975573</v>
      </c>
      <c r="AL112">
        <v>2803571990653</v>
      </c>
      <c r="AM112">
        <v>84629859215</v>
      </c>
      <c r="AN112">
        <v>2134795208286</v>
      </c>
      <c r="AO112">
        <v>23212805434</v>
      </c>
      <c r="AP112">
        <v>297273708</v>
      </c>
      <c r="AQ112">
        <v>0</v>
      </c>
      <c r="AR112">
        <v>198160773</v>
      </c>
      <c r="AS112">
        <v>297273708</v>
      </c>
      <c r="AT112">
        <v>495434481</v>
      </c>
      <c r="AU112">
        <v>4954561</v>
      </c>
      <c r="AV112">
        <v>0</v>
      </c>
      <c r="AW112">
        <v>3302679</v>
      </c>
      <c r="AX112">
        <v>4954561</v>
      </c>
      <c r="AY112">
        <v>8257241</v>
      </c>
      <c r="AZ112">
        <v>30.192499999999999</v>
      </c>
      <c r="BA112">
        <v>15.0542</v>
      </c>
      <c r="BB112">
        <v>22036.6</v>
      </c>
      <c r="BC112">
        <v>3325.96</v>
      </c>
      <c r="BD112">
        <v>14416</v>
      </c>
      <c r="BE112">
        <v>1029</v>
      </c>
      <c r="BF112">
        <f t="shared" si="19"/>
        <v>60.023735522718745</v>
      </c>
      <c r="BG112" s="31">
        <f t="shared" si="20"/>
        <v>53.296404574593744</v>
      </c>
      <c r="BH112">
        <f t="shared" si="21"/>
        <v>3</v>
      </c>
      <c r="BI112">
        <f t="shared" si="22"/>
        <v>38110</v>
      </c>
      <c r="BJ112">
        <f t="shared" si="23"/>
        <v>1573708</v>
      </c>
      <c r="BK112">
        <f t="shared" si="24"/>
        <v>15971019</v>
      </c>
      <c r="BL112">
        <f t="shared" si="25"/>
        <v>2679181</v>
      </c>
      <c r="BM112">
        <f t="shared" si="26"/>
        <v>0</v>
      </c>
      <c r="BN112" t="str">
        <f t="shared" si="17"/>
        <v>u=40%, k=2x10^8</v>
      </c>
      <c r="BO112" t="str">
        <f t="shared" si="18"/>
        <v>u=40%, k=2x10^8, sequential</v>
      </c>
      <c r="BP112">
        <f t="shared" si="27"/>
        <v>0.73171849555208335</v>
      </c>
      <c r="BQ112">
        <f t="shared" si="29"/>
        <v>29.203874902635416</v>
      </c>
      <c r="BR112">
        <f t="shared" si="30"/>
        <v>0.88156103348958326</v>
      </c>
      <c r="BS112">
        <f t="shared" si="31"/>
        <v>22.237450086312503</v>
      </c>
      <c r="BT112">
        <f t="shared" si="32"/>
        <v>0.24180005660416667</v>
      </c>
      <c r="BU112">
        <f t="shared" si="28"/>
        <v>6.7273309481249868</v>
      </c>
    </row>
    <row r="113" spans="1:73">
      <c r="A113" t="s">
        <v>209</v>
      </c>
      <c r="B113" t="s">
        <v>136</v>
      </c>
      <c r="C113">
        <v>72</v>
      </c>
      <c r="D113" t="s">
        <v>56</v>
      </c>
      <c r="E113" t="s">
        <v>53</v>
      </c>
      <c r="F113" t="s">
        <v>54</v>
      </c>
      <c r="G113">
        <v>60000</v>
      </c>
      <c r="H113">
        <v>20</v>
      </c>
      <c r="I113">
        <v>20</v>
      </c>
      <c r="J113">
        <v>0</v>
      </c>
      <c r="K113">
        <v>1</v>
      </c>
      <c r="L113">
        <v>200000000</v>
      </c>
      <c r="M113">
        <v>144</v>
      </c>
      <c r="N113">
        <v>144</v>
      </c>
      <c r="O113">
        <v>144</v>
      </c>
      <c r="P113">
        <v>0</v>
      </c>
      <c r="Q113" t="s">
        <v>55</v>
      </c>
      <c r="R113">
        <v>9998789160343400</v>
      </c>
      <c r="S113">
        <v>99995663</v>
      </c>
      <c r="T113">
        <v>9998789160343400</v>
      </c>
      <c r="U113">
        <v>99995663</v>
      </c>
      <c r="V113" t="s">
        <v>63</v>
      </c>
      <c r="W113">
        <v>7</v>
      </c>
      <c r="X113">
        <v>12188211</v>
      </c>
      <c r="Y113">
        <v>112365404</v>
      </c>
      <c r="Z113">
        <v>124553615</v>
      </c>
      <c r="AA113">
        <v>99995663</v>
      </c>
      <c r="AB113">
        <v>10.219200000000001</v>
      </c>
      <c r="AC113">
        <v>0.88991500000000001</v>
      </c>
      <c r="AD113">
        <v>4.0225900000000001</v>
      </c>
      <c r="AE113">
        <v>2773870128</v>
      </c>
      <c r="AF113" t="s">
        <v>563</v>
      </c>
      <c r="AG113" t="s">
        <v>564</v>
      </c>
      <c r="AI113">
        <v>19584</v>
      </c>
      <c r="AJ113">
        <v>8663760574181</v>
      </c>
      <c r="AK113">
        <v>66972440403</v>
      </c>
      <c r="AL113">
        <v>4264914999901</v>
      </c>
      <c r="AM113">
        <v>85936281693</v>
      </c>
      <c r="AN113">
        <v>3565469939503</v>
      </c>
      <c r="AO113">
        <v>22773868679</v>
      </c>
      <c r="AP113">
        <v>294657024</v>
      </c>
      <c r="AQ113">
        <v>0</v>
      </c>
      <c r="AR113">
        <v>196438134</v>
      </c>
      <c r="AS113">
        <v>294657024</v>
      </c>
      <c r="AT113">
        <v>491095158</v>
      </c>
      <c r="AU113">
        <v>4910950</v>
      </c>
      <c r="AV113">
        <v>0</v>
      </c>
      <c r="AW113">
        <v>3273968</v>
      </c>
      <c r="AX113">
        <v>4910950</v>
      </c>
      <c r="AY113">
        <v>8184919</v>
      </c>
      <c r="AZ113">
        <v>30.434000000000001</v>
      </c>
      <c r="BA113">
        <v>15.744199999999999</v>
      </c>
      <c r="BB113">
        <v>30433.8</v>
      </c>
      <c r="BC113">
        <v>3272.03</v>
      </c>
      <c r="BD113">
        <v>15602</v>
      </c>
      <c r="BE113">
        <v>1067</v>
      </c>
      <c r="BF113">
        <f t="shared" si="19"/>
        <v>60.16500398736806</v>
      </c>
      <c r="BG113" s="31">
        <f t="shared" si="20"/>
        <v>55.597691181798609</v>
      </c>
      <c r="BH113">
        <f t="shared" si="21"/>
        <v>3</v>
      </c>
      <c r="BI113">
        <f t="shared" si="22"/>
        <v>37440</v>
      </c>
      <c r="BJ113">
        <f t="shared" si="23"/>
        <v>1393753</v>
      </c>
      <c r="BK113">
        <f t="shared" si="24"/>
        <v>15564061</v>
      </c>
      <c r="BL113">
        <f t="shared" si="25"/>
        <v>2641954</v>
      </c>
      <c r="BM113">
        <f t="shared" si="26"/>
        <v>0</v>
      </c>
      <c r="BN113" t="str">
        <f t="shared" si="17"/>
        <v>u=40%, k=2x10^8</v>
      </c>
      <c r="BO113" t="str">
        <f t="shared" si="18"/>
        <v>u=40%, k=2x10^8, sequential</v>
      </c>
      <c r="BP113">
        <f t="shared" si="27"/>
        <v>0.46508639168749993</v>
      </c>
      <c r="BQ113">
        <f t="shared" si="29"/>
        <v>29.617465277090275</v>
      </c>
      <c r="BR113">
        <f t="shared" si="30"/>
        <v>0.59677973397916662</v>
      </c>
      <c r="BS113">
        <f t="shared" si="31"/>
        <v>24.760207913215279</v>
      </c>
      <c r="BT113">
        <f t="shared" si="32"/>
        <v>0.15815186582638888</v>
      </c>
      <c r="BU113">
        <f t="shared" si="28"/>
        <v>4.5673128055694505</v>
      </c>
    </row>
    <row r="114" spans="1:73">
      <c r="A114" t="s">
        <v>210</v>
      </c>
      <c r="B114" t="s">
        <v>136</v>
      </c>
      <c r="C114">
        <v>72</v>
      </c>
      <c r="D114" t="s">
        <v>56</v>
      </c>
      <c r="E114" t="s">
        <v>53</v>
      </c>
      <c r="F114" t="s">
        <v>54</v>
      </c>
      <c r="G114">
        <v>60000</v>
      </c>
      <c r="H114">
        <v>20</v>
      </c>
      <c r="I114">
        <v>20</v>
      </c>
      <c r="J114">
        <v>0</v>
      </c>
      <c r="K114">
        <v>1</v>
      </c>
      <c r="L114">
        <v>200000000</v>
      </c>
      <c r="M114">
        <v>190</v>
      </c>
      <c r="N114">
        <v>190</v>
      </c>
      <c r="O114">
        <v>190</v>
      </c>
      <c r="P114">
        <v>0</v>
      </c>
      <c r="Q114" t="s">
        <v>55</v>
      </c>
      <c r="R114">
        <v>9999515102696430</v>
      </c>
      <c r="S114">
        <v>99993175</v>
      </c>
      <c r="T114">
        <v>9999515102696430</v>
      </c>
      <c r="U114">
        <v>99993175</v>
      </c>
      <c r="V114" t="s">
        <v>63</v>
      </c>
      <c r="W114">
        <v>7</v>
      </c>
      <c r="X114">
        <v>11899807</v>
      </c>
      <c r="Y114">
        <v>111752788</v>
      </c>
      <c r="Z114">
        <v>123652595</v>
      </c>
      <c r="AA114">
        <v>99993175</v>
      </c>
      <c r="AB114">
        <v>10.3911</v>
      </c>
      <c r="AC114">
        <v>0.89477099999999998</v>
      </c>
      <c r="AD114">
        <v>4.0167999999999999</v>
      </c>
      <c r="AE114">
        <v>2740579232</v>
      </c>
      <c r="AF114" t="s">
        <v>565</v>
      </c>
      <c r="AG114" t="s">
        <v>566</v>
      </c>
      <c r="AI114">
        <v>16348</v>
      </c>
      <c r="AJ114">
        <v>11426591651468</v>
      </c>
      <c r="AK114">
        <v>65799810350</v>
      </c>
      <c r="AL114">
        <v>5105465715324</v>
      </c>
      <c r="AM114">
        <v>87657789608</v>
      </c>
      <c r="AN114">
        <v>5467307820005</v>
      </c>
      <c r="AO114">
        <v>22701710318</v>
      </c>
      <c r="AP114">
        <v>295399401</v>
      </c>
      <c r="AQ114">
        <v>0</v>
      </c>
      <c r="AR114">
        <v>196882557</v>
      </c>
      <c r="AS114">
        <v>295399401</v>
      </c>
      <c r="AT114">
        <v>492281958</v>
      </c>
      <c r="AU114">
        <v>4923323</v>
      </c>
      <c r="AV114">
        <v>0</v>
      </c>
      <c r="AW114">
        <v>3281375</v>
      </c>
      <c r="AX114">
        <v>4923323</v>
      </c>
      <c r="AY114">
        <v>8204699</v>
      </c>
      <c r="AZ114">
        <v>30.9191</v>
      </c>
      <c r="BA114">
        <v>16.420200000000001</v>
      </c>
      <c r="BB114">
        <v>34678.5</v>
      </c>
      <c r="BC114">
        <v>3095.36</v>
      </c>
      <c r="BD114">
        <v>18533</v>
      </c>
      <c r="BE114">
        <v>1066</v>
      </c>
      <c r="BF114">
        <f t="shared" si="19"/>
        <v>60.139956060357889</v>
      </c>
      <c r="BG114" s="31">
        <f t="shared" si="20"/>
        <v>56.57333076634211</v>
      </c>
      <c r="BH114">
        <f t="shared" si="21"/>
        <v>3</v>
      </c>
      <c r="BI114">
        <f t="shared" si="22"/>
        <v>38666</v>
      </c>
      <c r="BJ114">
        <f t="shared" si="23"/>
        <v>1372480</v>
      </c>
      <c r="BK114">
        <f t="shared" si="24"/>
        <v>15519748</v>
      </c>
      <c r="BL114">
        <f t="shared" si="25"/>
        <v>2642479</v>
      </c>
      <c r="BM114">
        <f t="shared" si="26"/>
        <v>0</v>
      </c>
      <c r="BN114" t="str">
        <f t="shared" si="17"/>
        <v>u=40%, k=2x10^8</v>
      </c>
      <c r="BO114" t="str">
        <f t="shared" si="18"/>
        <v>u=40%, k=2x10^8, sequential</v>
      </c>
      <c r="BP114">
        <f t="shared" si="27"/>
        <v>0.34631479131578946</v>
      </c>
      <c r="BQ114">
        <f t="shared" si="29"/>
        <v>26.870872185915786</v>
      </c>
      <c r="BR114">
        <f t="shared" si="30"/>
        <v>0.46135678741052633</v>
      </c>
      <c r="BS114">
        <f t="shared" si="31"/>
        <v>28.775304315815792</v>
      </c>
      <c r="BT114">
        <f t="shared" si="32"/>
        <v>0.11948268588421053</v>
      </c>
      <c r="BU114">
        <f t="shared" si="28"/>
        <v>3.5666252940157861</v>
      </c>
    </row>
    <row r="115" spans="1:73">
      <c r="A115" t="s">
        <v>211</v>
      </c>
      <c r="B115" t="s">
        <v>136</v>
      </c>
      <c r="C115">
        <v>72</v>
      </c>
      <c r="D115" t="s">
        <v>56</v>
      </c>
      <c r="E115" t="s">
        <v>53</v>
      </c>
      <c r="F115" t="s">
        <v>54</v>
      </c>
      <c r="G115">
        <v>60000</v>
      </c>
      <c r="H115">
        <v>20</v>
      </c>
      <c r="I115">
        <v>20</v>
      </c>
      <c r="J115">
        <v>0</v>
      </c>
      <c r="K115">
        <v>1</v>
      </c>
      <c r="L115">
        <v>2000000000</v>
      </c>
      <c r="M115">
        <v>24</v>
      </c>
      <c r="N115">
        <v>24</v>
      </c>
      <c r="O115">
        <v>24</v>
      </c>
      <c r="P115">
        <v>0</v>
      </c>
      <c r="Q115" t="s">
        <v>55</v>
      </c>
      <c r="R115">
        <v>9.9995787318800602E+17</v>
      </c>
      <c r="S115">
        <v>999992301</v>
      </c>
      <c r="T115">
        <v>9.9995787318800602E+17</v>
      </c>
      <c r="U115">
        <v>999992301</v>
      </c>
      <c r="V115" t="s">
        <v>63</v>
      </c>
      <c r="W115">
        <v>7</v>
      </c>
      <c r="X115">
        <v>127998465</v>
      </c>
      <c r="Y115">
        <v>1170572059</v>
      </c>
      <c r="Z115">
        <v>1298570524</v>
      </c>
      <c r="AA115">
        <v>999992301</v>
      </c>
      <c r="AB115">
        <v>10.145200000000001</v>
      </c>
      <c r="AC115">
        <v>0.85427699999999995</v>
      </c>
      <c r="AD115">
        <v>4.0928199999999997</v>
      </c>
      <c r="AE115">
        <v>29033849840</v>
      </c>
      <c r="AF115" t="s">
        <v>567</v>
      </c>
      <c r="AG115" t="s">
        <v>567</v>
      </c>
      <c r="AI115">
        <v>338896</v>
      </c>
      <c r="AJ115">
        <v>1436560924226</v>
      </c>
      <c r="AK115">
        <v>17495845976</v>
      </c>
      <c r="AL115">
        <v>16525</v>
      </c>
      <c r="AM115">
        <v>19590452885</v>
      </c>
      <c r="AN115">
        <v>22210022094</v>
      </c>
      <c r="AO115">
        <v>3761105892</v>
      </c>
      <c r="AP115">
        <v>540732941</v>
      </c>
      <c r="AQ115">
        <v>0</v>
      </c>
      <c r="AR115">
        <v>360528120</v>
      </c>
      <c r="AS115">
        <v>540732941</v>
      </c>
      <c r="AT115">
        <v>901261061</v>
      </c>
      <c r="AU115">
        <v>9012215</v>
      </c>
      <c r="AV115">
        <v>0</v>
      </c>
      <c r="AW115">
        <v>6008802</v>
      </c>
      <c r="AX115">
        <v>9012215</v>
      </c>
      <c r="AY115">
        <v>15021017</v>
      </c>
      <c r="AZ115">
        <v>26.0686</v>
      </c>
      <c r="BA115">
        <v>15.3779</v>
      </c>
      <c r="BB115">
        <v>4429.22</v>
      </c>
      <c r="BC115">
        <v>3518.46</v>
      </c>
      <c r="BD115">
        <v>62772</v>
      </c>
      <c r="BE115">
        <v>16532</v>
      </c>
      <c r="BF115">
        <f t="shared" si="19"/>
        <v>59.856705176083331</v>
      </c>
      <c r="BG115" s="31">
        <f t="shared" si="20"/>
        <v>2.6273934738333335</v>
      </c>
      <c r="BH115">
        <f t="shared" si="21"/>
        <v>0</v>
      </c>
      <c r="BI115">
        <f t="shared" si="22"/>
        <v>0</v>
      </c>
      <c r="BJ115">
        <f t="shared" si="23"/>
        <v>123865</v>
      </c>
      <c r="BK115">
        <f t="shared" si="24"/>
        <v>21306173</v>
      </c>
      <c r="BL115">
        <f t="shared" si="25"/>
        <v>7017134</v>
      </c>
      <c r="BM115">
        <f t="shared" si="26"/>
        <v>0</v>
      </c>
      <c r="BN115" t="str">
        <f t="shared" si="17"/>
        <v>u=40%, k=2x10^9</v>
      </c>
      <c r="BO115" t="str">
        <f t="shared" si="18"/>
        <v>u=40%, k=2x10^9, sequential</v>
      </c>
      <c r="BP115">
        <f t="shared" si="27"/>
        <v>0.72899358233333322</v>
      </c>
      <c r="BQ115">
        <f t="shared" si="29"/>
        <v>6.885416666666666E-7</v>
      </c>
      <c r="BR115">
        <f t="shared" si="30"/>
        <v>0.81626887020833339</v>
      </c>
      <c r="BS115">
        <f t="shared" si="31"/>
        <v>0.92541758725000001</v>
      </c>
      <c r="BT115">
        <f t="shared" si="32"/>
        <v>0.1567127455</v>
      </c>
      <c r="BU115">
        <f t="shared" si="28"/>
        <v>57.229311702249994</v>
      </c>
    </row>
    <row r="116" spans="1:73">
      <c r="A116" t="s">
        <v>212</v>
      </c>
      <c r="B116" t="s">
        <v>136</v>
      </c>
      <c r="C116">
        <v>72</v>
      </c>
      <c r="D116" t="s">
        <v>56</v>
      </c>
      <c r="E116" t="s">
        <v>53</v>
      </c>
      <c r="F116" t="s">
        <v>54</v>
      </c>
      <c r="G116">
        <v>60000</v>
      </c>
      <c r="H116">
        <v>20</v>
      </c>
      <c r="I116">
        <v>20</v>
      </c>
      <c r="J116">
        <v>0</v>
      </c>
      <c r="K116">
        <v>1</v>
      </c>
      <c r="L116">
        <v>2000000000</v>
      </c>
      <c r="M116">
        <v>96</v>
      </c>
      <c r="N116">
        <v>96</v>
      </c>
      <c r="O116">
        <v>96</v>
      </c>
      <c r="P116">
        <v>0</v>
      </c>
      <c r="Q116" t="s">
        <v>55</v>
      </c>
      <c r="R116">
        <v>9.9996869400501005E+17</v>
      </c>
      <c r="S116">
        <v>1000005100</v>
      </c>
      <c r="T116">
        <v>9.9996869400501005E+17</v>
      </c>
      <c r="U116">
        <v>1000005100</v>
      </c>
      <c r="V116" t="s">
        <v>63</v>
      </c>
      <c r="W116">
        <v>7</v>
      </c>
      <c r="X116">
        <v>84465063</v>
      </c>
      <c r="Y116">
        <v>1078809672</v>
      </c>
      <c r="Z116">
        <v>1163274735</v>
      </c>
      <c r="AA116">
        <v>1000005100</v>
      </c>
      <c r="AB116">
        <v>13.7723</v>
      </c>
      <c r="AC116">
        <v>0.926952</v>
      </c>
      <c r="AD116">
        <v>4</v>
      </c>
      <c r="AE116">
        <v>24018159776</v>
      </c>
      <c r="AF116" t="s">
        <v>568</v>
      </c>
      <c r="AG116" t="s">
        <v>569</v>
      </c>
      <c r="AI116">
        <v>28270</v>
      </c>
      <c r="AJ116">
        <v>9374433811672</v>
      </c>
      <c r="AK116">
        <v>171343922921</v>
      </c>
      <c r="AL116">
        <v>6619796655684</v>
      </c>
      <c r="AM116">
        <v>357732103035</v>
      </c>
      <c r="AN116">
        <v>135629901140</v>
      </c>
      <c r="AO116">
        <v>78035786054</v>
      </c>
      <c r="AP116">
        <v>750113279</v>
      </c>
      <c r="AQ116">
        <v>0</v>
      </c>
      <c r="AR116">
        <v>500026012</v>
      </c>
      <c r="AS116">
        <v>750113279</v>
      </c>
      <c r="AT116">
        <v>1250139291</v>
      </c>
      <c r="AU116">
        <v>12501887</v>
      </c>
      <c r="AV116">
        <v>0</v>
      </c>
      <c r="AW116">
        <v>8333766</v>
      </c>
      <c r="AX116">
        <v>12501887</v>
      </c>
      <c r="AY116">
        <v>20835654</v>
      </c>
      <c r="AZ116">
        <v>32.323799999999999</v>
      </c>
      <c r="BA116">
        <v>20.1053</v>
      </c>
      <c r="BB116">
        <v>20481.3</v>
      </c>
      <c r="BC116">
        <v>4456.13</v>
      </c>
      <c r="BD116">
        <v>88836</v>
      </c>
      <c r="BE116">
        <v>9650</v>
      </c>
      <c r="BF116">
        <f t="shared" si="19"/>
        <v>97.650352204916658</v>
      </c>
      <c r="BG116" s="31">
        <f t="shared" si="20"/>
        <v>76.693108008687503</v>
      </c>
      <c r="BH116">
        <f t="shared" si="21"/>
        <v>1</v>
      </c>
      <c r="BI116">
        <f t="shared" si="22"/>
        <v>30963</v>
      </c>
      <c r="BJ116">
        <f t="shared" si="23"/>
        <v>2314259</v>
      </c>
      <c r="BK116">
        <f t="shared" si="24"/>
        <v>33886208</v>
      </c>
      <c r="BL116">
        <f t="shared" si="25"/>
        <v>9493865</v>
      </c>
      <c r="BM116">
        <f t="shared" si="26"/>
        <v>0</v>
      </c>
      <c r="BN116" t="str">
        <f t="shared" si="17"/>
        <v>u=40%, k=2x10^9</v>
      </c>
      <c r="BO116" t="str">
        <f t="shared" si="18"/>
        <v>u=40%, k=2x10^9, sequential</v>
      </c>
      <c r="BP116">
        <f t="shared" si="27"/>
        <v>1.7848325304270833</v>
      </c>
      <c r="BQ116">
        <f t="shared" si="29"/>
        <v>68.956215163375006</v>
      </c>
      <c r="BR116">
        <f t="shared" si="30"/>
        <v>3.7263760732812501</v>
      </c>
      <c r="BS116">
        <f t="shared" si="31"/>
        <v>1.4128114702083332</v>
      </c>
      <c r="BT116">
        <f t="shared" si="32"/>
        <v>0.81287277139583336</v>
      </c>
      <c r="BU116">
        <f t="shared" si="28"/>
        <v>20.957244196229155</v>
      </c>
    </row>
    <row r="117" spans="1:73">
      <c r="A117" t="s">
        <v>213</v>
      </c>
      <c r="B117" t="s">
        <v>136</v>
      </c>
      <c r="C117">
        <v>72</v>
      </c>
      <c r="D117" t="s">
        <v>56</v>
      </c>
      <c r="E117" t="s">
        <v>53</v>
      </c>
      <c r="F117" t="s">
        <v>54</v>
      </c>
      <c r="G117">
        <v>60000</v>
      </c>
      <c r="H117">
        <v>20</v>
      </c>
      <c r="I117">
        <v>20</v>
      </c>
      <c r="J117">
        <v>0</v>
      </c>
      <c r="K117">
        <v>1</v>
      </c>
      <c r="L117">
        <v>2000000000</v>
      </c>
      <c r="M117">
        <v>144</v>
      </c>
      <c r="N117">
        <v>144</v>
      </c>
      <c r="O117">
        <v>144</v>
      </c>
      <c r="P117">
        <v>0</v>
      </c>
      <c r="Q117" t="s">
        <v>55</v>
      </c>
      <c r="R117">
        <v>9.9998832874079206E+17</v>
      </c>
      <c r="S117">
        <v>999983180</v>
      </c>
      <c r="T117">
        <v>9.9998832874079206E+17</v>
      </c>
      <c r="U117">
        <v>999983180</v>
      </c>
      <c r="V117" t="s">
        <v>63</v>
      </c>
      <c r="W117">
        <v>7</v>
      </c>
      <c r="X117">
        <v>84465072</v>
      </c>
      <c r="Y117">
        <v>1078787770</v>
      </c>
      <c r="Z117">
        <v>1163252842</v>
      </c>
      <c r="AA117">
        <v>999983180</v>
      </c>
      <c r="AB117">
        <v>13.772</v>
      </c>
      <c r="AC117">
        <v>0.92695099999999997</v>
      </c>
      <c r="AD117">
        <v>4</v>
      </c>
      <c r="AE117">
        <v>24017810064</v>
      </c>
      <c r="AF117" t="s">
        <v>570</v>
      </c>
      <c r="AG117" t="s">
        <v>571</v>
      </c>
      <c r="AI117">
        <v>12746</v>
      </c>
      <c r="AJ117">
        <v>12644241051996</v>
      </c>
      <c r="AK117">
        <v>173608516382</v>
      </c>
      <c r="AL117">
        <v>9983528066389</v>
      </c>
      <c r="AM117">
        <v>218647382321</v>
      </c>
      <c r="AN117">
        <v>142782731356</v>
      </c>
      <c r="AO117">
        <v>78007100848</v>
      </c>
      <c r="AP117">
        <v>750060458</v>
      </c>
      <c r="AQ117">
        <v>0</v>
      </c>
      <c r="AR117">
        <v>500017757</v>
      </c>
      <c r="AS117">
        <v>750060458</v>
      </c>
      <c r="AT117">
        <v>1250078215</v>
      </c>
      <c r="AU117">
        <v>12501007</v>
      </c>
      <c r="AV117">
        <v>0</v>
      </c>
      <c r="AW117">
        <v>8333629</v>
      </c>
      <c r="AX117">
        <v>12501007</v>
      </c>
      <c r="AY117">
        <v>20834636</v>
      </c>
      <c r="AZ117">
        <v>32.456499999999998</v>
      </c>
      <c r="BA117">
        <v>20.537700000000001</v>
      </c>
      <c r="BB117">
        <v>28106.1</v>
      </c>
      <c r="BC117">
        <v>4527.1499999999996</v>
      </c>
      <c r="BD117">
        <v>121345</v>
      </c>
      <c r="BE117">
        <v>9478</v>
      </c>
      <c r="BF117">
        <f t="shared" si="19"/>
        <v>87.807229527749996</v>
      </c>
      <c r="BG117" s="31">
        <f t="shared" si="20"/>
        <v>73.587318036777774</v>
      </c>
      <c r="BH117">
        <f t="shared" si="21"/>
        <v>1</v>
      </c>
      <c r="BI117">
        <f t="shared" si="22"/>
        <v>31579</v>
      </c>
      <c r="BJ117">
        <f t="shared" si="23"/>
        <v>2163314</v>
      </c>
      <c r="BK117">
        <f t="shared" si="24"/>
        <v>33496511</v>
      </c>
      <c r="BL117">
        <f t="shared" si="25"/>
        <v>9433176</v>
      </c>
      <c r="BM117">
        <f t="shared" si="26"/>
        <v>0</v>
      </c>
      <c r="BN117" t="str">
        <f t="shared" si="17"/>
        <v>u=40%, k=2x10^9</v>
      </c>
      <c r="BO117" t="str">
        <f t="shared" si="18"/>
        <v>u=40%, k=2x10^9, sequential</v>
      </c>
      <c r="BP117">
        <f t="shared" si="27"/>
        <v>1.2056146970972224</v>
      </c>
      <c r="BQ117">
        <f t="shared" si="29"/>
        <v>69.330056016590277</v>
      </c>
      <c r="BR117">
        <f t="shared" si="30"/>
        <v>1.5183845994513889</v>
      </c>
      <c r="BS117">
        <f t="shared" si="31"/>
        <v>0.99154674552777777</v>
      </c>
      <c r="BT117">
        <f t="shared" si="32"/>
        <v>0.54171597811111105</v>
      </c>
      <c r="BU117">
        <f t="shared" si="28"/>
        <v>14.219911490972208</v>
      </c>
    </row>
    <row r="118" spans="1:73">
      <c r="A118" t="s">
        <v>214</v>
      </c>
      <c r="B118" t="s">
        <v>136</v>
      </c>
      <c r="C118">
        <v>72</v>
      </c>
      <c r="D118" t="s">
        <v>56</v>
      </c>
      <c r="E118" t="s">
        <v>53</v>
      </c>
      <c r="F118" t="s">
        <v>54</v>
      </c>
      <c r="G118">
        <v>60000</v>
      </c>
      <c r="H118">
        <v>20</v>
      </c>
      <c r="I118">
        <v>20</v>
      </c>
      <c r="J118">
        <v>0</v>
      </c>
      <c r="K118">
        <v>1</v>
      </c>
      <c r="L118">
        <v>2000000000</v>
      </c>
      <c r="M118">
        <v>190</v>
      </c>
      <c r="N118">
        <v>190</v>
      </c>
      <c r="O118">
        <v>190</v>
      </c>
      <c r="P118">
        <v>0</v>
      </c>
      <c r="Q118" t="s">
        <v>55</v>
      </c>
      <c r="R118">
        <v>1.00000555509495E+18</v>
      </c>
      <c r="S118">
        <v>1000008284</v>
      </c>
      <c r="T118">
        <v>1.00000555509495E+18</v>
      </c>
      <c r="U118">
        <v>1000008284</v>
      </c>
      <c r="V118" t="s">
        <v>63</v>
      </c>
      <c r="W118">
        <v>7</v>
      </c>
      <c r="X118">
        <v>84465081</v>
      </c>
      <c r="Y118">
        <v>1078812878</v>
      </c>
      <c r="Z118">
        <v>1163277959</v>
      </c>
      <c r="AA118">
        <v>1000008284</v>
      </c>
      <c r="AB118">
        <v>13.7723</v>
      </c>
      <c r="AC118">
        <v>0.926952</v>
      </c>
      <c r="AD118">
        <v>4</v>
      </c>
      <c r="AE118">
        <v>24018212512</v>
      </c>
      <c r="AF118" t="s">
        <v>572</v>
      </c>
      <c r="AG118" t="s">
        <v>573</v>
      </c>
      <c r="AI118">
        <v>7664</v>
      </c>
      <c r="AJ118">
        <v>16020817081082</v>
      </c>
      <c r="AK118">
        <v>177906355370</v>
      </c>
      <c r="AL118">
        <v>13267317564877</v>
      </c>
      <c r="AM118">
        <v>232639601930</v>
      </c>
      <c r="AN118">
        <v>165030863503</v>
      </c>
      <c r="AO118">
        <v>77669259130</v>
      </c>
      <c r="AP118">
        <v>749943106</v>
      </c>
      <c r="AQ118">
        <v>0</v>
      </c>
      <c r="AR118">
        <v>499986658</v>
      </c>
      <c r="AS118">
        <v>749943106</v>
      </c>
      <c r="AT118">
        <v>1249929764</v>
      </c>
      <c r="AU118">
        <v>12499051</v>
      </c>
      <c r="AV118">
        <v>0</v>
      </c>
      <c r="AW118">
        <v>8333110</v>
      </c>
      <c r="AX118">
        <v>12499051</v>
      </c>
      <c r="AY118">
        <v>20832162</v>
      </c>
      <c r="AZ118">
        <v>32.688699999999997</v>
      </c>
      <c r="BA118">
        <v>20.8565</v>
      </c>
      <c r="BB118">
        <v>35621</v>
      </c>
      <c r="BC118">
        <v>4684.8599999999997</v>
      </c>
      <c r="BD118">
        <v>121933</v>
      </c>
      <c r="BE118">
        <v>9125</v>
      </c>
      <c r="BF118">
        <f t="shared" si="19"/>
        <v>84.320089900431569</v>
      </c>
      <c r="BG118" s="31">
        <f t="shared" si="20"/>
        <v>73.266124446368423</v>
      </c>
      <c r="BH118">
        <f t="shared" si="21"/>
        <v>1</v>
      </c>
      <c r="BI118">
        <f t="shared" si="22"/>
        <v>31574</v>
      </c>
      <c r="BJ118">
        <f t="shared" si="23"/>
        <v>2148685</v>
      </c>
      <c r="BK118">
        <f t="shared" si="24"/>
        <v>33456894</v>
      </c>
      <c r="BL118">
        <f t="shared" si="25"/>
        <v>9429443</v>
      </c>
      <c r="BM118">
        <f t="shared" si="26"/>
        <v>0</v>
      </c>
      <c r="BN118" t="str">
        <f t="shared" si="17"/>
        <v>u=40%, k=2x10^9</v>
      </c>
      <c r="BO118" t="str">
        <f t="shared" si="18"/>
        <v>u=40%, k=2x10^9, sequential</v>
      </c>
      <c r="BP118">
        <f t="shared" si="27"/>
        <v>0.93634923878947374</v>
      </c>
      <c r="BQ118">
        <f t="shared" si="29"/>
        <v>69.827987183563152</v>
      </c>
      <c r="BR118">
        <f t="shared" si="30"/>
        <v>1.2244189575263158</v>
      </c>
      <c r="BS118">
        <f t="shared" si="31"/>
        <v>0.86858349212105268</v>
      </c>
      <c r="BT118">
        <f t="shared" si="32"/>
        <v>0.40878557436842106</v>
      </c>
      <c r="BU118">
        <f t="shared" si="28"/>
        <v>11.05396545406316</v>
      </c>
    </row>
    <row r="119" spans="1:73">
      <c r="A119" t="s">
        <v>215</v>
      </c>
      <c r="B119" t="s">
        <v>158</v>
      </c>
      <c r="C119">
        <v>72</v>
      </c>
      <c r="D119" t="s">
        <v>56</v>
      </c>
      <c r="E119" t="s">
        <v>53</v>
      </c>
      <c r="F119" t="s">
        <v>54</v>
      </c>
      <c r="G119">
        <v>60000</v>
      </c>
      <c r="H119">
        <v>0.5</v>
      </c>
      <c r="I119">
        <v>0.5</v>
      </c>
      <c r="J119">
        <v>0</v>
      </c>
      <c r="K119">
        <v>1</v>
      </c>
      <c r="L119">
        <v>2000000</v>
      </c>
      <c r="M119">
        <v>24</v>
      </c>
      <c r="N119">
        <v>24</v>
      </c>
      <c r="O119">
        <v>24</v>
      </c>
      <c r="P119">
        <v>0</v>
      </c>
      <c r="Q119" t="s">
        <v>55</v>
      </c>
      <c r="R119">
        <v>999729238979</v>
      </c>
      <c r="S119">
        <v>999006</v>
      </c>
      <c r="T119">
        <v>999729238979</v>
      </c>
      <c r="U119">
        <v>999006</v>
      </c>
      <c r="V119" t="s">
        <v>63</v>
      </c>
      <c r="W119">
        <v>6</v>
      </c>
      <c r="X119">
        <v>80809</v>
      </c>
      <c r="Y119">
        <v>1131699</v>
      </c>
      <c r="Z119">
        <v>1212508</v>
      </c>
      <c r="AA119">
        <v>999006</v>
      </c>
      <c r="AB119">
        <v>15.0046</v>
      </c>
      <c r="AC119">
        <v>0.88274900000000001</v>
      </c>
      <c r="AD119">
        <v>3.1050399999999998</v>
      </c>
      <c r="AE119">
        <v>24675808</v>
      </c>
      <c r="AF119" t="s">
        <v>574</v>
      </c>
      <c r="AG119" t="s">
        <v>575</v>
      </c>
      <c r="AH119">
        <v>7608</v>
      </c>
      <c r="AI119">
        <v>1752708</v>
      </c>
      <c r="AJ119">
        <v>1436561302768</v>
      </c>
      <c r="AK119">
        <v>4168324044</v>
      </c>
      <c r="AL119">
        <v>38614883</v>
      </c>
      <c r="AM119">
        <v>5611402712</v>
      </c>
      <c r="AN119">
        <v>6549799027</v>
      </c>
      <c r="AO119">
        <v>2099519866</v>
      </c>
      <c r="AP119">
        <v>4690205131</v>
      </c>
      <c r="AQ119">
        <v>0</v>
      </c>
      <c r="AR119">
        <v>47380845</v>
      </c>
      <c r="AS119">
        <v>4690205131</v>
      </c>
      <c r="AT119">
        <v>4737585976</v>
      </c>
      <c r="AU119">
        <v>78170085</v>
      </c>
      <c r="AV119">
        <v>0</v>
      </c>
      <c r="AW119">
        <v>789680</v>
      </c>
      <c r="AX119">
        <v>78170085</v>
      </c>
      <c r="AY119">
        <v>78959766</v>
      </c>
      <c r="AZ119">
        <v>8.5459300000000002</v>
      </c>
      <c r="BA119">
        <v>9.7557199999999997E-2</v>
      </c>
      <c r="BB119">
        <v>847.39099999999996</v>
      </c>
      <c r="BC119">
        <v>285.47899999999998</v>
      </c>
      <c r="BD119">
        <v>1187</v>
      </c>
      <c r="BE119">
        <v>28</v>
      </c>
      <c r="BF119">
        <f t="shared" si="19"/>
        <v>59.856720948666663</v>
      </c>
      <c r="BG119" s="31">
        <f t="shared" si="20"/>
        <v>0.76948585550000004</v>
      </c>
      <c r="BH119">
        <f t="shared" si="21"/>
        <v>94</v>
      </c>
      <c r="BI119">
        <f t="shared" si="22"/>
        <v>84499</v>
      </c>
      <c r="BJ119">
        <f t="shared" si="23"/>
        <v>1223420</v>
      </c>
      <c r="BK119">
        <f t="shared" si="24"/>
        <v>1371957</v>
      </c>
      <c r="BL119">
        <f t="shared" si="25"/>
        <v>0</v>
      </c>
      <c r="BM119">
        <f t="shared" si="26"/>
        <v>0</v>
      </c>
      <c r="BN119" t="str">
        <f t="shared" si="17"/>
        <v>u=1%, k=2x10^6</v>
      </c>
      <c r="BO119" t="str">
        <f t="shared" si="18"/>
        <v>u=1%, k=2x10^6, collaborative</v>
      </c>
      <c r="BP119">
        <f t="shared" si="27"/>
        <v>0.17368016850000001</v>
      </c>
      <c r="BQ119">
        <f t="shared" si="29"/>
        <v>1.6089534583333335E-3</v>
      </c>
      <c r="BR119">
        <f t="shared" si="30"/>
        <v>0.23380844633333334</v>
      </c>
      <c r="BS119">
        <f t="shared" si="31"/>
        <v>0.27290829279166667</v>
      </c>
      <c r="BT119">
        <f t="shared" si="32"/>
        <v>8.7479994416666665E-2</v>
      </c>
      <c r="BU119">
        <f t="shared" si="28"/>
        <v>59.087235093166662</v>
      </c>
    </row>
    <row r="120" spans="1:73">
      <c r="A120" t="s">
        <v>216</v>
      </c>
      <c r="B120" t="s">
        <v>158</v>
      </c>
      <c r="C120">
        <v>72</v>
      </c>
      <c r="D120" t="s">
        <v>56</v>
      </c>
      <c r="E120" t="s">
        <v>53</v>
      </c>
      <c r="F120" t="s">
        <v>54</v>
      </c>
      <c r="G120">
        <v>60000</v>
      </c>
      <c r="H120">
        <v>0.5</v>
      </c>
      <c r="I120">
        <v>0.5</v>
      </c>
      <c r="J120">
        <v>0</v>
      </c>
      <c r="K120">
        <v>1</v>
      </c>
      <c r="L120">
        <v>2000000</v>
      </c>
      <c r="M120">
        <v>48</v>
      </c>
      <c r="N120">
        <v>48</v>
      </c>
      <c r="O120">
        <v>48</v>
      </c>
      <c r="P120">
        <v>0</v>
      </c>
      <c r="Q120" t="s">
        <v>55</v>
      </c>
      <c r="R120">
        <v>1000012469118</v>
      </c>
      <c r="S120">
        <v>999889</v>
      </c>
      <c r="T120">
        <v>1000012469118</v>
      </c>
      <c r="U120">
        <v>999889</v>
      </c>
      <c r="V120" t="s">
        <v>63</v>
      </c>
      <c r="W120">
        <v>6</v>
      </c>
      <c r="X120">
        <v>66586</v>
      </c>
      <c r="Y120">
        <v>1102221</v>
      </c>
      <c r="Z120">
        <v>1168807</v>
      </c>
      <c r="AA120">
        <v>999889</v>
      </c>
      <c r="AB120">
        <v>17.5533</v>
      </c>
      <c r="AC120">
        <v>0.90715800000000002</v>
      </c>
      <c r="AD120">
        <v>3.07315</v>
      </c>
      <c r="AE120">
        <v>23028480</v>
      </c>
      <c r="AF120" t="s">
        <v>576</v>
      </c>
      <c r="AG120" t="s">
        <v>577</v>
      </c>
      <c r="AH120">
        <v>33854</v>
      </c>
      <c r="AI120">
        <v>665278</v>
      </c>
      <c r="AJ120">
        <v>2873122789254</v>
      </c>
      <c r="AK120">
        <v>10461296346</v>
      </c>
      <c r="AL120">
        <v>217165077</v>
      </c>
      <c r="AM120">
        <v>13809735629</v>
      </c>
      <c r="AN120">
        <v>12591296414</v>
      </c>
      <c r="AO120">
        <v>5227077317</v>
      </c>
      <c r="AP120">
        <v>7262321312</v>
      </c>
      <c r="AQ120">
        <v>0</v>
      </c>
      <c r="AR120">
        <v>73371481</v>
      </c>
      <c r="AS120">
        <v>7262321312</v>
      </c>
      <c r="AT120">
        <v>7335692793</v>
      </c>
      <c r="AU120">
        <v>121038688</v>
      </c>
      <c r="AV120">
        <v>0</v>
      </c>
      <c r="AW120">
        <v>1222858</v>
      </c>
      <c r="AX120">
        <v>121038688</v>
      </c>
      <c r="AY120">
        <v>122261546</v>
      </c>
      <c r="AZ120">
        <v>8.4546100000000006</v>
      </c>
      <c r="BA120">
        <v>0.109778</v>
      </c>
      <c r="BB120">
        <v>1086.3599999999999</v>
      </c>
      <c r="BC120">
        <v>393.94900000000001</v>
      </c>
      <c r="BD120">
        <v>1217</v>
      </c>
      <c r="BE120">
        <v>53</v>
      </c>
      <c r="BF120">
        <f t="shared" si="19"/>
        <v>59.856724776124999</v>
      </c>
      <c r="BG120" s="31">
        <f t="shared" si="20"/>
        <v>0.88138689131249992</v>
      </c>
      <c r="BH120">
        <f t="shared" si="21"/>
        <v>146</v>
      </c>
      <c r="BI120">
        <f t="shared" si="22"/>
        <v>144461</v>
      </c>
      <c r="BJ120">
        <f t="shared" si="23"/>
        <v>1374899</v>
      </c>
      <c r="BK120">
        <f t="shared" si="24"/>
        <v>1996869</v>
      </c>
      <c r="BL120">
        <f t="shared" si="25"/>
        <v>0</v>
      </c>
      <c r="BM120">
        <f t="shared" si="26"/>
        <v>0</v>
      </c>
      <c r="BN120" t="str">
        <f t="shared" si="17"/>
        <v>u=1%, k=2x10^6</v>
      </c>
      <c r="BO120" t="str">
        <f t="shared" si="18"/>
        <v>u=1%, k=2x10^6, collaborative</v>
      </c>
      <c r="BP120">
        <f t="shared" si="27"/>
        <v>0.21794367387499999</v>
      </c>
      <c r="BQ120">
        <f t="shared" si="29"/>
        <v>4.5242724375E-3</v>
      </c>
      <c r="BR120">
        <f t="shared" si="30"/>
        <v>0.28770282560416666</v>
      </c>
      <c r="BS120">
        <f t="shared" si="31"/>
        <v>0.26231867529166669</v>
      </c>
      <c r="BT120">
        <f t="shared" si="32"/>
        <v>0.10889744410416667</v>
      </c>
      <c r="BU120">
        <f t="shared" si="28"/>
        <v>58.975337884812497</v>
      </c>
    </row>
    <row r="121" spans="1:73">
      <c r="A121" t="s">
        <v>217</v>
      </c>
      <c r="B121" t="s">
        <v>158</v>
      </c>
      <c r="C121">
        <v>72</v>
      </c>
      <c r="D121" t="s">
        <v>56</v>
      </c>
      <c r="E121" t="s">
        <v>53</v>
      </c>
      <c r="F121" t="s">
        <v>54</v>
      </c>
      <c r="G121">
        <v>60000</v>
      </c>
      <c r="H121">
        <v>0.5</v>
      </c>
      <c r="I121">
        <v>0.5</v>
      </c>
      <c r="J121">
        <v>0</v>
      </c>
      <c r="K121">
        <v>1</v>
      </c>
      <c r="L121">
        <v>2000000</v>
      </c>
      <c r="M121">
        <v>96</v>
      </c>
      <c r="N121">
        <v>96</v>
      </c>
      <c r="O121">
        <v>96</v>
      </c>
      <c r="P121">
        <v>0</v>
      </c>
      <c r="Q121" t="s">
        <v>55</v>
      </c>
      <c r="R121">
        <v>1000659782098</v>
      </c>
      <c r="S121">
        <v>1000519</v>
      </c>
      <c r="T121">
        <v>1000659782098</v>
      </c>
      <c r="U121">
        <v>1000519</v>
      </c>
      <c r="V121" t="s">
        <v>63</v>
      </c>
      <c r="W121">
        <v>6</v>
      </c>
      <c r="X121">
        <v>56681</v>
      </c>
      <c r="Y121">
        <v>1080724</v>
      </c>
      <c r="Z121">
        <v>1137405</v>
      </c>
      <c r="AA121">
        <v>1000519</v>
      </c>
      <c r="AB121">
        <v>20.066800000000001</v>
      </c>
      <c r="AC121">
        <v>0.925786</v>
      </c>
      <c r="AD121">
        <v>3.0494599999999998</v>
      </c>
      <c r="AE121">
        <v>21849696</v>
      </c>
      <c r="AF121" t="s">
        <v>578</v>
      </c>
      <c r="AG121" t="s">
        <v>579</v>
      </c>
      <c r="AH121">
        <v>172265</v>
      </c>
      <c r="AI121">
        <v>313626</v>
      </c>
      <c r="AJ121">
        <v>5746245575844</v>
      </c>
      <c r="AK121">
        <v>36142670411</v>
      </c>
      <c r="AL121">
        <v>1142494737</v>
      </c>
      <c r="AM121">
        <v>47438139749</v>
      </c>
      <c r="AN121">
        <v>30999491401</v>
      </c>
      <c r="AO121">
        <v>41662939048</v>
      </c>
      <c r="AP121">
        <v>13589887894</v>
      </c>
      <c r="AQ121">
        <v>0</v>
      </c>
      <c r="AR121">
        <v>137285308</v>
      </c>
      <c r="AS121">
        <v>13589887894</v>
      </c>
      <c r="AT121">
        <v>13727173202</v>
      </c>
      <c r="AU121">
        <v>226498131</v>
      </c>
      <c r="AV121">
        <v>0</v>
      </c>
      <c r="AW121">
        <v>2288088</v>
      </c>
      <c r="AX121">
        <v>226498131</v>
      </c>
      <c r="AY121">
        <v>228786220</v>
      </c>
      <c r="AZ121">
        <v>8.5134299999999996</v>
      </c>
      <c r="BA121">
        <v>0.25029099999999999</v>
      </c>
      <c r="BB121">
        <v>1163.3699999999999</v>
      </c>
      <c r="BC121">
        <v>442.61200000000002</v>
      </c>
      <c r="BD121">
        <v>1280</v>
      </c>
      <c r="BE121">
        <v>250</v>
      </c>
      <c r="BF121">
        <f t="shared" si="19"/>
        <v>59.856724748375001</v>
      </c>
      <c r="BG121" s="31">
        <f t="shared" si="20"/>
        <v>1.6394347431874998</v>
      </c>
      <c r="BH121">
        <f t="shared" si="21"/>
        <v>274</v>
      </c>
      <c r="BI121">
        <f t="shared" si="22"/>
        <v>430333</v>
      </c>
      <c r="BJ121">
        <f t="shared" si="23"/>
        <v>747875</v>
      </c>
      <c r="BK121">
        <f t="shared" si="24"/>
        <v>3176702</v>
      </c>
      <c r="BL121">
        <f t="shared" si="25"/>
        <v>0</v>
      </c>
      <c r="BM121">
        <f t="shared" si="26"/>
        <v>0</v>
      </c>
      <c r="BN121" t="str">
        <f t="shared" si="17"/>
        <v>u=1%, k=2x10^6</v>
      </c>
      <c r="BO121" t="str">
        <f t="shared" si="18"/>
        <v>u=1%, k=2x10^6, collaborative</v>
      </c>
      <c r="BP121">
        <f t="shared" si="27"/>
        <v>0.37648615011458331</v>
      </c>
      <c r="BQ121">
        <f t="shared" si="29"/>
        <v>1.1900986843750001E-2</v>
      </c>
      <c r="BR121">
        <f t="shared" si="30"/>
        <v>0.49414728905208333</v>
      </c>
      <c r="BS121">
        <f t="shared" si="31"/>
        <v>0.32291136876041665</v>
      </c>
      <c r="BT121">
        <f t="shared" si="32"/>
        <v>0.43398894841666663</v>
      </c>
      <c r="BU121">
        <f t="shared" si="28"/>
        <v>58.2172900051875</v>
      </c>
    </row>
    <row r="122" spans="1:73">
      <c r="A122" t="s">
        <v>218</v>
      </c>
      <c r="B122" t="s">
        <v>158</v>
      </c>
      <c r="C122">
        <v>72</v>
      </c>
      <c r="D122" t="s">
        <v>56</v>
      </c>
      <c r="E122" t="s">
        <v>53</v>
      </c>
      <c r="F122" t="s">
        <v>54</v>
      </c>
      <c r="G122">
        <v>60000</v>
      </c>
      <c r="H122">
        <v>0.5</v>
      </c>
      <c r="I122">
        <v>0.5</v>
      </c>
      <c r="J122">
        <v>0</v>
      </c>
      <c r="K122">
        <v>1</v>
      </c>
      <c r="L122">
        <v>2000000</v>
      </c>
      <c r="M122">
        <v>144</v>
      </c>
      <c r="N122">
        <v>144</v>
      </c>
      <c r="O122">
        <v>144</v>
      </c>
      <c r="P122">
        <v>0</v>
      </c>
      <c r="Q122" t="s">
        <v>55</v>
      </c>
      <c r="R122">
        <v>1000870099637</v>
      </c>
      <c r="S122">
        <v>1000499</v>
      </c>
      <c r="T122">
        <v>1000870099637</v>
      </c>
      <c r="U122">
        <v>1000499</v>
      </c>
      <c r="V122" t="s">
        <v>63</v>
      </c>
      <c r="W122">
        <v>6</v>
      </c>
      <c r="X122">
        <v>51880</v>
      </c>
      <c r="Y122">
        <v>1070555</v>
      </c>
      <c r="Z122">
        <v>1122435</v>
      </c>
      <c r="AA122">
        <v>1000499</v>
      </c>
      <c r="AB122">
        <v>21.635200000000001</v>
      </c>
      <c r="AC122">
        <v>0.93456099999999998</v>
      </c>
      <c r="AD122">
        <v>3.0391900000000001</v>
      </c>
      <c r="AE122">
        <v>21295456</v>
      </c>
      <c r="AF122" t="s">
        <v>580</v>
      </c>
      <c r="AG122" t="s">
        <v>581</v>
      </c>
      <c r="AH122">
        <v>424149</v>
      </c>
      <c r="AI122">
        <v>196460</v>
      </c>
      <c r="AJ122">
        <v>8619369098321</v>
      </c>
      <c r="AK122">
        <v>68347677374</v>
      </c>
      <c r="AL122">
        <v>3485737618</v>
      </c>
      <c r="AM122">
        <v>101049725331</v>
      </c>
      <c r="AN122">
        <v>32884881350</v>
      </c>
      <c r="AO122">
        <v>120089953014</v>
      </c>
      <c r="AP122">
        <v>18986436237</v>
      </c>
      <c r="AQ122">
        <v>0</v>
      </c>
      <c r="AR122">
        <v>191779680</v>
      </c>
      <c r="AS122">
        <v>18986436237</v>
      </c>
      <c r="AT122">
        <v>19178215917</v>
      </c>
      <c r="AU122">
        <v>316440603</v>
      </c>
      <c r="AV122">
        <v>0</v>
      </c>
      <c r="AW122">
        <v>3196328</v>
      </c>
      <c r="AX122">
        <v>316440603</v>
      </c>
      <c r="AY122">
        <v>319636931</v>
      </c>
      <c r="AZ122">
        <v>8.6389499999999995</v>
      </c>
      <c r="BA122">
        <v>0.35938100000000001</v>
      </c>
      <c r="BB122">
        <v>1236.2</v>
      </c>
      <c r="BC122">
        <v>500.63600000000002</v>
      </c>
      <c r="BD122">
        <v>1367</v>
      </c>
      <c r="BE122">
        <v>271</v>
      </c>
      <c r="BF122">
        <f t="shared" si="19"/>
        <v>59.856729849451391</v>
      </c>
      <c r="BG122" s="31">
        <f t="shared" si="20"/>
        <v>2.2629026019930558</v>
      </c>
      <c r="BH122">
        <f t="shared" si="21"/>
        <v>383</v>
      </c>
      <c r="BI122">
        <f t="shared" si="22"/>
        <v>1117684</v>
      </c>
      <c r="BJ122">
        <f t="shared" si="23"/>
        <v>201139</v>
      </c>
      <c r="BK122">
        <f t="shared" si="24"/>
        <v>3116671</v>
      </c>
      <c r="BL122">
        <f t="shared" si="25"/>
        <v>0</v>
      </c>
      <c r="BM122">
        <f t="shared" si="26"/>
        <v>0</v>
      </c>
      <c r="BN122" t="str">
        <f t="shared" si="17"/>
        <v>u=1%, k=2x10^6</v>
      </c>
      <c r="BO122" t="str">
        <f t="shared" si="18"/>
        <v>u=1%, k=2x10^6, collaborative</v>
      </c>
      <c r="BP122">
        <f t="shared" si="27"/>
        <v>0.47463664843055553</v>
      </c>
      <c r="BQ122">
        <f t="shared" si="29"/>
        <v>2.420651123611111E-2</v>
      </c>
      <c r="BR122">
        <f t="shared" si="30"/>
        <v>0.70173420368750006</v>
      </c>
      <c r="BS122">
        <f t="shared" si="31"/>
        <v>0.22836723159722222</v>
      </c>
      <c r="BT122">
        <f t="shared" si="32"/>
        <v>0.83395800704166667</v>
      </c>
      <c r="BU122">
        <f t="shared" si="28"/>
        <v>57.593827247458336</v>
      </c>
    </row>
    <row r="123" spans="1:73">
      <c r="A123" t="s">
        <v>219</v>
      </c>
      <c r="B123" t="s">
        <v>158</v>
      </c>
      <c r="C123">
        <v>72</v>
      </c>
      <c r="D123" t="s">
        <v>56</v>
      </c>
      <c r="E123" t="s">
        <v>53</v>
      </c>
      <c r="F123" t="s">
        <v>54</v>
      </c>
      <c r="G123">
        <v>60000</v>
      </c>
      <c r="H123">
        <v>0.5</v>
      </c>
      <c r="I123">
        <v>0.5</v>
      </c>
      <c r="J123">
        <v>0</v>
      </c>
      <c r="K123">
        <v>1</v>
      </c>
      <c r="L123">
        <v>2000000</v>
      </c>
      <c r="M123">
        <v>190</v>
      </c>
      <c r="N123">
        <v>190</v>
      </c>
      <c r="O123">
        <v>190</v>
      </c>
      <c r="P123">
        <v>0</v>
      </c>
      <c r="Q123" t="s">
        <v>55</v>
      </c>
      <c r="R123">
        <v>1000223359138</v>
      </c>
      <c r="S123">
        <v>1000155</v>
      </c>
      <c r="T123">
        <v>1000223359138</v>
      </c>
      <c r="U123">
        <v>1000155</v>
      </c>
      <c r="V123" t="s">
        <v>63</v>
      </c>
      <c r="W123">
        <v>6</v>
      </c>
      <c r="X123">
        <v>55827</v>
      </c>
      <c r="Y123">
        <v>1078888</v>
      </c>
      <c r="Z123">
        <v>1134715</v>
      </c>
      <c r="AA123">
        <v>1000155</v>
      </c>
      <c r="AB123">
        <v>20.325600000000001</v>
      </c>
      <c r="AC123">
        <v>0.92702399999999996</v>
      </c>
      <c r="AD123">
        <v>3.0479699999999998</v>
      </c>
      <c r="AE123">
        <v>21754672</v>
      </c>
      <c r="AF123" t="s">
        <v>582</v>
      </c>
      <c r="AG123" t="s">
        <v>583</v>
      </c>
      <c r="AH123">
        <v>625952</v>
      </c>
      <c r="AI123">
        <v>167810</v>
      </c>
      <c r="AJ123">
        <v>11372778844436</v>
      </c>
      <c r="AK123">
        <v>84751022989</v>
      </c>
      <c r="AL123">
        <v>6448688713</v>
      </c>
      <c r="AM123">
        <v>147817160261</v>
      </c>
      <c r="AN123">
        <v>42176387607</v>
      </c>
      <c r="AO123">
        <v>236416582357</v>
      </c>
      <c r="AP123">
        <v>24144789844</v>
      </c>
      <c r="AQ123">
        <v>0</v>
      </c>
      <c r="AR123">
        <v>243920032</v>
      </c>
      <c r="AS123">
        <v>24144789844</v>
      </c>
      <c r="AT123">
        <v>24388709876</v>
      </c>
      <c r="AU123">
        <v>402413164</v>
      </c>
      <c r="AV123">
        <v>0</v>
      </c>
      <c r="AW123">
        <v>4065333</v>
      </c>
      <c r="AX123">
        <v>402413164</v>
      </c>
      <c r="AY123">
        <v>406478497</v>
      </c>
      <c r="AZ123">
        <v>8.7175399999999996</v>
      </c>
      <c r="BA123">
        <v>0.41633300000000001</v>
      </c>
      <c r="BB123">
        <v>1284.0899999999999</v>
      </c>
      <c r="BC123">
        <v>545.82299999999998</v>
      </c>
      <c r="BD123">
        <v>1433</v>
      </c>
      <c r="BE123">
        <v>265</v>
      </c>
      <c r="BF123">
        <f t="shared" si="19"/>
        <v>59.856730760189471</v>
      </c>
      <c r="BG123" s="31">
        <f t="shared" si="20"/>
        <v>2.724262325931579</v>
      </c>
      <c r="BH123">
        <f t="shared" si="21"/>
        <v>488</v>
      </c>
      <c r="BI123">
        <f t="shared" si="22"/>
        <v>1144195</v>
      </c>
      <c r="BJ123">
        <f t="shared" si="23"/>
        <v>556188</v>
      </c>
      <c r="BK123">
        <f t="shared" si="24"/>
        <v>4578851</v>
      </c>
      <c r="BL123">
        <f t="shared" si="25"/>
        <v>0</v>
      </c>
      <c r="BM123">
        <f t="shared" si="26"/>
        <v>0</v>
      </c>
      <c r="BN123" t="str">
        <f t="shared" ref="BN123:BN182" si="33">"u="&amp;(H123+I123)&amp;"%, k=2x10^"&amp;LOG10(L123/2)</f>
        <v>u=1%, k=2x10^6</v>
      </c>
      <c r="BO123" t="str">
        <f t="shared" ref="BO123:BO182" si="34">BN123&amp;", "&amp;IF(getFieldDelim(B123,"_",4)="enabled","collaborative","sequential")</f>
        <v>u=1%, k=2x10^6, collaborative</v>
      </c>
      <c r="BP123">
        <f t="shared" si="27"/>
        <v>0.44605801573157899</v>
      </c>
      <c r="BQ123">
        <f t="shared" si="29"/>
        <v>3.3940466910526317E-2</v>
      </c>
      <c r="BR123">
        <f t="shared" si="30"/>
        <v>0.77798505400526319</v>
      </c>
      <c r="BS123">
        <f t="shared" si="31"/>
        <v>0.22198098740526317</v>
      </c>
      <c r="BT123">
        <f t="shared" si="32"/>
        <v>1.2442978018789475</v>
      </c>
      <c r="BU123">
        <f t="shared" si="28"/>
        <v>57.132468434257895</v>
      </c>
    </row>
    <row r="124" spans="1:73">
      <c r="A124" t="s">
        <v>220</v>
      </c>
      <c r="B124" t="s">
        <v>158</v>
      </c>
      <c r="C124">
        <v>72</v>
      </c>
      <c r="D124" t="s">
        <v>56</v>
      </c>
      <c r="E124" t="s">
        <v>53</v>
      </c>
      <c r="F124" t="s">
        <v>54</v>
      </c>
      <c r="G124">
        <v>60000</v>
      </c>
      <c r="H124">
        <v>0.5</v>
      </c>
      <c r="I124">
        <v>0.5</v>
      </c>
      <c r="J124">
        <v>0</v>
      </c>
      <c r="K124">
        <v>1</v>
      </c>
      <c r="L124">
        <v>20000000</v>
      </c>
      <c r="M124">
        <v>24</v>
      </c>
      <c r="N124">
        <v>24</v>
      </c>
      <c r="O124">
        <v>24</v>
      </c>
      <c r="P124">
        <v>0</v>
      </c>
      <c r="Q124" t="s">
        <v>55</v>
      </c>
      <c r="R124">
        <v>100011897880070</v>
      </c>
      <c r="S124">
        <v>10000075</v>
      </c>
      <c r="T124">
        <v>100011897880070</v>
      </c>
      <c r="U124">
        <v>10000075</v>
      </c>
      <c r="V124" t="s">
        <v>63</v>
      </c>
      <c r="W124">
        <v>7</v>
      </c>
      <c r="X124">
        <v>1801020</v>
      </c>
      <c r="Y124">
        <v>11801336</v>
      </c>
      <c r="Z124">
        <v>13602356</v>
      </c>
      <c r="AA124">
        <v>10000075</v>
      </c>
      <c r="AB124">
        <v>7.5525799999999998</v>
      </c>
      <c r="AC124">
        <v>0.84736800000000001</v>
      </c>
      <c r="AD124">
        <v>4.0350599999999996</v>
      </c>
      <c r="AE124">
        <v>332905584</v>
      </c>
      <c r="AF124" t="s">
        <v>584</v>
      </c>
      <c r="AG124" t="s">
        <v>585</v>
      </c>
      <c r="AH124">
        <v>847</v>
      </c>
      <c r="AI124">
        <v>757006</v>
      </c>
      <c r="AJ124">
        <v>1436565900668</v>
      </c>
      <c r="AK124">
        <v>5922102907</v>
      </c>
      <c r="AL124">
        <v>11739384</v>
      </c>
      <c r="AM124">
        <v>8355052805</v>
      </c>
      <c r="AN124">
        <v>6515055633</v>
      </c>
      <c r="AO124">
        <v>2640474909</v>
      </c>
      <c r="AP124">
        <v>2081276128</v>
      </c>
      <c r="AQ124">
        <v>0</v>
      </c>
      <c r="AR124">
        <v>21020708</v>
      </c>
      <c r="AS124">
        <v>2081276128</v>
      </c>
      <c r="AT124">
        <v>2102296836</v>
      </c>
      <c r="AU124">
        <v>34687935</v>
      </c>
      <c r="AV124">
        <v>0</v>
      </c>
      <c r="AW124">
        <v>350345</v>
      </c>
      <c r="AX124">
        <v>34687935</v>
      </c>
      <c r="AY124">
        <v>35038280</v>
      </c>
      <c r="AZ124">
        <v>16.150200000000002</v>
      </c>
      <c r="BA124">
        <v>5.8975999999999997</v>
      </c>
      <c r="BB124">
        <v>1906.97</v>
      </c>
      <c r="BC124">
        <v>1231.7</v>
      </c>
      <c r="BD124">
        <v>2435</v>
      </c>
      <c r="BE124">
        <v>155</v>
      </c>
      <c r="BF124">
        <f t="shared" ref="BF124:BF183" si="35">AJ124/1000000000/$N124</f>
        <v>59.856912527833337</v>
      </c>
      <c r="BG124" s="31">
        <f t="shared" ref="BG124:BG183" si="36">SUM(AK124:AO124)/1000000000/$N124</f>
        <v>0.9768510682499999</v>
      </c>
      <c r="BH124">
        <f t="shared" ref="BH124:BH183" si="37">getFieldL($AG124,0)</f>
        <v>4</v>
      </c>
      <c r="BI124">
        <f t="shared" ref="BI124:BI183" si="38">getFieldL($AG124,1)</f>
        <v>11160</v>
      </c>
      <c r="BJ124">
        <f t="shared" ref="BJ124:BJ183" si="39">getFieldL($AG124,2)</f>
        <v>321166</v>
      </c>
      <c r="BK124">
        <f t="shared" ref="BK124:BK183" si="40">getFieldL($AG124,3)</f>
        <v>3001689</v>
      </c>
      <c r="BL124">
        <f t="shared" ref="BL124:BL183" si="41">getFieldL($AG124,4)</f>
        <v>9815</v>
      </c>
      <c r="BM124">
        <f t="shared" ref="BM124:BM183" si="42">getFieldL($AG124,5)</f>
        <v>0</v>
      </c>
      <c r="BN124" t="str">
        <f t="shared" si="33"/>
        <v>u=1%, k=2x10^7</v>
      </c>
      <c r="BO124" t="str">
        <f t="shared" si="34"/>
        <v>u=1%, k=2x10^7, collaborative</v>
      </c>
      <c r="BP124">
        <f t="shared" ref="BP124:BP183" si="43">AK124/1000000000/$N124</f>
        <v>0.24675428779166667</v>
      </c>
      <c r="BQ124">
        <f t="shared" si="29"/>
        <v>4.8914100000000001E-4</v>
      </c>
      <c r="BR124">
        <f t="shared" si="30"/>
        <v>0.34812720020833332</v>
      </c>
      <c r="BS124">
        <f t="shared" si="31"/>
        <v>0.27146065137500003</v>
      </c>
      <c r="BT124">
        <f t="shared" si="32"/>
        <v>0.110019787875</v>
      </c>
      <c r="BU124">
        <f t="shared" ref="BU124:BU183" si="44">BF124-SUM(BP124:BT124)</f>
        <v>58.880061459583338</v>
      </c>
    </row>
    <row r="125" spans="1:73">
      <c r="A125" t="s">
        <v>221</v>
      </c>
      <c r="B125" t="s">
        <v>158</v>
      </c>
      <c r="C125">
        <v>72</v>
      </c>
      <c r="D125" t="s">
        <v>56</v>
      </c>
      <c r="E125" t="s">
        <v>53</v>
      </c>
      <c r="F125" t="s">
        <v>54</v>
      </c>
      <c r="G125">
        <v>60000</v>
      </c>
      <c r="H125">
        <v>0.5</v>
      </c>
      <c r="I125">
        <v>0.5</v>
      </c>
      <c r="J125">
        <v>0</v>
      </c>
      <c r="K125">
        <v>1</v>
      </c>
      <c r="L125">
        <v>20000000</v>
      </c>
      <c r="M125">
        <v>48</v>
      </c>
      <c r="N125">
        <v>48</v>
      </c>
      <c r="O125">
        <v>48</v>
      </c>
      <c r="P125">
        <v>0</v>
      </c>
      <c r="Q125" t="s">
        <v>55</v>
      </c>
      <c r="R125">
        <v>100037664845726</v>
      </c>
      <c r="S125">
        <v>10004831</v>
      </c>
      <c r="T125">
        <v>100037664845726</v>
      </c>
      <c r="U125">
        <v>10004831</v>
      </c>
      <c r="V125" t="s">
        <v>63</v>
      </c>
      <c r="W125">
        <v>7</v>
      </c>
      <c r="X125">
        <v>1823690</v>
      </c>
      <c r="Y125">
        <v>11853454</v>
      </c>
      <c r="Z125">
        <v>13677144</v>
      </c>
      <c r="AA125">
        <v>10004831</v>
      </c>
      <c r="AB125">
        <v>7.4997100000000003</v>
      </c>
      <c r="AC125">
        <v>0.84404400000000002</v>
      </c>
      <c r="AD125">
        <v>4.0394899999999998</v>
      </c>
      <c r="AE125">
        <v>335555040</v>
      </c>
      <c r="AF125" t="s">
        <v>586</v>
      </c>
      <c r="AG125" t="s">
        <v>587</v>
      </c>
      <c r="AH125">
        <v>4413</v>
      </c>
      <c r="AI125">
        <v>313328</v>
      </c>
      <c r="AJ125">
        <v>2873135521910</v>
      </c>
      <c r="AK125">
        <v>13473779588</v>
      </c>
      <c r="AL125">
        <v>131582406</v>
      </c>
      <c r="AM125">
        <v>21041440026</v>
      </c>
      <c r="AN125">
        <v>16143027565</v>
      </c>
      <c r="AO125">
        <v>6415955992</v>
      </c>
      <c r="AP125">
        <v>3587629031</v>
      </c>
      <c r="AQ125">
        <v>0</v>
      </c>
      <c r="AR125">
        <v>36234687</v>
      </c>
      <c r="AS125">
        <v>3587629031</v>
      </c>
      <c r="AT125">
        <v>3623863718</v>
      </c>
      <c r="AU125">
        <v>59793817</v>
      </c>
      <c r="AV125">
        <v>0</v>
      </c>
      <c r="AW125">
        <v>603911</v>
      </c>
      <c r="AX125">
        <v>59793817</v>
      </c>
      <c r="AY125">
        <v>60397728</v>
      </c>
      <c r="AZ125">
        <v>16.173100000000002</v>
      </c>
      <c r="BA125">
        <v>6.0086199999999996</v>
      </c>
      <c r="BB125">
        <v>2205.35</v>
      </c>
      <c r="BC125">
        <v>1510.64</v>
      </c>
      <c r="BD125">
        <v>2480</v>
      </c>
      <c r="BE125">
        <v>169</v>
      </c>
      <c r="BF125">
        <f t="shared" si="35"/>
        <v>59.856990039791668</v>
      </c>
      <c r="BG125" s="31">
        <f t="shared" si="36"/>
        <v>1.1917871995208333</v>
      </c>
      <c r="BH125">
        <f t="shared" si="37"/>
        <v>7</v>
      </c>
      <c r="BI125">
        <f t="shared" si="38"/>
        <v>21761</v>
      </c>
      <c r="BJ125">
        <f t="shared" si="39"/>
        <v>475423</v>
      </c>
      <c r="BK125">
        <f t="shared" si="40"/>
        <v>5081208</v>
      </c>
      <c r="BL125">
        <f t="shared" si="41"/>
        <v>16329</v>
      </c>
      <c r="BM125">
        <f t="shared" si="42"/>
        <v>0</v>
      </c>
      <c r="BN125" t="str">
        <f t="shared" si="33"/>
        <v>u=1%, k=2x10^7</v>
      </c>
      <c r="BO125" t="str">
        <f t="shared" si="34"/>
        <v>u=1%, k=2x10^7, collaborative</v>
      </c>
      <c r="BP125">
        <f t="shared" si="43"/>
        <v>0.28070374141666665</v>
      </c>
      <c r="BQ125">
        <f t="shared" si="29"/>
        <v>2.7413001250000003E-3</v>
      </c>
      <c r="BR125">
        <f t="shared" si="30"/>
        <v>0.43836333387499998</v>
      </c>
      <c r="BS125">
        <f t="shared" si="31"/>
        <v>0.33631307427083335</v>
      </c>
      <c r="BT125">
        <f t="shared" si="32"/>
        <v>0.13366574983333332</v>
      </c>
      <c r="BU125">
        <f t="shared" si="44"/>
        <v>58.665202840270837</v>
      </c>
    </row>
    <row r="126" spans="1:73">
      <c r="A126" t="s">
        <v>222</v>
      </c>
      <c r="B126" t="s">
        <v>158</v>
      </c>
      <c r="C126">
        <v>72</v>
      </c>
      <c r="D126" t="s">
        <v>56</v>
      </c>
      <c r="E126" t="s">
        <v>53</v>
      </c>
      <c r="F126" t="s">
        <v>54</v>
      </c>
      <c r="G126">
        <v>60000</v>
      </c>
      <c r="H126">
        <v>0.5</v>
      </c>
      <c r="I126">
        <v>0.5</v>
      </c>
      <c r="J126">
        <v>0</v>
      </c>
      <c r="K126">
        <v>1</v>
      </c>
      <c r="L126">
        <v>20000000</v>
      </c>
      <c r="M126">
        <v>96</v>
      </c>
      <c r="N126">
        <v>96</v>
      </c>
      <c r="O126">
        <v>96</v>
      </c>
      <c r="P126">
        <v>0</v>
      </c>
      <c r="Q126" t="s">
        <v>55</v>
      </c>
      <c r="R126">
        <v>100017943394398</v>
      </c>
      <c r="S126">
        <v>10002832</v>
      </c>
      <c r="T126">
        <v>100017943394398</v>
      </c>
      <c r="U126">
        <v>10002832</v>
      </c>
      <c r="V126" t="s">
        <v>63</v>
      </c>
      <c r="W126">
        <v>7</v>
      </c>
      <c r="X126">
        <v>1905514</v>
      </c>
      <c r="Y126">
        <v>12033014</v>
      </c>
      <c r="Z126">
        <v>13938528</v>
      </c>
      <c r="AA126">
        <v>10002832</v>
      </c>
      <c r="AB126">
        <v>7.3148400000000002</v>
      </c>
      <c r="AC126">
        <v>0.83128199999999997</v>
      </c>
      <c r="AD126">
        <v>4.0560200000000002</v>
      </c>
      <c r="AE126">
        <v>345002336</v>
      </c>
      <c r="AF126" t="s">
        <v>588</v>
      </c>
      <c r="AG126" t="s">
        <v>589</v>
      </c>
      <c r="AH126">
        <v>17776</v>
      </c>
      <c r="AI126">
        <v>165498</v>
      </c>
      <c r="AJ126">
        <v>5746268953937</v>
      </c>
      <c r="AK126">
        <v>29655365112</v>
      </c>
      <c r="AL126">
        <v>1172216935</v>
      </c>
      <c r="AM126">
        <v>55172026075</v>
      </c>
      <c r="AN126">
        <v>54664759632</v>
      </c>
      <c r="AO126">
        <v>14407513878</v>
      </c>
      <c r="AP126">
        <v>7693396522</v>
      </c>
      <c r="AQ126">
        <v>0</v>
      </c>
      <c r="AR126">
        <v>77712098</v>
      </c>
      <c r="AS126">
        <v>7693396522</v>
      </c>
      <c r="AT126">
        <v>7771108620</v>
      </c>
      <c r="AU126">
        <v>128223275</v>
      </c>
      <c r="AV126">
        <v>0</v>
      </c>
      <c r="AW126">
        <v>1295201</v>
      </c>
      <c r="AX126">
        <v>128223275</v>
      </c>
      <c r="AY126">
        <v>129518477</v>
      </c>
      <c r="AZ126">
        <v>16.302099999999999</v>
      </c>
      <c r="BA126">
        <v>6.4349299999999996</v>
      </c>
      <c r="BB126">
        <v>2038.36</v>
      </c>
      <c r="BC126">
        <v>1290.4100000000001</v>
      </c>
      <c r="BD126">
        <v>2546</v>
      </c>
      <c r="BE126">
        <v>255</v>
      </c>
      <c r="BF126">
        <f t="shared" si="35"/>
        <v>59.856968270177084</v>
      </c>
      <c r="BG126" s="31">
        <f t="shared" si="36"/>
        <v>1.6153321003333332</v>
      </c>
      <c r="BH126">
        <f t="shared" si="37"/>
        <v>15</v>
      </c>
      <c r="BI126">
        <f t="shared" si="38"/>
        <v>47431</v>
      </c>
      <c r="BJ126">
        <f t="shared" si="39"/>
        <v>697450</v>
      </c>
      <c r="BK126">
        <f t="shared" si="40"/>
        <v>10650803</v>
      </c>
      <c r="BL126">
        <f t="shared" si="41"/>
        <v>30921</v>
      </c>
      <c r="BM126">
        <f t="shared" si="42"/>
        <v>0</v>
      </c>
      <c r="BN126" t="str">
        <f t="shared" si="33"/>
        <v>u=1%, k=2x10^7</v>
      </c>
      <c r="BO126" t="str">
        <f t="shared" si="34"/>
        <v>u=1%, k=2x10^7, collaborative</v>
      </c>
      <c r="BP126">
        <f t="shared" si="43"/>
        <v>0.30891005324999998</v>
      </c>
      <c r="BQ126">
        <f t="shared" si="29"/>
        <v>1.2210593072916666E-2</v>
      </c>
      <c r="BR126">
        <f t="shared" si="30"/>
        <v>0.57470860494791665</v>
      </c>
      <c r="BS126">
        <f t="shared" si="31"/>
        <v>0.56942457950000003</v>
      </c>
      <c r="BT126">
        <f t="shared" si="32"/>
        <v>0.15007826956250001</v>
      </c>
      <c r="BU126">
        <f t="shared" si="44"/>
        <v>58.241636169843751</v>
      </c>
    </row>
    <row r="127" spans="1:73">
      <c r="A127" t="s">
        <v>223</v>
      </c>
      <c r="B127" t="s">
        <v>158</v>
      </c>
      <c r="C127">
        <v>72</v>
      </c>
      <c r="D127" t="s">
        <v>56</v>
      </c>
      <c r="E127" t="s">
        <v>53</v>
      </c>
      <c r="F127" t="s">
        <v>54</v>
      </c>
      <c r="G127">
        <v>60000</v>
      </c>
      <c r="H127">
        <v>0.5</v>
      </c>
      <c r="I127">
        <v>0.5</v>
      </c>
      <c r="J127">
        <v>0</v>
      </c>
      <c r="K127">
        <v>1</v>
      </c>
      <c r="L127">
        <v>20000000</v>
      </c>
      <c r="M127">
        <v>144</v>
      </c>
      <c r="N127">
        <v>144</v>
      </c>
      <c r="O127">
        <v>144</v>
      </c>
      <c r="P127">
        <v>0</v>
      </c>
      <c r="Q127" t="s">
        <v>55</v>
      </c>
      <c r="R127">
        <v>99984019046161</v>
      </c>
      <c r="S127">
        <v>10000015</v>
      </c>
      <c r="T127">
        <v>99984019046161</v>
      </c>
      <c r="U127">
        <v>10000015</v>
      </c>
      <c r="V127" t="s">
        <v>63</v>
      </c>
      <c r="W127">
        <v>7</v>
      </c>
      <c r="X127">
        <v>1761189</v>
      </c>
      <c r="Y127">
        <v>11723305</v>
      </c>
      <c r="Z127">
        <v>13484494</v>
      </c>
      <c r="AA127">
        <v>10000015</v>
      </c>
      <c r="AB127">
        <v>7.6564699999999997</v>
      </c>
      <c r="AC127">
        <v>0.85300299999999996</v>
      </c>
      <c r="AD127">
        <v>4.0278600000000004</v>
      </c>
      <c r="AE127">
        <v>328470208</v>
      </c>
      <c r="AF127" t="s">
        <v>590</v>
      </c>
      <c r="AG127" t="s">
        <v>591</v>
      </c>
      <c r="AH127">
        <v>39551</v>
      </c>
      <c r="AI127">
        <v>111716</v>
      </c>
      <c r="AJ127">
        <v>8619400507411</v>
      </c>
      <c r="AK127">
        <v>44484615133</v>
      </c>
      <c r="AL127">
        <v>2663006839</v>
      </c>
      <c r="AM127">
        <v>80672512126</v>
      </c>
      <c r="AN127">
        <v>91523380614</v>
      </c>
      <c r="AO127">
        <v>22030767491</v>
      </c>
      <c r="AP127">
        <v>11322057801</v>
      </c>
      <c r="AQ127">
        <v>0</v>
      </c>
      <c r="AR127">
        <v>114353732</v>
      </c>
      <c r="AS127">
        <v>11322057801</v>
      </c>
      <c r="AT127">
        <v>11436411533</v>
      </c>
      <c r="AU127">
        <v>188700963</v>
      </c>
      <c r="AV127">
        <v>0</v>
      </c>
      <c r="AW127">
        <v>1905895</v>
      </c>
      <c r="AX127">
        <v>188700963</v>
      </c>
      <c r="AY127">
        <v>190606858</v>
      </c>
      <c r="AZ127">
        <v>16.334499999999998</v>
      </c>
      <c r="BA127">
        <v>6.5815999999999999</v>
      </c>
      <c r="BB127">
        <v>2079.17</v>
      </c>
      <c r="BC127">
        <v>1310.31</v>
      </c>
      <c r="BD127">
        <v>2637</v>
      </c>
      <c r="BE127">
        <v>352</v>
      </c>
      <c r="BF127">
        <f t="shared" si="35"/>
        <v>59.856947968131941</v>
      </c>
      <c r="BG127" s="31">
        <f t="shared" si="36"/>
        <v>1.6762102930763889</v>
      </c>
      <c r="BH127">
        <f t="shared" si="37"/>
        <v>22</v>
      </c>
      <c r="BI127">
        <f t="shared" si="38"/>
        <v>72737</v>
      </c>
      <c r="BJ127">
        <f t="shared" si="39"/>
        <v>607541</v>
      </c>
      <c r="BK127">
        <f t="shared" si="40"/>
        <v>15304848</v>
      </c>
      <c r="BL127">
        <f t="shared" si="41"/>
        <v>38510</v>
      </c>
      <c r="BM127">
        <f t="shared" si="42"/>
        <v>0</v>
      </c>
      <c r="BN127" t="str">
        <f t="shared" si="33"/>
        <v>u=1%, k=2x10^7</v>
      </c>
      <c r="BO127" t="str">
        <f t="shared" si="34"/>
        <v>u=1%, k=2x10^7, collaborative</v>
      </c>
      <c r="BP127">
        <f t="shared" si="43"/>
        <v>0.30892093842361112</v>
      </c>
      <c r="BQ127">
        <f t="shared" si="29"/>
        <v>1.8493103048611112E-2</v>
      </c>
      <c r="BR127">
        <f t="shared" si="30"/>
        <v>0.56022577865277778</v>
      </c>
      <c r="BS127">
        <f t="shared" si="31"/>
        <v>0.63557903204166666</v>
      </c>
      <c r="BT127">
        <f t="shared" si="32"/>
        <v>0.15299144090972222</v>
      </c>
      <c r="BU127">
        <f t="shared" si="44"/>
        <v>58.180737675055553</v>
      </c>
    </row>
    <row r="128" spans="1:73">
      <c r="A128" t="s">
        <v>224</v>
      </c>
      <c r="B128" t="s">
        <v>158</v>
      </c>
      <c r="C128">
        <v>72</v>
      </c>
      <c r="D128" t="s">
        <v>56</v>
      </c>
      <c r="E128" t="s">
        <v>53</v>
      </c>
      <c r="F128" t="s">
        <v>54</v>
      </c>
      <c r="G128">
        <v>60000</v>
      </c>
      <c r="H128">
        <v>0.5</v>
      </c>
      <c r="I128">
        <v>0.5</v>
      </c>
      <c r="J128">
        <v>0</v>
      </c>
      <c r="K128">
        <v>1</v>
      </c>
      <c r="L128">
        <v>20000000</v>
      </c>
      <c r="M128">
        <v>190</v>
      </c>
      <c r="N128">
        <v>190</v>
      </c>
      <c r="O128">
        <v>190</v>
      </c>
      <c r="P128">
        <v>0</v>
      </c>
      <c r="Q128" t="s">
        <v>55</v>
      </c>
      <c r="R128">
        <v>100036732747442</v>
      </c>
      <c r="S128">
        <v>10003826</v>
      </c>
      <c r="T128">
        <v>100036732747442</v>
      </c>
      <c r="U128">
        <v>10003826</v>
      </c>
      <c r="V128" t="s">
        <v>63</v>
      </c>
      <c r="W128">
        <v>7</v>
      </c>
      <c r="X128">
        <v>1737885</v>
      </c>
      <c r="Y128">
        <v>11682218</v>
      </c>
      <c r="Z128">
        <v>13420103</v>
      </c>
      <c r="AA128">
        <v>10003826</v>
      </c>
      <c r="AB128">
        <v>7.7220899999999997</v>
      </c>
      <c r="AC128">
        <v>0.85632900000000001</v>
      </c>
      <c r="AD128">
        <v>4.0227199999999996</v>
      </c>
      <c r="AE128">
        <v>325955328</v>
      </c>
      <c r="AF128" t="s">
        <v>592</v>
      </c>
      <c r="AG128" t="s">
        <v>593</v>
      </c>
      <c r="AH128">
        <v>72890</v>
      </c>
      <c r="AI128">
        <v>91544</v>
      </c>
      <c r="AJ128">
        <v>11372818935238</v>
      </c>
      <c r="AK128">
        <v>60559516221</v>
      </c>
      <c r="AL128">
        <v>6762826438</v>
      </c>
      <c r="AM128">
        <v>118020631363</v>
      </c>
      <c r="AN128">
        <v>135704136169</v>
      </c>
      <c r="AO128">
        <v>46191162018</v>
      </c>
      <c r="AP128">
        <v>14737881282</v>
      </c>
      <c r="AQ128">
        <v>0</v>
      </c>
      <c r="AR128">
        <v>148880761</v>
      </c>
      <c r="AS128">
        <v>14737881282</v>
      </c>
      <c r="AT128">
        <v>14886762043</v>
      </c>
      <c r="AU128">
        <v>245631354</v>
      </c>
      <c r="AV128">
        <v>0</v>
      </c>
      <c r="AW128">
        <v>2481346</v>
      </c>
      <c r="AX128">
        <v>245631354</v>
      </c>
      <c r="AY128">
        <v>248112700</v>
      </c>
      <c r="AZ128">
        <v>16.3507</v>
      </c>
      <c r="BA128">
        <v>6.6654200000000001</v>
      </c>
      <c r="BB128">
        <v>2104.15</v>
      </c>
      <c r="BC128">
        <v>1326.36</v>
      </c>
      <c r="BD128">
        <v>2739</v>
      </c>
      <c r="BE128">
        <v>385</v>
      </c>
      <c r="BF128">
        <f t="shared" si="35"/>
        <v>59.856941764410522</v>
      </c>
      <c r="BG128" s="31">
        <f t="shared" si="36"/>
        <v>1.9328330116263157</v>
      </c>
      <c r="BH128">
        <f t="shared" si="37"/>
        <v>29</v>
      </c>
      <c r="BI128">
        <f t="shared" si="38"/>
        <v>94316</v>
      </c>
      <c r="BJ128">
        <f t="shared" si="39"/>
        <v>796627</v>
      </c>
      <c r="BK128">
        <f t="shared" si="40"/>
        <v>19953351</v>
      </c>
      <c r="BL128">
        <f t="shared" si="41"/>
        <v>50316</v>
      </c>
      <c r="BM128">
        <f t="shared" si="42"/>
        <v>0</v>
      </c>
      <c r="BN128" t="str">
        <f t="shared" si="33"/>
        <v>u=1%, k=2x10^7</v>
      </c>
      <c r="BO128" t="str">
        <f t="shared" si="34"/>
        <v>u=1%, k=2x10^7, collaborative</v>
      </c>
      <c r="BP128">
        <f t="shared" si="43"/>
        <v>0.31873429590000002</v>
      </c>
      <c r="BQ128">
        <f t="shared" si="29"/>
        <v>3.5593823357894738E-2</v>
      </c>
      <c r="BR128">
        <f t="shared" si="30"/>
        <v>0.62116121769999999</v>
      </c>
      <c r="BS128">
        <f t="shared" si="31"/>
        <v>0.71423229562631585</v>
      </c>
      <c r="BT128">
        <f t="shared" si="32"/>
        <v>0.24311137904210525</v>
      </c>
      <c r="BU128">
        <f t="shared" si="44"/>
        <v>57.924108752784207</v>
      </c>
    </row>
    <row r="129" spans="1:73">
      <c r="A129" t="s">
        <v>225</v>
      </c>
      <c r="B129" t="s">
        <v>158</v>
      </c>
      <c r="C129">
        <v>72</v>
      </c>
      <c r="D129" t="s">
        <v>56</v>
      </c>
      <c r="E129" t="s">
        <v>53</v>
      </c>
      <c r="F129" t="s">
        <v>54</v>
      </c>
      <c r="G129">
        <v>60000</v>
      </c>
      <c r="H129">
        <v>0.5</v>
      </c>
      <c r="I129">
        <v>0.5</v>
      </c>
      <c r="J129">
        <v>0</v>
      </c>
      <c r="K129">
        <v>1</v>
      </c>
      <c r="L129">
        <v>200000000</v>
      </c>
      <c r="M129">
        <v>24</v>
      </c>
      <c r="N129">
        <v>24</v>
      </c>
      <c r="O129">
        <v>24</v>
      </c>
      <c r="P129">
        <v>0</v>
      </c>
      <c r="Q129" t="s">
        <v>55</v>
      </c>
      <c r="R129">
        <v>9999638698088010</v>
      </c>
      <c r="S129">
        <v>99995272</v>
      </c>
      <c r="T129">
        <v>9999638698088010</v>
      </c>
      <c r="U129">
        <v>99995272</v>
      </c>
      <c r="V129" t="s">
        <v>63</v>
      </c>
      <c r="W129">
        <v>7</v>
      </c>
      <c r="X129">
        <v>14112778</v>
      </c>
      <c r="Y129">
        <v>116378873</v>
      </c>
      <c r="Z129">
        <v>130491651</v>
      </c>
      <c r="AA129">
        <v>99995272</v>
      </c>
      <c r="AB129">
        <v>9.2463499999999996</v>
      </c>
      <c r="AC129">
        <v>0.85922200000000004</v>
      </c>
      <c r="AD129">
        <v>4.0643200000000004</v>
      </c>
      <c r="AE129">
        <v>2993748512</v>
      </c>
      <c r="AF129" t="s">
        <v>594</v>
      </c>
      <c r="AG129" t="s">
        <v>594</v>
      </c>
      <c r="AI129">
        <v>632922</v>
      </c>
      <c r="AJ129">
        <v>1436565672815</v>
      </c>
      <c r="AK129">
        <v>291143746</v>
      </c>
      <c r="AM129">
        <v>826979504</v>
      </c>
      <c r="AN129">
        <v>1594164356</v>
      </c>
      <c r="AO129">
        <v>114163656</v>
      </c>
      <c r="AP129">
        <v>1701744692</v>
      </c>
      <c r="AQ129">
        <v>0</v>
      </c>
      <c r="AR129">
        <v>17185451</v>
      </c>
      <c r="AS129">
        <v>1701744692</v>
      </c>
      <c r="AT129">
        <v>1718930143</v>
      </c>
      <c r="AU129">
        <v>28362411</v>
      </c>
      <c r="AV129">
        <v>0</v>
      </c>
      <c r="AW129">
        <v>286424</v>
      </c>
      <c r="AX129">
        <v>28362411</v>
      </c>
      <c r="AY129">
        <v>28648835</v>
      </c>
      <c r="AZ129">
        <v>18.878499999999999</v>
      </c>
      <c r="BA129">
        <v>8.2700399999999998</v>
      </c>
      <c r="BB129">
        <v>2335.92</v>
      </c>
      <c r="BC129">
        <v>1743.64</v>
      </c>
      <c r="BD129">
        <v>7483</v>
      </c>
      <c r="BE129">
        <v>1552</v>
      </c>
      <c r="BF129">
        <f t="shared" si="35"/>
        <v>59.856903033958332</v>
      </c>
      <c r="BG129" s="31">
        <f t="shared" si="36"/>
        <v>0.11776880258333333</v>
      </c>
      <c r="BH129">
        <f t="shared" si="37"/>
        <v>0</v>
      </c>
      <c r="BI129">
        <f t="shared" si="38"/>
        <v>0</v>
      </c>
      <c r="BJ129">
        <f t="shared" si="39"/>
        <v>9</v>
      </c>
      <c r="BK129">
        <f t="shared" si="40"/>
        <v>604582</v>
      </c>
      <c r="BL129">
        <f t="shared" si="41"/>
        <v>201158</v>
      </c>
      <c r="BM129">
        <f t="shared" si="42"/>
        <v>0</v>
      </c>
      <c r="BN129" t="str">
        <f t="shared" si="33"/>
        <v>u=1%, k=2x10^8</v>
      </c>
      <c r="BO129" t="str">
        <f t="shared" si="34"/>
        <v>u=1%, k=2x10^8, collaborative</v>
      </c>
      <c r="BP129">
        <f t="shared" si="43"/>
        <v>1.2130989416666666E-2</v>
      </c>
      <c r="BQ129">
        <f t="shared" si="29"/>
        <v>0</v>
      </c>
      <c r="BR129">
        <f t="shared" si="30"/>
        <v>3.4457479333333332E-2</v>
      </c>
      <c r="BS129">
        <f t="shared" si="31"/>
        <v>6.6423514833333336E-2</v>
      </c>
      <c r="BT129">
        <f t="shared" si="32"/>
        <v>4.7568189999999998E-3</v>
      </c>
      <c r="BU129">
        <f t="shared" si="44"/>
        <v>59.739134231374997</v>
      </c>
    </row>
    <row r="130" spans="1:73">
      <c r="A130" t="s">
        <v>226</v>
      </c>
      <c r="B130" t="s">
        <v>158</v>
      </c>
      <c r="C130">
        <v>72</v>
      </c>
      <c r="D130" t="s">
        <v>56</v>
      </c>
      <c r="E130" t="s">
        <v>53</v>
      </c>
      <c r="F130" t="s">
        <v>54</v>
      </c>
      <c r="G130">
        <v>60000</v>
      </c>
      <c r="H130">
        <v>0.5</v>
      </c>
      <c r="I130">
        <v>0.5</v>
      </c>
      <c r="J130">
        <v>0</v>
      </c>
      <c r="K130">
        <v>1</v>
      </c>
      <c r="L130">
        <v>200000000</v>
      </c>
      <c r="M130">
        <v>48</v>
      </c>
      <c r="N130">
        <v>48</v>
      </c>
      <c r="O130">
        <v>48</v>
      </c>
      <c r="P130">
        <v>0</v>
      </c>
      <c r="Q130" t="s">
        <v>55</v>
      </c>
      <c r="R130">
        <v>1.00007392517463E+16</v>
      </c>
      <c r="S130">
        <v>100002468</v>
      </c>
      <c r="T130">
        <v>1.00007392517463E+16</v>
      </c>
      <c r="U130">
        <v>100002468</v>
      </c>
      <c r="V130" t="s">
        <v>63</v>
      </c>
      <c r="W130">
        <v>7</v>
      </c>
      <c r="X130">
        <v>14927168</v>
      </c>
      <c r="Y130">
        <v>118214709</v>
      </c>
      <c r="Z130">
        <v>133141877</v>
      </c>
      <c r="AA130">
        <v>100002468</v>
      </c>
      <c r="AB130">
        <v>8.9194300000000002</v>
      </c>
      <c r="AC130">
        <v>0.845939</v>
      </c>
      <c r="AD130">
        <v>4.0817800000000002</v>
      </c>
      <c r="AE130">
        <v>3089742336</v>
      </c>
      <c r="AF130" t="s">
        <v>595</v>
      </c>
      <c r="AG130" t="s">
        <v>595</v>
      </c>
      <c r="AH130">
        <v>1</v>
      </c>
      <c r="AI130">
        <v>271658</v>
      </c>
      <c r="AJ130">
        <v>2873130503221</v>
      </c>
      <c r="AK130">
        <v>1462045936</v>
      </c>
      <c r="AL130">
        <v>669</v>
      </c>
      <c r="AM130">
        <v>3531969748</v>
      </c>
      <c r="AN130">
        <v>5575336470</v>
      </c>
      <c r="AO130">
        <v>586960732</v>
      </c>
      <c r="AP130">
        <v>2979332920</v>
      </c>
      <c r="AQ130">
        <v>0</v>
      </c>
      <c r="AR130">
        <v>30107732</v>
      </c>
      <c r="AS130">
        <v>2979332920</v>
      </c>
      <c r="AT130">
        <v>3009440652</v>
      </c>
      <c r="AU130">
        <v>49655548</v>
      </c>
      <c r="AV130">
        <v>0</v>
      </c>
      <c r="AW130">
        <v>501795</v>
      </c>
      <c r="AX130">
        <v>49655548</v>
      </c>
      <c r="AY130">
        <v>50157344</v>
      </c>
      <c r="AZ130">
        <v>19.081</v>
      </c>
      <c r="BA130">
        <v>8.3718699999999995</v>
      </c>
      <c r="BB130">
        <v>2666.38</v>
      </c>
      <c r="BC130">
        <v>1987.77</v>
      </c>
      <c r="BD130">
        <v>7814</v>
      </c>
      <c r="BE130">
        <v>1278</v>
      </c>
      <c r="BF130">
        <f t="shared" si="35"/>
        <v>59.856885483770832</v>
      </c>
      <c r="BG130" s="31">
        <f t="shared" si="36"/>
        <v>0.2324231990625</v>
      </c>
      <c r="BH130">
        <f t="shared" si="37"/>
        <v>0</v>
      </c>
      <c r="BI130">
        <f t="shared" si="38"/>
        <v>0</v>
      </c>
      <c r="BJ130">
        <f t="shared" si="39"/>
        <v>14762</v>
      </c>
      <c r="BK130">
        <f t="shared" si="40"/>
        <v>2027955</v>
      </c>
      <c r="BL130">
        <f t="shared" si="41"/>
        <v>421210</v>
      </c>
      <c r="BM130">
        <f t="shared" si="42"/>
        <v>0</v>
      </c>
      <c r="BN130" t="str">
        <f t="shared" si="33"/>
        <v>u=1%, k=2x10^8</v>
      </c>
      <c r="BO130" t="str">
        <f t="shared" si="34"/>
        <v>u=1%, k=2x10^8, collaborative</v>
      </c>
      <c r="BP130">
        <f t="shared" si="43"/>
        <v>3.0459290333333333E-2</v>
      </c>
      <c r="BQ130">
        <f t="shared" si="29"/>
        <v>1.39375E-8</v>
      </c>
      <c r="BR130">
        <f t="shared" si="30"/>
        <v>7.3582703083333326E-2</v>
      </c>
      <c r="BS130">
        <f t="shared" si="31"/>
        <v>0.116152843125</v>
      </c>
      <c r="BT130">
        <f t="shared" si="32"/>
        <v>1.2228348583333333E-2</v>
      </c>
      <c r="BU130">
        <f t="shared" si="44"/>
        <v>59.624462284708329</v>
      </c>
    </row>
    <row r="131" spans="1:73">
      <c r="A131" t="s">
        <v>227</v>
      </c>
      <c r="B131" t="s">
        <v>158</v>
      </c>
      <c r="C131">
        <v>72</v>
      </c>
      <c r="D131" t="s">
        <v>56</v>
      </c>
      <c r="E131" t="s">
        <v>53</v>
      </c>
      <c r="F131" t="s">
        <v>54</v>
      </c>
      <c r="G131">
        <v>60000</v>
      </c>
      <c r="H131">
        <v>0.5</v>
      </c>
      <c r="I131">
        <v>0.5</v>
      </c>
      <c r="J131">
        <v>0</v>
      </c>
      <c r="K131">
        <v>1</v>
      </c>
      <c r="L131">
        <v>200000000</v>
      </c>
      <c r="M131">
        <v>96</v>
      </c>
      <c r="N131">
        <v>96</v>
      </c>
      <c r="O131">
        <v>96</v>
      </c>
      <c r="P131">
        <v>0</v>
      </c>
      <c r="Q131" t="s">
        <v>55</v>
      </c>
      <c r="R131">
        <v>9999548659835650</v>
      </c>
      <c r="S131">
        <v>100001846</v>
      </c>
      <c r="T131">
        <v>9999548659835650</v>
      </c>
      <c r="U131">
        <v>100001846</v>
      </c>
      <c r="V131" t="s">
        <v>63</v>
      </c>
      <c r="W131">
        <v>7</v>
      </c>
      <c r="X131">
        <v>12959845</v>
      </c>
      <c r="Y131">
        <v>113956840</v>
      </c>
      <c r="Z131">
        <v>126916685</v>
      </c>
      <c r="AA131">
        <v>100001846</v>
      </c>
      <c r="AB131">
        <v>9.7930700000000002</v>
      </c>
      <c r="AC131">
        <v>0.87754100000000002</v>
      </c>
      <c r="AD131">
        <v>4.0398899999999998</v>
      </c>
      <c r="AE131">
        <v>2861097056</v>
      </c>
      <c r="AF131" t="s">
        <v>596</v>
      </c>
      <c r="AG131" t="s">
        <v>597</v>
      </c>
      <c r="AH131">
        <v>2374</v>
      </c>
      <c r="AI131">
        <v>122112</v>
      </c>
      <c r="AJ131">
        <v>5746260028126</v>
      </c>
      <c r="AK131">
        <v>19376419891</v>
      </c>
      <c r="AL131">
        <v>63717668</v>
      </c>
      <c r="AM131">
        <v>54875950170</v>
      </c>
      <c r="AN131">
        <v>44148346187</v>
      </c>
      <c r="AO131">
        <v>8906954739</v>
      </c>
      <c r="AP131">
        <v>5834122969</v>
      </c>
      <c r="AQ131">
        <v>0</v>
      </c>
      <c r="AR131">
        <v>58929232</v>
      </c>
      <c r="AS131">
        <v>5834122969</v>
      </c>
      <c r="AT131">
        <v>5893052201</v>
      </c>
      <c r="AU131">
        <v>97235382</v>
      </c>
      <c r="AV131">
        <v>0</v>
      </c>
      <c r="AW131">
        <v>982153</v>
      </c>
      <c r="AX131">
        <v>97235382</v>
      </c>
      <c r="AY131">
        <v>98217536</v>
      </c>
      <c r="AZ131">
        <v>19.302399999999999</v>
      </c>
      <c r="BA131">
        <v>9.2970400000000009</v>
      </c>
      <c r="BB131">
        <v>2692.55</v>
      </c>
      <c r="BC131">
        <v>1951.36</v>
      </c>
      <c r="BD131">
        <v>11284</v>
      </c>
      <c r="BE131">
        <v>1050</v>
      </c>
      <c r="BF131">
        <f t="shared" si="35"/>
        <v>59.856875292979169</v>
      </c>
      <c r="BG131" s="31">
        <f t="shared" si="36"/>
        <v>1.3267852984895834</v>
      </c>
      <c r="BH131">
        <f t="shared" si="37"/>
        <v>1</v>
      </c>
      <c r="BI131">
        <f t="shared" si="38"/>
        <v>9903</v>
      </c>
      <c r="BJ131">
        <f t="shared" si="39"/>
        <v>394528</v>
      </c>
      <c r="BK131">
        <f t="shared" si="40"/>
        <v>4115522</v>
      </c>
      <c r="BL131">
        <f t="shared" si="41"/>
        <v>744773</v>
      </c>
      <c r="BM131">
        <f t="shared" si="42"/>
        <v>0</v>
      </c>
      <c r="BN131" t="str">
        <f t="shared" si="33"/>
        <v>u=1%, k=2x10^8</v>
      </c>
      <c r="BO131" t="str">
        <f t="shared" si="34"/>
        <v>u=1%, k=2x10^8, collaborative</v>
      </c>
      <c r="BP131">
        <f t="shared" si="43"/>
        <v>0.20183770719791669</v>
      </c>
      <c r="BQ131">
        <f t="shared" si="29"/>
        <v>6.6372570833333339E-4</v>
      </c>
      <c r="BR131">
        <f t="shared" si="30"/>
        <v>0.57162448093750007</v>
      </c>
      <c r="BS131">
        <f t="shared" si="31"/>
        <v>0.45987860611458337</v>
      </c>
      <c r="BT131">
        <f t="shared" si="32"/>
        <v>9.2780778531249997E-2</v>
      </c>
      <c r="BU131">
        <f t="shared" si="44"/>
        <v>58.530089994489586</v>
      </c>
    </row>
    <row r="132" spans="1:73">
      <c r="A132" t="s">
        <v>228</v>
      </c>
      <c r="B132" t="s">
        <v>158</v>
      </c>
      <c r="C132">
        <v>72</v>
      </c>
      <c r="D132" t="s">
        <v>56</v>
      </c>
      <c r="E132" t="s">
        <v>53</v>
      </c>
      <c r="F132" t="s">
        <v>54</v>
      </c>
      <c r="G132">
        <v>60000</v>
      </c>
      <c r="H132">
        <v>0.5</v>
      </c>
      <c r="I132">
        <v>0.5</v>
      </c>
      <c r="J132">
        <v>0</v>
      </c>
      <c r="K132">
        <v>1</v>
      </c>
      <c r="L132">
        <v>200000000</v>
      </c>
      <c r="M132">
        <v>144</v>
      </c>
      <c r="N132">
        <v>144</v>
      </c>
      <c r="O132">
        <v>144</v>
      </c>
      <c r="P132">
        <v>0</v>
      </c>
      <c r="Q132" t="s">
        <v>55</v>
      </c>
      <c r="R132">
        <v>1.00000914827441E+16</v>
      </c>
      <c r="S132">
        <v>100003640</v>
      </c>
      <c r="T132">
        <v>1.00000914827441E+16</v>
      </c>
      <c r="U132">
        <v>100003640</v>
      </c>
      <c r="V132" t="s">
        <v>63</v>
      </c>
      <c r="W132">
        <v>7</v>
      </c>
      <c r="X132">
        <v>14863056</v>
      </c>
      <c r="Y132">
        <v>118103000</v>
      </c>
      <c r="Z132">
        <v>132966056</v>
      </c>
      <c r="AA132">
        <v>100003640</v>
      </c>
      <c r="AB132">
        <v>8.9460800000000003</v>
      </c>
      <c r="AC132">
        <v>0.84674899999999997</v>
      </c>
      <c r="AD132">
        <v>4.0796999999999999</v>
      </c>
      <c r="AE132">
        <v>3083012064</v>
      </c>
      <c r="AF132" t="s">
        <v>598</v>
      </c>
      <c r="AG132" t="s">
        <v>599</v>
      </c>
      <c r="AH132">
        <v>3913</v>
      </c>
      <c r="AI132">
        <v>81154</v>
      </c>
      <c r="AJ132">
        <v>8619388499735</v>
      </c>
      <c r="AK132">
        <v>22553962778</v>
      </c>
      <c r="AL132">
        <v>177836667</v>
      </c>
      <c r="AM132">
        <v>77923728717</v>
      </c>
      <c r="AN132">
        <v>52664494570</v>
      </c>
      <c r="AO132">
        <v>11581192796</v>
      </c>
      <c r="AP132">
        <v>8624848985</v>
      </c>
      <c r="AQ132">
        <v>0</v>
      </c>
      <c r="AR132">
        <v>87099377</v>
      </c>
      <c r="AS132">
        <v>8624848985</v>
      </c>
      <c r="AT132">
        <v>8711948362</v>
      </c>
      <c r="AU132">
        <v>143747483</v>
      </c>
      <c r="AV132">
        <v>0</v>
      </c>
      <c r="AW132">
        <v>1451656</v>
      </c>
      <c r="AX132">
        <v>143747483</v>
      </c>
      <c r="AY132">
        <v>145199139</v>
      </c>
      <c r="AZ132">
        <v>19.366099999999999</v>
      </c>
      <c r="BA132">
        <v>9.5146999999999995</v>
      </c>
      <c r="BB132">
        <v>2729.54</v>
      </c>
      <c r="BC132">
        <v>1975.11</v>
      </c>
      <c r="BD132">
        <v>13334</v>
      </c>
      <c r="BE132">
        <v>1058</v>
      </c>
      <c r="BF132">
        <f t="shared" si="35"/>
        <v>59.856864581493056</v>
      </c>
      <c r="BG132" s="31">
        <f t="shared" si="36"/>
        <v>1.1451473300555555</v>
      </c>
      <c r="BH132">
        <f t="shared" si="37"/>
        <v>1</v>
      </c>
      <c r="BI132">
        <f t="shared" si="38"/>
        <v>9999</v>
      </c>
      <c r="BJ132">
        <f t="shared" si="39"/>
        <v>447734</v>
      </c>
      <c r="BK132">
        <f t="shared" si="40"/>
        <v>6837296</v>
      </c>
      <c r="BL132">
        <f t="shared" si="41"/>
        <v>1197826</v>
      </c>
      <c r="BM132">
        <f t="shared" si="42"/>
        <v>0</v>
      </c>
      <c r="BN132" t="str">
        <f t="shared" si="33"/>
        <v>u=1%, k=2x10^8</v>
      </c>
      <c r="BO132" t="str">
        <f t="shared" si="34"/>
        <v>u=1%, k=2x10^8, collaborative</v>
      </c>
      <c r="BP132">
        <f t="shared" si="43"/>
        <v>0.15662474151388889</v>
      </c>
      <c r="BQ132">
        <f t="shared" si="29"/>
        <v>1.2349768541666667E-3</v>
      </c>
      <c r="BR132">
        <f t="shared" si="30"/>
        <v>0.54113700497916672</v>
      </c>
      <c r="BS132">
        <f t="shared" si="31"/>
        <v>0.36572565673611113</v>
      </c>
      <c r="BT132">
        <f t="shared" si="32"/>
        <v>8.0424949972222215E-2</v>
      </c>
      <c r="BU132">
        <f t="shared" si="44"/>
        <v>58.711717251437499</v>
      </c>
    </row>
    <row r="133" spans="1:73">
      <c r="A133" t="s">
        <v>229</v>
      </c>
      <c r="B133" t="s">
        <v>158</v>
      </c>
      <c r="C133">
        <v>72</v>
      </c>
      <c r="D133" t="s">
        <v>56</v>
      </c>
      <c r="E133" t="s">
        <v>53</v>
      </c>
      <c r="F133" t="s">
        <v>54</v>
      </c>
      <c r="G133">
        <v>60000</v>
      </c>
      <c r="H133">
        <v>0.5</v>
      </c>
      <c r="I133">
        <v>0.5</v>
      </c>
      <c r="J133">
        <v>0</v>
      </c>
      <c r="K133">
        <v>1</v>
      </c>
      <c r="L133">
        <v>200000000</v>
      </c>
      <c r="M133">
        <v>190</v>
      </c>
      <c r="N133">
        <v>190</v>
      </c>
      <c r="O133">
        <v>190</v>
      </c>
      <c r="P133">
        <v>0</v>
      </c>
      <c r="Q133" t="s">
        <v>55</v>
      </c>
      <c r="R133">
        <v>1.00010430772324E+16</v>
      </c>
      <c r="S133">
        <v>100004682</v>
      </c>
      <c r="T133">
        <v>1.00010430772324E+16</v>
      </c>
      <c r="U133">
        <v>100004682</v>
      </c>
      <c r="V133" t="s">
        <v>63</v>
      </c>
      <c r="W133">
        <v>7</v>
      </c>
      <c r="X133">
        <v>13680382</v>
      </c>
      <c r="Y133">
        <v>115462933</v>
      </c>
      <c r="Z133">
        <v>129143315</v>
      </c>
      <c r="AA133">
        <v>100004682</v>
      </c>
      <c r="AB133">
        <v>9.4400399999999998</v>
      </c>
      <c r="AC133">
        <v>0.86611899999999997</v>
      </c>
      <c r="AD133">
        <v>4.05504</v>
      </c>
      <c r="AE133">
        <v>2943657648</v>
      </c>
      <c r="AF133" t="s">
        <v>600</v>
      </c>
      <c r="AG133" t="s">
        <v>601</v>
      </c>
      <c r="AH133">
        <v>9196</v>
      </c>
      <c r="AI133">
        <v>58744</v>
      </c>
      <c r="AJ133">
        <v>11372802175723</v>
      </c>
      <c r="AK133">
        <v>41662583376</v>
      </c>
      <c r="AL133">
        <v>779933967</v>
      </c>
      <c r="AM133">
        <v>174754336192</v>
      </c>
      <c r="AN133">
        <v>87714778326</v>
      </c>
      <c r="AO133">
        <v>23084857218</v>
      </c>
      <c r="AP133">
        <v>11237528391</v>
      </c>
      <c r="AQ133">
        <v>0</v>
      </c>
      <c r="AR133">
        <v>113517971</v>
      </c>
      <c r="AS133">
        <v>11237528391</v>
      </c>
      <c r="AT133">
        <v>11351046362</v>
      </c>
      <c r="AU133">
        <v>187292139</v>
      </c>
      <c r="AV133">
        <v>0</v>
      </c>
      <c r="AW133">
        <v>1891966</v>
      </c>
      <c r="AX133">
        <v>187292139</v>
      </c>
      <c r="AY133">
        <v>189184106</v>
      </c>
      <c r="AZ133">
        <v>19.4221</v>
      </c>
      <c r="BA133">
        <v>9.6250999999999998</v>
      </c>
      <c r="BB133">
        <v>2742.4</v>
      </c>
      <c r="BC133">
        <v>1993.86</v>
      </c>
      <c r="BD133">
        <v>13842</v>
      </c>
      <c r="BE133">
        <v>1092</v>
      </c>
      <c r="BF133">
        <f t="shared" si="35"/>
        <v>59.856853556436839</v>
      </c>
      <c r="BG133" s="31">
        <f t="shared" si="36"/>
        <v>1.7262973109421054</v>
      </c>
      <c r="BH133">
        <f t="shared" si="37"/>
        <v>2</v>
      </c>
      <c r="BI133">
        <f t="shared" si="38"/>
        <v>19994</v>
      </c>
      <c r="BJ133">
        <f t="shared" si="39"/>
        <v>687647</v>
      </c>
      <c r="BK133">
        <f t="shared" si="40"/>
        <v>8113313</v>
      </c>
      <c r="BL133">
        <f t="shared" si="41"/>
        <v>1472007</v>
      </c>
      <c r="BM133">
        <f t="shared" si="42"/>
        <v>0</v>
      </c>
      <c r="BN133" t="str">
        <f t="shared" si="33"/>
        <v>u=1%, k=2x10^8</v>
      </c>
      <c r="BO133" t="str">
        <f t="shared" si="34"/>
        <v>u=1%, k=2x10^8, collaborative</v>
      </c>
      <c r="BP133">
        <f t="shared" si="43"/>
        <v>0.21927675461052631</v>
      </c>
      <c r="BQ133">
        <f t="shared" si="29"/>
        <v>4.104915615789473E-3</v>
      </c>
      <c r="BR133">
        <f t="shared" si="30"/>
        <v>0.91975966416842114</v>
      </c>
      <c r="BS133">
        <f t="shared" si="31"/>
        <v>0.46165672803157898</v>
      </c>
      <c r="BT133">
        <f t="shared" si="32"/>
        <v>0.12149924851578947</v>
      </c>
      <c r="BU133">
        <f t="shared" si="44"/>
        <v>58.130556245494731</v>
      </c>
    </row>
    <row r="134" spans="1:73">
      <c r="A134" t="s">
        <v>230</v>
      </c>
      <c r="B134" t="s">
        <v>158</v>
      </c>
      <c r="C134">
        <v>72</v>
      </c>
      <c r="D134" t="s">
        <v>56</v>
      </c>
      <c r="E134" t="s">
        <v>53</v>
      </c>
      <c r="F134" t="s">
        <v>54</v>
      </c>
      <c r="G134">
        <v>60000</v>
      </c>
      <c r="H134">
        <v>0.5</v>
      </c>
      <c r="I134">
        <v>0.5</v>
      </c>
      <c r="J134">
        <v>0</v>
      </c>
      <c r="K134">
        <v>1</v>
      </c>
      <c r="L134">
        <v>2000000000</v>
      </c>
      <c r="M134">
        <v>24</v>
      </c>
      <c r="N134">
        <v>24</v>
      </c>
      <c r="O134">
        <v>24</v>
      </c>
      <c r="P134">
        <v>0</v>
      </c>
      <c r="Q134" t="s">
        <v>55</v>
      </c>
      <c r="R134">
        <v>1.0000068261087E+18</v>
      </c>
      <c r="S134">
        <v>1000000588</v>
      </c>
      <c r="T134">
        <v>1.0000068261087E+18</v>
      </c>
      <c r="U134">
        <v>1000000588</v>
      </c>
      <c r="V134" t="s">
        <v>63</v>
      </c>
      <c r="W134">
        <v>7</v>
      </c>
      <c r="X134">
        <v>87202334</v>
      </c>
      <c r="Y134">
        <v>1084286821</v>
      </c>
      <c r="Z134">
        <v>1171489155</v>
      </c>
      <c r="AA134">
        <v>1000000588</v>
      </c>
      <c r="AB134">
        <v>13.434100000000001</v>
      </c>
      <c r="AC134">
        <v>0.92226600000000003</v>
      </c>
      <c r="AD134">
        <v>4.0054999999999996</v>
      </c>
      <c r="AE134">
        <v>24325016896</v>
      </c>
      <c r="AF134" t="s">
        <v>602</v>
      </c>
      <c r="AG134" t="s">
        <v>602</v>
      </c>
      <c r="AI134">
        <v>405296</v>
      </c>
      <c r="AJ134">
        <v>1436564053230</v>
      </c>
      <c r="AK134">
        <v>5206410</v>
      </c>
      <c r="AM134">
        <v>27742072</v>
      </c>
      <c r="AN134">
        <v>630687777</v>
      </c>
      <c r="AO134">
        <v>1789804</v>
      </c>
      <c r="AP134">
        <v>1092602646</v>
      </c>
      <c r="AQ134">
        <v>0</v>
      </c>
      <c r="AR134">
        <v>11042514</v>
      </c>
      <c r="AS134">
        <v>1092602646</v>
      </c>
      <c r="AT134">
        <v>1103645160</v>
      </c>
      <c r="AU134">
        <v>18210044</v>
      </c>
      <c r="AV134">
        <v>0</v>
      </c>
      <c r="AW134">
        <v>184041</v>
      </c>
      <c r="AX134">
        <v>18210044</v>
      </c>
      <c r="AY134">
        <v>18394086</v>
      </c>
      <c r="AZ134">
        <v>22.003399999999999</v>
      </c>
      <c r="BA134">
        <v>12.8833</v>
      </c>
      <c r="BB134">
        <v>3637.51</v>
      </c>
      <c r="BC134">
        <v>2913.3</v>
      </c>
      <c r="BD134">
        <v>59444</v>
      </c>
      <c r="BE134">
        <v>16333</v>
      </c>
      <c r="BF134">
        <f t="shared" si="35"/>
        <v>59.856835551249993</v>
      </c>
      <c r="BG134" s="31">
        <f t="shared" si="36"/>
        <v>2.772608595833333E-2</v>
      </c>
      <c r="BH134">
        <f t="shared" si="37"/>
        <v>0</v>
      </c>
      <c r="BI134">
        <f t="shared" si="38"/>
        <v>0</v>
      </c>
      <c r="BJ134">
        <f t="shared" si="39"/>
        <v>0</v>
      </c>
      <c r="BK134">
        <f t="shared" si="40"/>
        <v>1368</v>
      </c>
      <c r="BL134">
        <f t="shared" si="41"/>
        <v>14968</v>
      </c>
      <c r="BM134">
        <f t="shared" si="42"/>
        <v>0</v>
      </c>
      <c r="BN134" t="str">
        <f t="shared" si="33"/>
        <v>u=1%, k=2x10^9</v>
      </c>
      <c r="BO134" t="str">
        <f t="shared" si="34"/>
        <v>u=1%, k=2x10^9, collaborative</v>
      </c>
      <c r="BP134">
        <f t="shared" si="43"/>
        <v>2.1693375E-4</v>
      </c>
      <c r="BQ134">
        <f t="shared" si="29"/>
        <v>0</v>
      </c>
      <c r="BR134">
        <f t="shared" si="30"/>
        <v>1.1559196666666666E-3</v>
      </c>
      <c r="BS134">
        <f t="shared" si="31"/>
        <v>2.6278657375E-2</v>
      </c>
      <c r="BT134">
        <f t="shared" si="32"/>
        <v>7.457516666666667E-5</v>
      </c>
      <c r="BU134">
        <f t="shared" si="44"/>
        <v>59.829109465291658</v>
      </c>
    </row>
    <row r="135" spans="1:73">
      <c r="A135" t="s">
        <v>231</v>
      </c>
      <c r="B135" t="s">
        <v>158</v>
      </c>
      <c r="C135">
        <v>72</v>
      </c>
      <c r="D135" t="s">
        <v>56</v>
      </c>
      <c r="E135" t="s">
        <v>53</v>
      </c>
      <c r="F135" t="s">
        <v>54</v>
      </c>
      <c r="G135">
        <v>60000</v>
      </c>
      <c r="H135">
        <v>0.5</v>
      </c>
      <c r="I135">
        <v>0.5</v>
      </c>
      <c r="J135">
        <v>0</v>
      </c>
      <c r="K135">
        <v>1</v>
      </c>
      <c r="L135">
        <v>2000000000</v>
      </c>
      <c r="M135">
        <v>48</v>
      </c>
      <c r="N135">
        <v>48</v>
      </c>
      <c r="O135">
        <v>48</v>
      </c>
      <c r="P135">
        <v>0</v>
      </c>
      <c r="Q135" t="s">
        <v>55</v>
      </c>
      <c r="R135">
        <v>9.9999250202077901E+17</v>
      </c>
      <c r="S135">
        <v>999998278</v>
      </c>
      <c r="T135">
        <v>9.9999250202077901E+17</v>
      </c>
      <c r="U135">
        <v>999998278</v>
      </c>
      <c r="V135" t="s">
        <v>63</v>
      </c>
      <c r="W135">
        <v>7</v>
      </c>
      <c r="X135">
        <v>89412525</v>
      </c>
      <c r="Y135">
        <v>1088725173</v>
      </c>
      <c r="Z135">
        <v>1178137698</v>
      </c>
      <c r="AA135">
        <v>999998278</v>
      </c>
      <c r="AB135">
        <v>13.176399999999999</v>
      </c>
      <c r="AC135">
        <v>0.91850399999999999</v>
      </c>
      <c r="AD135">
        <v>4.00997</v>
      </c>
      <c r="AE135">
        <v>24573374720</v>
      </c>
      <c r="AF135" t="s">
        <v>603</v>
      </c>
      <c r="AG135" t="s">
        <v>603</v>
      </c>
      <c r="AI135">
        <v>181058</v>
      </c>
      <c r="AJ135">
        <v>2873127592923</v>
      </c>
      <c r="AK135">
        <v>28106982</v>
      </c>
      <c r="AM135">
        <v>112618952</v>
      </c>
      <c r="AN135">
        <v>2984085155</v>
      </c>
      <c r="AO135">
        <v>11670782</v>
      </c>
      <c r="AP135">
        <v>1993703606</v>
      </c>
      <c r="AQ135">
        <v>0</v>
      </c>
      <c r="AR135">
        <v>20140694</v>
      </c>
      <c r="AS135">
        <v>1993703606</v>
      </c>
      <c r="AT135">
        <v>2013844300</v>
      </c>
      <c r="AU135">
        <v>33228393</v>
      </c>
      <c r="AV135">
        <v>0</v>
      </c>
      <c r="AW135">
        <v>335678</v>
      </c>
      <c r="AX135">
        <v>33228393</v>
      </c>
      <c r="AY135">
        <v>33564071</v>
      </c>
      <c r="AZ135">
        <v>21.9953</v>
      </c>
      <c r="BA135">
        <v>12.908200000000001</v>
      </c>
      <c r="BB135">
        <v>3985.76</v>
      </c>
      <c r="BC135">
        <v>3326.45</v>
      </c>
      <c r="BD135">
        <v>59814</v>
      </c>
      <c r="BE135">
        <v>11406</v>
      </c>
      <c r="BF135">
        <f t="shared" si="35"/>
        <v>59.856824852562504</v>
      </c>
      <c r="BG135" s="31">
        <f t="shared" si="36"/>
        <v>6.5343372312499995E-2</v>
      </c>
      <c r="BH135">
        <f t="shared" si="37"/>
        <v>0</v>
      </c>
      <c r="BI135">
        <f t="shared" si="38"/>
        <v>0</v>
      </c>
      <c r="BJ135">
        <f t="shared" si="39"/>
        <v>0</v>
      </c>
      <c r="BK135">
        <f t="shared" si="40"/>
        <v>8050</v>
      </c>
      <c r="BL135">
        <f t="shared" si="41"/>
        <v>49334</v>
      </c>
      <c r="BM135">
        <f t="shared" si="42"/>
        <v>0</v>
      </c>
      <c r="BN135" t="str">
        <f t="shared" si="33"/>
        <v>u=1%, k=2x10^9</v>
      </c>
      <c r="BO135" t="str">
        <f t="shared" si="34"/>
        <v>u=1%, k=2x10^9, collaborative</v>
      </c>
      <c r="BP135">
        <f t="shared" si="43"/>
        <v>5.8556212500000002E-4</v>
      </c>
      <c r="BQ135">
        <f t="shared" si="29"/>
        <v>0</v>
      </c>
      <c r="BR135">
        <f t="shared" si="30"/>
        <v>2.3462281666666667E-3</v>
      </c>
      <c r="BS135">
        <f t="shared" si="31"/>
        <v>6.2168440729166663E-2</v>
      </c>
      <c r="BT135">
        <f t="shared" si="32"/>
        <v>2.4314129166666664E-4</v>
      </c>
      <c r="BU135">
        <f t="shared" si="44"/>
        <v>59.791481480250006</v>
      </c>
    </row>
    <row r="136" spans="1:73">
      <c r="A136" t="s">
        <v>232</v>
      </c>
      <c r="B136" t="s">
        <v>158</v>
      </c>
      <c r="C136">
        <v>72</v>
      </c>
      <c r="D136" t="s">
        <v>56</v>
      </c>
      <c r="E136" t="s">
        <v>53</v>
      </c>
      <c r="F136" t="s">
        <v>54</v>
      </c>
      <c r="G136">
        <v>60000</v>
      </c>
      <c r="H136">
        <v>0.5</v>
      </c>
      <c r="I136">
        <v>0.5</v>
      </c>
      <c r="J136">
        <v>0</v>
      </c>
      <c r="K136">
        <v>1</v>
      </c>
      <c r="L136">
        <v>2000000000</v>
      </c>
      <c r="M136">
        <v>96</v>
      </c>
      <c r="N136">
        <v>96</v>
      </c>
      <c r="O136">
        <v>96</v>
      </c>
      <c r="P136">
        <v>0</v>
      </c>
      <c r="Q136" t="s">
        <v>55</v>
      </c>
      <c r="R136">
        <v>9.9997713788182003E+17</v>
      </c>
      <c r="S136">
        <v>1000001129</v>
      </c>
      <c r="T136">
        <v>9.9997713788182003E+17</v>
      </c>
      <c r="U136">
        <v>1000001129</v>
      </c>
      <c r="V136" t="s">
        <v>63</v>
      </c>
      <c r="W136">
        <v>7</v>
      </c>
      <c r="X136">
        <v>95108417</v>
      </c>
      <c r="Y136">
        <v>1100218261</v>
      </c>
      <c r="Z136">
        <v>1195326678</v>
      </c>
      <c r="AA136">
        <v>1000001129</v>
      </c>
      <c r="AB136">
        <v>12.568</v>
      </c>
      <c r="AC136">
        <v>0.90891200000000005</v>
      </c>
      <c r="AD136">
        <v>4.0216099999999999</v>
      </c>
      <c r="AE136">
        <v>25215642720</v>
      </c>
      <c r="AF136" t="s">
        <v>604</v>
      </c>
      <c r="AG136" t="s">
        <v>604</v>
      </c>
      <c r="AI136">
        <v>98772</v>
      </c>
      <c r="AJ136">
        <v>5746254721817</v>
      </c>
      <c r="AK136">
        <v>181376808</v>
      </c>
      <c r="AM136">
        <v>647545287</v>
      </c>
      <c r="AN136">
        <v>9983327388</v>
      </c>
      <c r="AO136">
        <v>110482733</v>
      </c>
      <c r="AP136">
        <v>4401476668</v>
      </c>
      <c r="AQ136">
        <v>0</v>
      </c>
      <c r="AR136">
        <v>44460338</v>
      </c>
      <c r="AS136">
        <v>4401476668</v>
      </c>
      <c r="AT136">
        <v>4445937006</v>
      </c>
      <c r="AU136">
        <v>73357944</v>
      </c>
      <c r="AV136">
        <v>0</v>
      </c>
      <c r="AW136">
        <v>741005</v>
      </c>
      <c r="AX136">
        <v>73357944</v>
      </c>
      <c r="AY136">
        <v>74098950</v>
      </c>
      <c r="AZ136">
        <v>22.080400000000001</v>
      </c>
      <c r="BA136">
        <v>13.7849</v>
      </c>
      <c r="BB136">
        <v>3607.82</v>
      </c>
      <c r="BC136">
        <v>2886.07</v>
      </c>
      <c r="BD136">
        <v>60704</v>
      </c>
      <c r="BE136">
        <v>10337</v>
      </c>
      <c r="BF136">
        <f t="shared" si="35"/>
        <v>59.856820018927088</v>
      </c>
      <c r="BG136" s="31">
        <f t="shared" si="36"/>
        <v>0.11377846058333334</v>
      </c>
      <c r="BH136">
        <f t="shared" si="37"/>
        <v>0</v>
      </c>
      <c r="BI136">
        <f t="shared" si="38"/>
        <v>0</v>
      </c>
      <c r="BJ136">
        <f t="shared" si="39"/>
        <v>0</v>
      </c>
      <c r="BK136">
        <f t="shared" si="40"/>
        <v>85437</v>
      </c>
      <c r="BL136">
        <f t="shared" si="41"/>
        <v>226349</v>
      </c>
      <c r="BM136">
        <f t="shared" si="42"/>
        <v>0</v>
      </c>
      <c r="BN136" t="str">
        <f t="shared" si="33"/>
        <v>u=1%, k=2x10^9</v>
      </c>
      <c r="BO136" t="str">
        <f t="shared" si="34"/>
        <v>u=1%, k=2x10^9, collaborative</v>
      </c>
      <c r="BP136">
        <f t="shared" si="43"/>
        <v>1.8893417499999999E-3</v>
      </c>
      <c r="BQ136">
        <f t="shared" si="29"/>
        <v>0</v>
      </c>
      <c r="BR136">
        <f t="shared" si="30"/>
        <v>6.7452634062500003E-3</v>
      </c>
      <c r="BS136">
        <f t="shared" si="31"/>
        <v>0.10399299362499999</v>
      </c>
      <c r="BT136">
        <f t="shared" si="32"/>
        <v>1.1508618020833333E-3</v>
      </c>
      <c r="BU136">
        <f t="shared" si="44"/>
        <v>59.743041558343755</v>
      </c>
    </row>
    <row r="137" spans="1:73">
      <c r="A137" t="s">
        <v>233</v>
      </c>
      <c r="B137" t="s">
        <v>158</v>
      </c>
      <c r="C137">
        <v>72</v>
      </c>
      <c r="D137" t="s">
        <v>56</v>
      </c>
      <c r="E137" t="s">
        <v>53</v>
      </c>
      <c r="F137" t="s">
        <v>54</v>
      </c>
      <c r="G137">
        <v>60000</v>
      </c>
      <c r="H137">
        <v>0.5</v>
      </c>
      <c r="I137">
        <v>0.5</v>
      </c>
      <c r="J137">
        <v>0</v>
      </c>
      <c r="K137">
        <v>1</v>
      </c>
      <c r="L137">
        <v>2000000000</v>
      </c>
      <c r="M137">
        <v>144</v>
      </c>
      <c r="N137">
        <v>144</v>
      </c>
      <c r="O137">
        <v>144</v>
      </c>
      <c r="P137">
        <v>0</v>
      </c>
      <c r="Q137" t="s">
        <v>55</v>
      </c>
      <c r="R137">
        <v>1.00000931596554E+18</v>
      </c>
      <c r="S137">
        <v>1000005037</v>
      </c>
      <c r="T137">
        <v>1.00000931596554E+18</v>
      </c>
      <c r="U137">
        <v>1000005037</v>
      </c>
      <c r="V137" t="s">
        <v>63</v>
      </c>
      <c r="W137">
        <v>7</v>
      </c>
      <c r="X137">
        <v>99969641</v>
      </c>
      <c r="Y137">
        <v>1110099355</v>
      </c>
      <c r="Z137">
        <v>1210068996</v>
      </c>
      <c r="AA137">
        <v>1000005037</v>
      </c>
      <c r="AB137">
        <v>12.1044</v>
      </c>
      <c r="AC137">
        <v>0.90082499999999999</v>
      </c>
      <c r="AD137">
        <v>4.0316900000000002</v>
      </c>
      <c r="AE137">
        <v>25766454848</v>
      </c>
      <c r="AF137" t="s">
        <v>605</v>
      </c>
      <c r="AG137" t="s">
        <v>605</v>
      </c>
      <c r="AI137">
        <v>65542</v>
      </c>
      <c r="AJ137">
        <v>8619381301212</v>
      </c>
      <c r="AK137">
        <v>500957978</v>
      </c>
      <c r="AM137">
        <v>1710655564</v>
      </c>
      <c r="AN137">
        <v>12991797035</v>
      </c>
      <c r="AO137">
        <v>309354410</v>
      </c>
      <c r="AP137">
        <v>6602074148</v>
      </c>
      <c r="AQ137">
        <v>0</v>
      </c>
      <c r="AR137">
        <v>66673958</v>
      </c>
      <c r="AS137">
        <v>6602074148</v>
      </c>
      <c r="AT137">
        <v>6668748106</v>
      </c>
      <c r="AU137">
        <v>110034569</v>
      </c>
      <c r="AV137">
        <v>0</v>
      </c>
      <c r="AW137">
        <v>1111232</v>
      </c>
      <c r="AX137">
        <v>110034569</v>
      </c>
      <c r="AY137">
        <v>111145801</v>
      </c>
      <c r="AZ137">
        <v>22.0929</v>
      </c>
      <c r="BA137">
        <v>14.0047</v>
      </c>
      <c r="BB137">
        <v>3606.51</v>
      </c>
      <c r="BC137">
        <v>2879.73</v>
      </c>
      <c r="BD137">
        <v>61554</v>
      </c>
      <c r="BE137">
        <v>9403</v>
      </c>
      <c r="BF137">
        <f t="shared" si="35"/>
        <v>59.856814591750009</v>
      </c>
      <c r="BG137" s="31">
        <f t="shared" si="36"/>
        <v>0.10772753463194445</v>
      </c>
      <c r="BH137">
        <f t="shared" si="37"/>
        <v>0</v>
      </c>
      <c r="BI137">
        <f t="shared" si="38"/>
        <v>0</v>
      </c>
      <c r="BJ137">
        <f t="shared" si="39"/>
        <v>0</v>
      </c>
      <c r="BK137">
        <f t="shared" si="40"/>
        <v>279797</v>
      </c>
      <c r="BL137">
        <f t="shared" si="41"/>
        <v>486105</v>
      </c>
      <c r="BM137">
        <f t="shared" si="42"/>
        <v>0</v>
      </c>
      <c r="BN137" t="str">
        <f t="shared" si="33"/>
        <v>u=1%, k=2x10^9</v>
      </c>
      <c r="BO137" t="str">
        <f t="shared" si="34"/>
        <v>u=1%, k=2x10^9, collaborative</v>
      </c>
      <c r="BP137">
        <f t="shared" si="43"/>
        <v>3.4788748472222219E-3</v>
      </c>
      <c r="BQ137">
        <f t="shared" si="29"/>
        <v>0</v>
      </c>
      <c r="BR137">
        <f t="shared" si="30"/>
        <v>1.1879552527777778E-2</v>
      </c>
      <c r="BS137">
        <f t="shared" si="31"/>
        <v>9.0220812743055545E-2</v>
      </c>
      <c r="BT137">
        <f t="shared" si="32"/>
        <v>2.1482945138888892E-3</v>
      </c>
      <c r="BU137">
        <f t="shared" si="44"/>
        <v>59.749087057118068</v>
      </c>
    </row>
    <row r="138" spans="1:73">
      <c r="A138" t="s">
        <v>234</v>
      </c>
      <c r="B138" t="s">
        <v>158</v>
      </c>
      <c r="C138">
        <v>72</v>
      </c>
      <c r="D138" t="s">
        <v>56</v>
      </c>
      <c r="E138" t="s">
        <v>53</v>
      </c>
      <c r="F138" t="s">
        <v>54</v>
      </c>
      <c r="G138">
        <v>60000</v>
      </c>
      <c r="H138">
        <v>0.5</v>
      </c>
      <c r="I138">
        <v>0.5</v>
      </c>
      <c r="J138">
        <v>0</v>
      </c>
      <c r="K138">
        <v>1</v>
      </c>
      <c r="L138">
        <v>2000000000</v>
      </c>
      <c r="M138">
        <v>190</v>
      </c>
      <c r="N138">
        <v>190</v>
      </c>
      <c r="O138">
        <v>190</v>
      </c>
      <c r="P138">
        <v>0</v>
      </c>
      <c r="Q138" t="s">
        <v>55</v>
      </c>
      <c r="R138">
        <v>9.9999668292663898E+17</v>
      </c>
      <c r="S138">
        <v>999991474</v>
      </c>
      <c r="T138">
        <v>9.9999668292663898E+17</v>
      </c>
      <c r="U138">
        <v>999991474</v>
      </c>
      <c r="V138" t="s">
        <v>63</v>
      </c>
      <c r="W138">
        <v>7</v>
      </c>
      <c r="X138">
        <v>104085244</v>
      </c>
      <c r="Y138">
        <v>1118528672</v>
      </c>
      <c r="Z138">
        <v>1222613916</v>
      </c>
      <c r="AA138">
        <v>999991474</v>
      </c>
      <c r="AB138">
        <v>11.7463</v>
      </c>
      <c r="AC138">
        <v>0.89402400000000004</v>
      </c>
      <c r="AD138">
        <v>4.0403099999999998</v>
      </c>
      <c r="AE138">
        <v>26234855792</v>
      </c>
      <c r="AF138" t="s">
        <v>606</v>
      </c>
      <c r="AG138" t="s">
        <v>606</v>
      </c>
      <c r="AI138">
        <v>51212</v>
      </c>
      <c r="AJ138">
        <v>11372793700514</v>
      </c>
      <c r="AK138">
        <v>981978433</v>
      </c>
      <c r="AM138">
        <v>3083511355</v>
      </c>
      <c r="AN138">
        <v>14866456492</v>
      </c>
      <c r="AO138">
        <v>579618008</v>
      </c>
      <c r="AP138">
        <v>8619195507</v>
      </c>
      <c r="AQ138">
        <v>0</v>
      </c>
      <c r="AR138">
        <v>87056348</v>
      </c>
      <c r="AS138">
        <v>8619195507</v>
      </c>
      <c r="AT138">
        <v>8706251855</v>
      </c>
      <c r="AU138">
        <v>143653258</v>
      </c>
      <c r="AV138">
        <v>0</v>
      </c>
      <c r="AW138">
        <v>1450939</v>
      </c>
      <c r="AX138">
        <v>143653258</v>
      </c>
      <c r="AY138">
        <v>145104197</v>
      </c>
      <c r="AZ138">
        <v>22.209299999999999</v>
      </c>
      <c r="BA138">
        <v>14.1738</v>
      </c>
      <c r="BB138">
        <v>3644.07</v>
      </c>
      <c r="BC138">
        <v>2907.35</v>
      </c>
      <c r="BD138">
        <v>62223</v>
      </c>
      <c r="BE138">
        <v>9077</v>
      </c>
      <c r="BF138">
        <f t="shared" si="35"/>
        <v>59.856808950073678</v>
      </c>
      <c r="BG138" s="31">
        <f t="shared" si="36"/>
        <v>0.10269244362105262</v>
      </c>
      <c r="BH138">
        <f t="shared" si="37"/>
        <v>0</v>
      </c>
      <c r="BI138">
        <f t="shared" si="38"/>
        <v>0</v>
      </c>
      <c r="BJ138">
        <f t="shared" si="39"/>
        <v>0</v>
      </c>
      <c r="BK138">
        <f t="shared" si="40"/>
        <v>600113</v>
      </c>
      <c r="BL138">
        <f t="shared" si="41"/>
        <v>791112</v>
      </c>
      <c r="BM138">
        <f t="shared" si="42"/>
        <v>0</v>
      </c>
      <c r="BN138" t="str">
        <f t="shared" si="33"/>
        <v>u=1%, k=2x10^9</v>
      </c>
      <c r="BO138" t="str">
        <f t="shared" si="34"/>
        <v>u=1%, k=2x10^9, collaborative</v>
      </c>
      <c r="BP138">
        <f t="shared" si="43"/>
        <v>5.168307542105263E-3</v>
      </c>
      <c r="BQ138">
        <f t="shared" si="29"/>
        <v>0</v>
      </c>
      <c r="BR138">
        <f t="shared" si="30"/>
        <v>1.6229007131578949E-2</v>
      </c>
      <c r="BS138">
        <f t="shared" si="31"/>
        <v>7.8244507852631581E-2</v>
      </c>
      <c r="BT138">
        <f t="shared" si="32"/>
        <v>3.050621094736842E-3</v>
      </c>
      <c r="BU138">
        <f t="shared" si="44"/>
        <v>59.754116506452625</v>
      </c>
    </row>
    <row r="139" spans="1:73">
      <c r="A139" t="s">
        <v>235</v>
      </c>
      <c r="B139" t="s">
        <v>158</v>
      </c>
      <c r="C139">
        <v>72</v>
      </c>
      <c r="D139" t="s">
        <v>56</v>
      </c>
      <c r="E139" t="s">
        <v>53</v>
      </c>
      <c r="F139" t="s">
        <v>54</v>
      </c>
      <c r="G139">
        <v>60000</v>
      </c>
      <c r="H139">
        <v>5</v>
      </c>
      <c r="I139">
        <v>5</v>
      </c>
      <c r="J139">
        <v>0</v>
      </c>
      <c r="K139">
        <v>1</v>
      </c>
      <c r="L139">
        <v>2000000</v>
      </c>
      <c r="M139">
        <v>24</v>
      </c>
      <c r="N139">
        <v>24</v>
      </c>
      <c r="O139">
        <v>24</v>
      </c>
      <c r="P139">
        <v>0</v>
      </c>
      <c r="Q139" t="s">
        <v>55</v>
      </c>
      <c r="R139">
        <v>998133064722</v>
      </c>
      <c r="S139">
        <v>999194</v>
      </c>
      <c r="T139">
        <v>998133064722</v>
      </c>
      <c r="U139">
        <v>999194</v>
      </c>
      <c r="V139" t="s">
        <v>63</v>
      </c>
      <c r="W139">
        <v>6</v>
      </c>
      <c r="X139">
        <v>56660</v>
      </c>
      <c r="Y139">
        <v>1079317</v>
      </c>
      <c r="Z139">
        <v>1135977</v>
      </c>
      <c r="AA139">
        <v>999194</v>
      </c>
      <c r="AB139">
        <v>20.048999999999999</v>
      </c>
      <c r="AC139">
        <v>0.92576499999999995</v>
      </c>
      <c r="AD139">
        <v>3.0491000000000001</v>
      </c>
      <c r="AE139">
        <v>21820336</v>
      </c>
      <c r="AF139" t="s">
        <v>607</v>
      </c>
      <c r="AG139" t="s">
        <v>608</v>
      </c>
      <c r="AH139">
        <v>179674</v>
      </c>
      <c r="AI139">
        <v>1475410</v>
      </c>
      <c r="AJ139">
        <v>1436563165197</v>
      </c>
      <c r="AK139">
        <v>34980834646</v>
      </c>
      <c r="AL139">
        <v>317481359</v>
      </c>
      <c r="AM139">
        <v>41285372709</v>
      </c>
      <c r="AN139">
        <v>32732715058</v>
      </c>
      <c r="AO139">
        <v>16772249798</v>
      </c>
      <c r="AP139">
        <v>3497317663</v>
      </c>
      <c r="AQ139">
        <v>0</v>
      </c>
      <c r="AR139">
        <v>388586469</v>
      </c>
      <c r="AS139">
        <v>3497317663</v>
      </c>
      <c r="AT139">
        <v>3885904132</v>
      </c>
      <c r="AU139">
        <v>58288627</v>
      </c>
      <c r="AV139">
        <v>0</v>
      </c>
      <c r="AW139">
        <v>6476441</v>
      </c>
      <c r="AX139">
        <v>58288627</v>
      </c>
      <c r="AY139">
        <v>64765068</v>
      </c>
      <c r="AZ139">
        <v>10.233700000000001</v>
      </c>
      <c r="BA139">
        <v>0.35946600000000001</v>
      </c>
      <c r="BB139">
        <v>1032.8499999999999</v>
      </c>
      <c r="BC139">
        <v>369.755</v>
      </c>
      <c r="BD139">
        <v>1207</v>
      </c>
      <c r="BE139">
        <v>30</v>
      </c>
      <c r="BF139">
        <f t="shared" si="35"/>
        <v>59.856798549875002</v>
      </c>
      <c r="BG139" s="31">
        <f t="shared" si="36"/>
        <v>5.2536938987499999</v>
      </c>
      <c r="BH139">
        <f t="shared" si="37"/>
        <v>777</v>
      </c>
      <c r="BI139">
        <f t="shared" si="38"/>
        <v>697111</v>
      </c>
      <c r="BJ139">
        <f t="shared" si="39"/>
        <v>10037115</v>
      </c>
      <c r="BK139">
        <f t="shared" si="40"/>
        <v>11252475</v>
      </c>
      <c r="BL139">
        <f t="shared" si="41"/>
        <v>0</v>
      </c>
      <c r="BM139">
        <f t="shared" si="42"/>
        <v>0</v>
      </c>
      <c r="BN139" t="str">
        <f t="shared" si="33"/>
        <v>u=10%, k=2x10^6</v>
      </c>
      <c r="BO139" t="str">
        <f t="shared" si="34"/>
        <v>u=10%, k=2x10^6, collaborative</v>
      </c>
      <c r="BP139">
        <f t="shared" si="43"/>
        <v>1.4575347769166667</v>
      </c>
      <c r="BQ139">
        <f t="shared" ref="BQ139:BQ198" si="45">AL139/1000000000/$N139</f>
        <v>1.3228389958333335E-2</v>
      </c>
      <c r="BR139">
        <f t="shared" ref="BR139:BR198" si="46">AM139/1000000000/$N139</f>
        <v>1.720223862875</v>
      </c>
      <c r="BS139">
        <f t="shared" ref="BS139:BS198" si="47">AN139/1000000000/$N139</f>
        <v>1.3638631274166666</v>
      </c>
      <c r="BT139">
        <f t="shared" ref="BT139:BT198" si="48">AO139/1000000000/$N139</f>
        <v>0.6988437415833334</v>
      </c>
      <c r="BU139">
        <f t="shared" si="44"/>
        <v>54.603104651125001</v>
      </c>
    </row>
    <row r="140" spans="1:73">
      <c r="A140" t="s">
        <v>236</v>
      </c>
      <c r="B140" t="s">
        <v>158</v>
      </c>
      <c r="C140">
        <v>72</v>
      </c>
      <c r="D140" t="s">
        <v>56</v>
      </c>
      <c r="E140" t="s">
        <v>53</v>
      </c>
      <c r="F140" t="s">
        <v>54</v>
      </c>
      <c r="G140">
        <v>60000</v>
      </c>
      <c r="H140">
        <v>5</v>
      </c>
      <c r="I140">
        <v>5</v>
      </c>
      <c r="J140">
        <v>0</v>
      </c>
      <c r="K140">
        <v>1</v>
      </c>
      <c r="L140">
        <v>2000000</v>
      </c>
      <c r="M140">
        <v>48</v>
      </c>
      <c r="N140">
        <v>48</v>
      </c>
      <c r="O140">
        <v>48</v>
      </c>
      <c r="P140">
        <v>0</v>
      </c>
      <c r="Q140" t="s">
        <v>55</v>
      </c>
      <c r="R140">
        <v>1000109752512</v>
      </c>
      <c r="S140">
        <v>999967</v>
      </c>
      <c r="T140">
        <v>1000109752512</v>
      </c>
      <c r="U140">
        <v>999967</v>
      </c>
      <c r="V140" t="s">
        <v>63</v>
      </c>
      <c r="W140">
        <v>6</v>
      </c>
      <c r="X140">
        <v>57762</v>
      </c>
      <c r="Y140">
        <v>1083817</v>
      </c>
      <c r="Z140">
        <v>1141579</v>
      </c>
      <c r="AA140">
        <v>999967</v>
      </c>
      <c r="AB140">
        <v>19.763500000000001</v>
      </c>
      <c r="AC140">
        <v>0.92263499999999998</v>
      </c>
      <c r="AD140">
        <v>3.0534300000000001</v>
      </c>
      <c r="AE140">
        <v>22005680</v>
      </c>
      <c r="AF140" t="s">
        <v>609</v>
      </c>
      <c r="AG140" t="s">
        <v>610</v>
      </c>
      <c r="AH140">
        <v>747939</v>
      </c>
      <c r="AI140">
        <v>541850</v>
      </c>
      <c r="AJ140">
        <v>2873126347659</v>
      </c>
      <c r="AK140">
        <v>87668506583</v>
      </c>
      <c r="AL140">
        <v>1539005064</v>
      </c>
      <c r="AM140">
        <v>104325037112</v>
      </c>
      <c r="AN140">
        <v>56894734656</v>
      </c>
      <c r="AO140">
        <v>40482640229</v>
      </c>
      <c r="AP140">
        <v>5154611112</v>
      </c>
      <c r="AQ140">
        <v>0</v>
      </c>
      <c r="AR140">
        <v>572752108</v>
      </c>
      <c r="AS140">
        <v>5154611112</v>
      </c>
      <c r="AT140">
        <v>5727363220</v>
      </c>
      <c r="AU140">
        <v>85910185</v>
      </c>
      <c r="AV140">
        <v>0</v>
      </c>
      <c r="AW140">
        <v>9545868</v>
      </c>
      <c r="AX140">
        <v>85910185</v>
      </c>
      <c r="AY140">
        <v>95456053</v>
      </c>
      <c r="AZ140">
        <v>10.3635</v>
      </c>
      <c r="BA140">
        <v>0.47364600000000001</v>
      </c>
      <c r="BB140">
        <v>1389.71</v>
      </c>
      <c r="BC140">
        <v>594.42499999999995</v>
      </c>
      <c r="BD140">
        <v>1254</v>
      </c>
      <c r="BE140">
        <v>74</v>
      </c>
      <c r="BF140">
        <f t="shared" si="35"/>
        <v>59.856798909562507</v>
      </c>
      <c r="BG140" s="31">
        <f t="shared" si="36"/>
        <v>6.0606234092499998</v>
      </c>
      <c r="BH140">
        <f t="shared" si="37"/>
        <v>1145</v>
      </c>
      <c r="BI140">
        <f t="shared" si="38"/>
        <v>1129885</v>
      </c>
      <c r="BJ140">
        <f t="shared" si="39"/>
        <v>10736649</v>
      </c>
      <c r="BK140">
        <f t="shared" si="40"/>
        <v>15594723</v>
      </c>
      <c r="BL140">
        <f t="shared" si="41"/>
        <v>0</v>
      </c>
      <c r="BM140">
        <f t="shared" si="42"/>
        <v>0</v>
      </c>
      <c r="BN140" t="str">
        <f t="shared" si="33"/>
        <v>u=10%, k=2x10^6</v>
      </c>
      <c r="BO140" t="str">
        <f t="shared" si="34"/>
        <v>u=10%, k=2x10^6, collaborative</v>
      </c>
      <c r="BP140">
        <f t="shared" si="43"/>
        <v>1.8264272204791665</v>
      </c>
      <c r="BQ140">
        <f t="shared" si="45"/>
        <v>3.2062605500000001E-2</v>
      </c>
      <c r="BR140">
        <f t="shared" si="46"/>
        <v>2.1734382731666666</v>
      </c>
      <c r="BS140">
        <f t="shared" si="47"/>
        <v>1.185306972</v>
      </c>
      <c r="BT140">
        <f t="shared" si="48"/>
        <v>0.84338833810416658</v>
      </c>
      <c r="BU140">
        <f t="shared" si="44"/>
        <v>53.796175500312508</v>
      </c>
    </row>
    <row r="141" spans="1:73">
      <c r="A141" t="s">
        <v>237</v>
      </c>
      <c r="B141" t="s">
        <v>158</v>
      </c>
      <c r="C141">
        <v>72</v>
      </c>
      <c r="D141" t="s">
        <v>56</v>
      </c>
      <c r="E141" t="s">
        <v>53</v>
      </c>
      <c r="F141" t="s">
        <v>54</v>
      </c>
      <c r="G141">
        <v>60000</v>
      </c>
      <c r="H141">
        <v>5</v>
      </c>
      <c r="I141">
        <v>5</v>
      </c>
      <c r="J141">
        <v>0</v>
      </c>
      <c r="K141">
        <v>1</v>
      </c>
      <c r="L141">
        <v>2000000</v>
      </c>
      <c r="M141">
        <v>96</v>
      </c>
      <c r="N141">
        <v>96</v>
      </c>
      <c r="O141">
        <v>96</v>
      </c>
      <c r="P141">
        <v>0</v>
      </c>
      <c r="Q141" t="s">
        <v>55</v>
      </c>
      <c r="R141">
        <v>1000764697824</v>
      </c>
      <c r="S141">
        <v>1000330</v>
      </c>
      <c r="T141">
        <v>1000764697824</v>
      </c>
      <c r="U141">
        <v>1000330</v>
      </c>
      <c r="V141" t="s">
        <v>63</v>
      </c>
      <c r="W141">
        <v>6</v>
      </c>
      <c r="X141">
        <v>62845</v>
      </c>
      <c r="Y141">
        <v>1093585</v>
      </c>
      <c r="Z141">
        <v>1156430</v>
      </c>
      <c r="AA141">
        <v>1000330</v>
      </c>
      <c r="AB141">
        <v>18.401299999999999</v>
      </c>
      <c r="AC141">
        <v>0.91472500000000001</v>
      </c>
      <c r="AD141">
        <v>3.0632999999999999</v>
      </c>
      <c r="AE141">
        <v>22565520</v>
      </c>
      <c r="AF141" t="s">
        <v>611</v>
      </c>
      <c r="AG141" t="s">
        <v>612</v>
      </c>
      <c r="AH141">
        <v>3837284</v>
      </c>
      <c r="AI141">
        <v>220068</v>
      </c>
      <c r="AJ141">
        <v>5746252491553</v>
      </c>
      <c r="AK141">
        <v>273045106853</v>
      </c>
      <c r="AL141">
        <v>9552178001</v>
      </c>
      <c r="AM141">
        <v>337127094445</v>
      </c>
      <c r="AN141">
        <v>147991040784</v>
      </c>
      <c r="AO141">
        <v>263674706182</v>
      </c>
      <c r="AP141">
        <v>7973528438</v>
      </c>
      <c r="AQ141">
        <v>0</v>
      </c>
      <c r="AR141">
        <v>885910228</v>
      </c>
      <c r="AS141">
        <v>7973528438</v>
      </c>
      <c r="AT141">
        <v>8859438666</v>
      </c>
      <c r="AU141">
        <v>132892140</v>
      </c>
      <c r="AV141">
        <v>0</v>
      </c>
      <c r="AW141">
        <v>14765170</v>
      </c>
      <c r="AX141">
        <v>132892140</v>
      </c>
      <c r="AY141">
        <v>147657311</v>
      </c>
      <c r="AZ141">
        <v>11.131</v>
      </c>
      <c r="BA141">
        <v>1.61686</v>
      </c>
      <c r="BB141">
        <v>1809.3</v>
      </c>
      <c r="BC141">
        <v>988.49199999999996</v>
      </c>
      <c r="BD141">
        <v>1364</v>
      </c>
      <c r="BE141">
        <v>145</v>
      </c>
      <c r="BF141">
        <f t="shared" si="35"/>
        <v>59.856796787010417</v>
      </c>
      <c r="BG141" s="31">
        <f t="shared" si="36"/>
        <v>10.74364714859375</v>
      </c>
      <c r="BH141">
        <f t="shared" si="37"/>
        <v>1772</v>
      </c>
      <c r="BI141">
        <f t="shared" si="38"/>
        <v>2767137</v>
      </c>
      <c r="BJ141">
        <f t="shared" si="39"/>
        <v>4810312</v>
      </c>
      <c r="BK141">
        <f t="shared" si="40"/>
        <v>20488823</v>
      </c>
      <c r="BL141">
        <f t="shared" si="41"/>
        <v>0</v>
      </c>
      <c r="BM141">
        <f t="shared" si="42"/>
        <v>0</v>
      </c>
      <c r="BN141" t="str">
        <f t="shared" si="33"/>
        <v>u=10%, k=2x10^6</v>
      </c>
      <c r="BO141" t="str">
        <f t="shared" si="34"/>
        <v>u=10%, k=2x10^6, collaborative</v>
      </c>
      <c r="BP141">
        <f t="shared" si="43"/>
        <v>2.8442198630520834</v>
      </c>
      <c r="BQ141">
        <f t="shared" si="45"/>
        <v>9.9501854177083335E-2</v>
      </c>
      <c r="BR141">
        <f t="shared" si="46"/>
        <v>3.5117405671354169</v>
      </c>
      <c r="BS141">
        <f t="shared" si="47"/>
        <v>1.5415733415000001</v>
      </c>
      <c r="BT141">
        <f t="shared" si="48"/>
        <v>2.7466115227291668</v>
      </c>
      <c r="BU141">
        <f t="shared" si="44"/>
        <v>49.113149638416665</v>
      </c>
    </row>
    <row r="142" spans="1:73">
      <c r="A142" t="s">
        <v>238</v>
      </c>
      <c r="B142" t="s">
        <v>158</v>
      </c>
      <c r="C142">
        <v>72</v>
      </c>
      <c r="D142" t="s">
        <v>56</v>
      </c>
      <c r="E142" t="s">
        <v>53</v>
      </c>
      <c r="F142" t="s">
        <v>54</v>
      </c>
      <c r="G142">
        <v>60000</v>
      </c>
      <c r="H142">
        <v>5</v>
      </c>
      <c r="I142">
        <v>5</v>
      </c>
      <c r="J142">
        <v>0</v>
      </c>
      <c r="K142">
        <v>1</v>
      </c>
      <c r="L142">
        <v>2000000</v>
      </c>
      <c r="M142">
        <v>144</v>
      </c>
      <c r="N142">
        <v>144</v>
      </c>
      <c r="O142">
        <v>144</v>
      </c>
      <c r="P142">
        <v>0</v>
      </c>
      <c r="Q142" t="s">
        <v>55</v>
      </c>
      <c r="R142">
        <v>998345198904</v>
      </c>
      <c r="S142">
        <v>998448</v>
      </c>
      <c r="T142">
        <v>998345198904</v>
      </c>
      <c r="U142">
        <v>998448</v>
      </c>
      <c r="V142" t="s">
        <v>63</v>
      </c>
      <c r="W142">
        <v>6</v>
      </c>
      <c r="X142">
        <v>49787</v>
      </c>
      <c r="Y142">
        <v>1064487</v>
      </c>
      <c r="Z142">
        <v>1114274</v>
      </c>
      <c r="AA142">
        <v>998448</v>
      </c>
      <c r="AB142">
        <v>22.380800000000001</v>
      </c>
      <c r="AC142">
        <v>0.93796199999999996</v>
      </c>
      <c r="AD142">
        <v>3.0344600000000002</v>
      </c>
      <c r="AE142">
        <v>21023904</v>
      </c>
      <c r="AF142" t="s">
        <v>613</v>
      </c>
      <c r="AG142" t="s">
        <v>614</v>
      </c>
      <c r="AH142">
        <v>9933995</v>
      </c>
      <c r="AI142">
        <v>123942</v>
      </c>
      <c r="AJ142">
        <v>8619378387705</v>
      </c>
      <c r="AK142">
        <v>526583182500</v>
      </c>
      <c r="AL142">
        <v>24069667118</v>
      </c>
      <c r="AM142">
        <v>701157545579</v>
      </c>
      <c r="AN142">
        <v>181245012829</v>
      </c>
      <c r="AO142">
        <v>635284538885</v>
      </c>
      <c r="AP142">
        <v>9716826741</v>
      </c>
      <c r="AQ142">
        <v>0</v>
      </c>
      <c r="AR142">
        <v>1079655955</v>
      </c>
      <c r="AS142">
        <v>9716826741</v>
      </c>
      <c r="AT142">
        <v>10796482696</v>
      </c>
      <c r="AU142">
        <v>161947112</v>
      </c>
      <c r="AV142">
        <v>0</v>
      </c>
      <c r="AW142">
        <v>17994265</v>
      </c>
      <c r="AX142">
        <v>161947112</v>
      </c>
      <c r="AY142">
        <v>179941378</v>
      </c>
      <c r="AZ142">
        <v>12.3377</v>
      </c>
      <c r="BA142">
        <v>2.70967</v>
      </c>
      <c r="BB142">
        <v>2224.83</v>
      </c>
      <c r="BC142">
        <v>1358.39</v>
      </c>
      <c r="BD142">
        <v>1520</v>
      </c>
      <c r="BE142">
        <v>172</v>
      </c>
      <c r="BF142">
        <f t="shared" si="35"/>
        <v>59.856794359062491</v>
      </c>
      <c r="BG142" s="31">
        <f t="shared" si="36"/>
        <v>14.36347185354861</v>
      </c>
      <c r="BH142">
        <f t="shared" si="37"/>
        <v>2161</v>
      </c>
      <c r="BI142">
        <f t="shared" si="38"/>
        <v>6272003</v>
      </c>
      <c r="BJ142">
        <f t="shared" si="39"/>
        <v>1129257</v>
      </c>
      <c r="BK142">
        <f t="shared" si="40"/>
        <v>17534063</v>
      </c>
      <c r="BL142">
        <f t="shared" si="41"/>
        <v>0</v>
      </c>
      <c r="BM142">
        <f t="shared" si="42"/>
        <v>0</v>
      </c>
      <c r="BN142" t="str">
        <f t="shared" si="33"/>
        <v>u=10%, k=2x10^6</v>
      </c>
      <c r="BO142" t="str">
        <f t="shared" si="34"/>
        <v>u=10%, k=2x10^6, collaborative</v>
      </c>
      <c r="BP142">
        <f t="shared" si="43"/>
        <v>3.6568276562499999</v>
      </c>
      <c r="BQ142">
        <f t="shared" si="45"/>
        <v>0.16715046609722223</v>
      </c>
      <c r="BR142">
        <f t="shared" si="46"/>
        <v>4.8691496220763888</v>
      </c>
      <c r="BS142">
        <f t="shared" si="47"/>
        <v>1.2586459224236111</v>
      </c>
      <c r="BT142">
        <f t="shared" si="48"/>
        <v>4.4116981867013889</v>
      </c>
      <c r="BU142">
        <f t="shared" si="44"/>
        <v>45.493322505513881</v>
      </c>
    </row>
    <row r="143" spans="1:73">
      <c r="A143" t="s">
        <v>239</v>
      </c>
      <c r="B143" t="s">
        <v>158</v>
      </c>
      <c r="C143">
        <v>72</v>
      </c>
      <c r="D143" t="s">
        <v>56</v>
      </c>
      <c r="E143" t="s">
        <v>53</v>
      </c>
      <c r="F143" t="s">
        <v>54</v>
      </c>
      <c r="G143">
        <v>60000</v>
      </c>
      <c r="H143">
        <v>5</v>
      </c>
      <c r="I143">
        <v>5</v>
      </c>
      <c r="J143">
        <v>0</v>
      </c>
      <c r="K143">
        <v>1</v>
      </c>
      <c r="L143">
        <v>2000000</v>
      </c>
      <c r="M143">
        <v>190</v>
      </c>
      <c r="N143">
        <v>190</v>
      </c>
      <c r="O143">
        <v>190</v>
      </c>
      <c r="P143">
        <v>0</v>
      </c>
      <c r="Q143" t="s">
        <v>55</v>
      </c>
      <c r="R143">
        <v>1001202683189</v>
      </c>
      <c r="S143">
        <v>1000964</v>
      </c>
      <c r="T143">
        <v>1001202683189</v>
      </c>
      <c r="U143">
        <v>1000964</v>
      </c>
      <c r="V143" t="s">
        <v>63</v>
      </c>
      <c r="W143">
        <v>6</v>
      </c>
      <c r="X143">
        <v>58098</v>
      </c>
      <c r="Y143">
        <v>1083868</v>
      </c>
      <c r="Z143">
        <v>1141966</v>
      </c>
      <c r="AA143">
        <v>1000964</v>
      </c>
      <c r="AB143">
        <v>19.655899999999999</v>
      </c>
      <c r="AC143">
        <v>0.92351099999999997</v>
      </c>
      <c r="AD143">
        <v>3.0527500000000001</v>
      </c>
      <c r="AE143">
        <v>22018064</v>
      </c>
      <c r="AF143" t="s">
        <v>615</v>
      </c>
      <c r="AG143" t="s">
        <v>616</v>
      </c>
      <c r="AH143">
        <v>13219529</v>
      </c>
      <c r="AI143">
        <v>85502</v>
      </c>
      <c r="AJ143">
        <v>11372791268283</v>
      </c>
      <c r="AK143">
        <v>650485950696</v>
      </c>
      <c r="AL143">
        <v>38138099068</v>
      </c>
      <c r="AM143">
        <v>958284605313</v>
      </c>
      <c r="AN143">
        <v>235102129836</v>
      </c>
      <c r="AO143">
        <v>1132555726482</v>
      </c>
      <c r="AP143">
        <v>11431490907</v>
      </c>
      <c r="AQ143">
        <v>0</v>
      </c>
      <c r="AR143">
        <v>1270217449</v>
      </c>
      <c r="AS143">
        <v>11431490907</v>
      </c>
      <c r="AT143">
        <v>12701708356</v>
      </c>
      <c r="AU143">
        <v>190524848</v>
      </c>
      <c r="AV143">
        <v>0</v>
      </c>
      <c r="AW143">
        <v>21170290</v>
      </c>
      <c r="AX143">
        <v>190524848</v>
      </c>
      <c r="AY143">
        <v>211695139</v>
      </c>
      <c r="AZ143">
        <v>12.623200000000001</v>
      </c>
      <c r="BA143">
        <v>3.1184099999999999</v>
      </c>
      <c r="BB143">
        <v>2496.71</v>
      </c>
      <c r="BC143">
        <v>1627.1</v>
      </c>
      <c r="BD143">
        <v>1647</v>
      </c>
      <c r="BE143">
        <v>298</v>
      </c>
      <c r="BF143">
        <f t="shared" si="35"/>
        <v>59.856796148857889</v>
      </c>
      <c r="BG143" s="31">
        <f t="shared" si="36"/>
        <v>15.866139533657893</v>
      </c>
      <c r="BH143">
        <f t="shared" si="37"/>
        <v>2543</v>
      </c>
      <c r="BI143">
        <f t="shared" si="38"/>
        <v>5936487</v>
      </c>
      <c r="BJ143">
        <f t="shared" si="39"/>
        <v>2893818</v>
      </c>
      <c r="BK143">
        <f t="shared" si="40"/>
        <v>23840252</v>
      </c>
      <c r="BL143">
        <f t="shared" si="41"/>
        <v>0</v>
      </c>
      <c r="BM143">
        <f t="shared" si="42"/>
        <v>0</v>
      </c>
      <c r="BN143" t="str">
        <f t="shared" si="33"/>
        <v>u=10%, k=2x10^6</v>
      </c>
      <c r="BO143" t="str">
        <f t="shared" si="34"/>
        <v>u=10%, k=2x10^6, collaborative</v>
      </c>
      <c r="BP143">
        <f t="shared" si="43"/>
        <v>3.4236102668210528</v>
      </c>
      <c r="BQ143">
        <f t="shared" si="45"/>
        <v>0.20072683720000001</v>
      </c>
      <c r="BR143">
        <f t="shared" si="46"/>
        <v>5.0436031858578954</v>
      </c>
      <c r="BS143">
        <f t="shared" si="47"/>
        <v>1.2373796307157894</v>
      </c>
      <c r="BT143">
        <f t="shared" si="48"/>
        <v>5.9608196130631574</v>
      </c>
      <c r="BU143">
        <f t="shared" si="44"/>
        <v>43.990656615199995</v>
      </c>
    </row>
    <row r="144" spans="1:73">
      <c r="A144" t="s">
        <v>240</v>
      </c>
      <c r="B144" t="s">
        <v>158</v>
      </c>
      <c r="C144">
        <v>72</v>
      </c>
      <c r="D144" t="s">
        <v>56</v>
      </c>
      <c r="E144" t="s">
        <v>53</v>
      </c>
      <c r="F144" t="s">
        <v>54</v>
      </c>
      <c r="G144">
        <v>60000</v>
      </c>
      <c r="H144">
        <v>5</v>
      </c>
      <c r="I144">
        <v>5</v>
      </c>
      <c r="J144">
        <v>0</v>
      </c>
      <c r="K144">
        <v>1</v>
      </c>
      <c r="L144">
        <v>20000000</v>
      </c>
      <c r="M144">
        <v>24</v>
      </c>
      <c r="N144">
        <v>24</v>
      </c>
      <c r="O144">
        <v>24</v>
      </c>
      <c r="P144">
        <v>0</v>
      </c>
      <c r="Q144" t="s">
        <v>55</v>
      </c>
      <c r="R144">
        <v>99982949447387</v>
      </c>
      <c r="S144">
        <v>9997397</v>
      </c>
      <c r="T144">
        <v>99982949447387</v>
      </c>
      <c r="U144">
        <v>9997397</v>
      </c>
      <c r="V144" t="s">
        <v>63</v>
      </c>
      <c r="W144">
        <v>7</v>
      </c>
      <c r="X144">
        <v>1889679</v>
      </c>
      <c r="Y144">
        <v>11990406</v>
      </c>
      <c r="Z144">
        <v>13880085</v>
      </c>
      <c r="AA144">
        <v>9997397</v>
      </c>
      <c r="AB144">
        <v>7.3452099999999998</v>
      </c>
      <c r="AC144">
        <v>0.83378300000000005</v>
      </c>
      <c r="AD144">
        <v>4.0530200000000001</v>
      </c>
      <c r="AE144">
        <v>343042624</v>
      </c>
      <c r="AF144" t="s">
        <v>617</v>
      </c>
      <c r="AG144" t="s">
        <v>618</v>
      </c>
      <c r="AH144">
        <v>25429</v>
      </c>
      <c r="AI144">
        <v>612068</v>
      </c>
      <c r="AJ144">
        <v>1436562804503</v>
      </c>
      <c r="AK144">
        <v>50883689459</v>
      </c>
      <c r="AL144">
        <v>205898266</v>
      </c>
      <c r="AM144">
        <v>58844279363</v>
      </c>
      <c r="AN144">
        <v>39137464056</v>
      </c>
      <c r="AO144">
        <v>22945332094</v>
      </c>
      <c r="AP144">
        <v>1549501902</v>
      </c>
      <c r="AQ144">
        <v>0</v>
      </c>
      <c r="AR144">
        <v>172191056</v>
      </c>
      <c r="AS144">
        <v>1549501902</v>
      </c>
      <c r="AT144">
        <v>1721692958</v>
      </c>
      <c r="AU144">
        <v>25825031</v>
      </c>
      <c r="AV144">
        <v>0</v>
      </c>
      <c r="AW144">
        <v>2869850</v>
      </c>
      <c r="AX144">
        <v>25825031</v>
      </c>
      <c r="AY144">
        <v>28694882</v>
      </c>
      <c r="AZ144">
        <v>18.4876</v>
      </c>
      <c r="BA144">
        <v>7.3163999999999998</v>
      </c>
      <c r="BB144">
        <v>2309.09</v>
      </c>
      <c r="BC144">
        <v>1500.83</v>
      </c>
      <c r="BD144">
        <v>2439</v>
      </c>
      <c r="BE144">
        <v>152</v>
      </c>
      <c r="BF144">
        <f t="shared" si="35"/>
        <v>59.856783520958338</v>
      </c>
      <c r="BG144" s="31">
        <f t="shared" si="36"/>
        <v>7.1673609682500006</v>
      </c>
      <c r="BH144">
        <f t="shared" si="37"/>
        <v>34</v>
      </c>
      <c r="BI144">
        <f t="shared" si="38"/>
        <v>94906</v>
      </c>
      <c r="BJ144">
        <f t="shared" si="39"/>
        <v>2728223</v>
      </c>
      <c r="BK144">
        <f t="shared" si="40"/>
        <v>25144022</v>
      </c>
      <c r="BL144">
        <f t="shared" si="41"/>
        <v>84594</v>
      </c>
      <c r="BM144">
        <f t="shared" si="42"/>
        <v>0</v>
      </c>
      <c r="BN144" t="str">
        <f t="shared" si="33"/>
        <v>u=10%, k=2x10^7</v>
      </c>
      <c r="BO144" t="str">
        <f t="shared" si="34"/>
        <v>u=10%, k=2x10^7, collaborative</v>
      </c>
      <c r="BP144">
        <f t="shared" si="43"/>
        <v>2.1201537274583333</v>
      </c>
      <c r="BQ144">
        <f t="shared" si="45"/>
        <v>8.5790944166666671E-3</v>
      </c>
      <c r="BR144">
        <f t="shared" si="46"/>
        <v>2.4518449734583334</v>
      </c>
      <c r="BS144">
        <f t="shared" si="47"/>
        <v>1.6307276689999999</v>
      </c>
      <c r="BT144">
        <f t="shared" si="48"/>
        <v>0.95605550391666672</v>
      </c>
      <c r="BU144">
        <f t="shared" si="44"/>
        <v>52.689422552708336</v>
      </c>
    </row>
    <row r="145" spans="1:73">
      <c r="A145" t="s">
        <v>241</v>
      </c>
      <c r="B145" t="s">
        <v>158</v>
      </c>
      <c r="C145">
        <v>72</v>
      </c>
      <c r="D145" t="s">
        <v>56</v>
      </c>
      <c r="E145" t="s">
        <v>53</v>
      </c>
      <c r="F145" t="s">
        <v>54</v>
      </c>
      <c r="G145">
        <v>60000</v>
      </c>
      <c r="H145">
        <v>5</v>
      </c>
      <c r="I145">
        <v>5</v>
      </c>
      <c r="J145">
        <v>0</v>
      </c>
      <c r="K145">
        <v>1</v>
      </c>
      <c r="L145">
        <v>20000000</v>
      </c>
      <c r="M145">
        <v>48</v>
      </c>
      <c r="N145">
        <v>48</v>
      </c>
      <c r="O145">
        <v>48</v>
      </c>
      <c r="P145">
        <v>0</v>
      </c>
      <c r="Q145" t="s">
        <v>55</v>
      </c>
      <c r="R145">
        <v>100001886913156</v>
      </c>
      <c r="S145">
        <v>9999693</v>
      </c>
      <c r="T145">
        <v>100001886913156</v>
      </c>
      <c r="U145">
        <v>9999693</v>
      </c>
      <c r="V145" t="s">
        <v>63</v>
      </c>
      <c r="W145">
        <v>7</v>
      </c>
      <c r="X145">
        <v>1873059</v>
      </c>
      <c r="Y145">
        <v>11975589</v>
      </c>
      <c r="Z145">
        <v>13848648</v>
      </c>
      <c r="AA145">
        <v>9999693</v>
      </c>
      <c r="AB145">
        <v>7.3936000000000002</v>
      </c>
      <c r="AC145">
        <v>0.83500600000000003</v>
      </c>
      <c r="AD145">
        <v>4.0477800000000004</v>
      </c>
      <c r="AE145">
        <v>341500896</v>
      </c>
      <c r="AF145" t="s">
        <v>619</v>
      </c>
      <c r="AG145" t="s">
        <v>620</v>
      </c>
      <c r="AH145">
        <v>112768</v>
      </c>
      <c r="AI145">
        <v>257614</v>
      </c>
      <c r="AJ145">
        <v>2873126851603</v>
      </c>
      <c r="AK145">
        <v>111595345249</v>
      </c>
      <c r="AL145">
        <v>1003503808</v>
      </c>
      <c r="AM145">
        <v>144267271801</v>
      </c>
      <c r="AN145">
        <v>86236785358</v>
      </c>
      <c r="AO145">
        <v>52779152825</v>
      </c>
      <c r="AP145">
        <v>2646582904</v>
      </c>
      <c r="AQ145">
        <v>0</v>
      </c>
      <c r="AR145">
        <v>294074267</v>
      </c>
      <c r="AS145">
        <v>2646582904</v>
      </c>
      <c r="AT145">
        <v>2940657171</v>
      </c>
      <c r="AU145">
        <v>44109715</v>
      </c>
      <c r="AV145">
        <v>0</v>
      </c>
      <c r="AW145">
        <v>4901237</v>
      </c>
      <c r="AX145">
        <v>44109715</v>
      </c>
      <c r="AY145">
        <v>49010952</v>
      </c>
      <c r="AZ145">
        <v>18.767800000000001</v>
      </c>
      <c r="BA145">
        <v>7.5006599999999999</v>
      </c>
      <c r="BB145">
        <v>2699.68</v>
      </c>
      <c r="BC145">
        <v>1851.51</v>
      </c>
      <c r="BD145">
        <v>2493</v>
      </c>
      <c r="BE145">
        <v>157</v>
      </c>
      <c r="BF145">
        <f t="shared" si="35"/>
        <v>59.856809408395833</v>
      </c>
      <c r="BG145" s="31">
        <f t="shared" si="36"/>
        <v>8.2475428966875004</v>
      </c>
      <c r="BH145">
        <f t="shared" si="37"/>
        <v>58</v>
      </c>
      <c r="BI145">
        <f t="shared" si="38"/>
        <v>180153</v>
      </c>
      <c r="BJ145">
        <f t="shared" si="39"/>
        <v>3985357</v>
      </c>
      <c r="BK145">
        <f t="shared" si="40"/>
        <v>41863832</v>
      </c>
      <c r="BL145">
        <f t="shared" si="41"/>
        <v>136411</v>
      </c>
      <c r="BM145">
        <f t="shared" si="42"/>
        <v>0</v>
      </c>
      <c r="BN145" t="str">
        <f t="shared" si="33"/>
        <v>u=10%, k=2x10^7</v>
      </c>
      <c r="BO145" t="str">
        <f t="shared" si="34"/>
        <v>u=10%, k=2x10^7, collaborative</v>
      </c>
      <c r="BP145">
        <f t="shared" si="43"/>
        <v>2.3249030260208334</v>
      </c>
      <c r="BQ145">
        <f t="shared" si="45"/>
        <v>2.0906329333333334E-2</v>
      </c>
      <c r="BR145">
        <f t="shared" si="46"/>
        <v>3.005568162520833</v>
      </c>
      <c r="BS145">
        <f t="shared" si="47"/>
        <v>1.7965996949583334</v>
      </c>
      <c r="BT145">
        <f t="shared" si="48"/>
        <v>1.0995656838541665</v>
      </c>
      <c r="BU145">
        <f t="shared" si="44"/>
        <v>51.609266511708334</v>
      </c>
    </row>
    <row r="146" spans="1:73">
      <c r="A146" t="s">
        <v>242</v>
      </c>
      <c r="B146" t="s">
        <v>158</v>
      </c>
      <c r="C146">
        <v>72</v>
      </c>
      <c r="D146" t="s">
        <v>56</v>
      </c>
      <c r="E146" t="s">
        <v>53</v>
      </c>
      <c r="F146" t="s">
        <v>54</v>
      </c>
      <c r="G146">
        <v>60000</v>
      </c>
      <c r="H146">
        <v>5</v>
      </c>
      <c r="I146">
        <v>5</v>
      </c>
      <c r="J146">
        <v>0</v>
      </c>
      <c r="K146">
        <v>1</v>
      </c>
      <c r="L146">
        <v>20000000</v>
      </c>
      <c r="M146">
        <v>96</v>
      </c>
      <c r="N146">
        <v>96</v>
      </c>
      <c r="O146">
        <v>96</v>
      </c>
      <c r="P146">
        <v>0</v>
      </c>
      <c r="Q146" t="s">
        <v>55</v>
      </c>
      <c r="R146">
        <v>100019570723391</v>
      </c>
      <c r="S146">
        <v>10001734</v>
      </c>
      <c r="T146">
        <v>100019570723391</v>
      </c>
      <c r="U146">
        <v>10001734</v>
      </c>
      <c r="V146" t="s">
        <v>63</v>
      </c>
      <c r="W146">
        <v>7</v>
      </c>
      <c r="X146">
        <v>1745344</v>
      </c>
      <c r="Y146">
        <v>11687413</v>
      </c>
      <c r="Z146">
        <v>13432757</v>
      </c>
      <c r="AA146">
        <v>10001734</v>
      </c>
      <c r="AB146">
        <v>7.6963400000000002</v>
      </c>
      <c r="AC146">
        <v>0.85577000000000003</v>
      </c>
      <c r="AD146">
        <v>4.0239099999999999</v>
      </c>
      <c r="AE146">
        <v>326626752</v>
      </c>
      <c r="AF146" t="s">
        <v>621</v>
      </c>
      <c r="AG146" t="s">
        <v>622</v>
      </c>
      <c r="AH146">
        <v>477829</v>
      </c>
      <c r="AI146">
        <v>133630</v>
      </c>
      <c r="AJ146">
        <v>5746250704411</v>
      </c>
      <c r="AK146">
        <v>223170247935</v>
      </c>
      <c r="AL146">
        <v>4870941039</v>
      </c>
      <c r="AM146">
        <v>328755141753</v>
      </c>
      <c r="AN146">
        <v>282451672041</v>
      </c>
      <c r="AO146">
        <v>111016326370</v>
      </c>
      <c r="AP146">
        <v>5271178086</v>
      </c>
      <c r="AQ146">
        <v>0</v>
      </c>
      <c r="AR146">
        <v>585627503</v>
      </c>
      <c r="AS146">
        <v>5271178086</v>
      </c>
      <c r="AT146">
        <v>5856805589</v>
      </c>
      <c r="AU146">
        <v>87852968</v>
      </c>
      <c r="AV146">
        <v>0</v>
      </c>
      <c r="AW146">
        <v>9760458</v>
      </c>
      <c r="AX146">
        <v>87852968</v>
      </c>
      <c r="AY146">
        <v>97613426</v>
      </c>
      <c r="AZ146">
        <v>18.997800000000002</v>
      </c>
      <c r="BA146">
        <v>7.9587300000000001</v>
      </c>
      <c r="BB146">
        <v>2703.67</v>
      </c>
      <c r="BC146">
        <v>1807.6</v>
      </c>
      <c r="BD146">
        <v>2614</v>
      </c>
      <c r="BE146">
        <v>223</v>
      </c>
      <c r="BF146">
        <f t="shared" si="35"/>
        <v>59.856778170947912</v>
      </c>
      <c r="BG146" s="31">
        <f t="shared" si="36"/>
        <v>9.8985867618541672</v>
      </c>
      <c r="BH146">
        <f t="shared" si="37"/>
        <v>117</v>
      </c>
      <c r="BI146">
        <f t="shared" si="38"/>
        <v>369936</v>
      </c>
      <c r="BJ146">
        <f t="shared" si="39"/>
        <v>5395410</v>
      </c>
      <c r="BK146">
        <f t="shared" si="40"/>
        <v>80196803</v>
      </c>
      <c r="BL146">
        <f t="shared" si="41"/>
        <v>233766</v>
      </c>
      <c r="BM146">
        <f t="shared" si="42"/>
        <v>0</v>
      </c>
      <c r="BN146" t="str">
        <f t="shared" si="33"/>
        <v>u=10%, k=2x10^7</v>
      </c>
      <c r="BO146" t="str">
        <f t="shared" si="34"/>
        <v>u=10%, k=2x10^7, collaborative</v>
      </c>
      <c r="BP146">
        <f t="shared" si="43"/>
        <v>2.3246900826562498</v>
      </c>
      <c r="BQ146">
        <f t="shared" si="45"/>
        <v>5.0738969156250001E-2</v>
      </c>
      <c r="BR146">
        <f t="shared" si="46"/>
        <v>3.4245327265937497</v>
      </c>
      <c r="BS146">
        <f t="shared" si="47"/>
        <v>2.9422049170937501</v>
      </c>
      <c r="BT146">
        <f t="shared" si="48"/>
        <v>1.1564200663541666</v>
      </c>
      <c r="BU146">
        <f t="shared" si="44"/>
        <v>49.958191409093743</v>
      </c>
    </row>
    <row r="147" spans="1:73">
      <c r="A147" t="s">
        <v>243</v>
      </c>
      <c r="B147" t="s">
        <v>158</v>
      </c>
      <c r="C147">
        <v>72</v>
      </c>
      <c r="D147" t="s">
        <v>56</v>
      </c>
      <c r="E147" t="s">
        <v>53</v>
      </c>
      <c r="F147" t="s">
        <v>54</v>
      </c>
      <c r="G147">
        <v>60000</v>
      </c>
      <c r="H147">
        <v>5</v>
      </c>
      <c r="I147">
        <v>5</v>
      </c>
      <c r="J147">
        <v>0</v>
      </c>
      <c r="K147">
        <v>1</v>
      </c>
      <c r="L147">
        <v>20000000</v>
      </c>
      <c r="M147">
        <v>144</v>
      </c>
      <c r="N147">
        <v>144</v>
      </c>
      <c r="O147">
        <v>144</v>
      </c>
      <c r="P147">
        <v>0</v>
      </c>
      <c r="Q147" t="s">
        <v>55</v>
      </c>
      <c r="R147">
        <v>100012103412649</v>
      </c>
      <c r="S147">
        <v>10002373</v>
      </c>
      <c r="T147">
        <v>100012103412649</v>
      </c>
      <c r="U147">
        <v>10002373</v>
      </c>
      <c r="V147" t="s">
        <v>63</v>
      </c>
      <c r="W147">
        <v>7</v>
      </c>
      <c r="X147">
        <v>1705307</v>
      </c>
      <c r="Y147">
        <v>11605096</v>
      </c>
      <c r="Z147">
        <v>13310403</v>
      </c>
      <c r="AA147">
        <v>10002373</v>
      </c>
      <c r="AB147">
        <v>7.8052799999999998</v>
      </c>
      <c r="AC147">
        <v>0.86189499999999997</v>
      </c>
      <c r="AD147">
        <v>4.0159000000000002</v>
      </c>
      <c r="AE147">
        <v>322106144</v>
      </c>
      <c r="AF147" t="s">
        <v>623</v>
      </c>
      <c r="AG147" t="s">
        <v>624</v>
      </c>
      <c r="AH147">
        <v>987187</v>
      </c>
      <c r="AI147">
        <v>88476</v>
      </c>
      <c r="AJ147">
        <v>8619376319568</v>
      </c>
      <c r="AK147">
        <v>320218811524</v>
      </c>
      <c r="AL147">
        <v>8832207361</v>
      </c>
      <c r="AM147">
        <v>482371720856</v>
      </c>
      <c r="AN147">
        <v>515295197743</v>
      </c>
      <c r="AO147">
        <v>169497939002</v>
      </c>
      <c r="AP147">
        <v>7563697262</v>
      </c>
      <c r="AQ147">
        <v>0</v>
      </c>
      <c r="AR147">
        <v>840399993</v>
      </c>
      <c r="AS147">
        <v>7563697262</v>
      </c>
      <c r="AT147">
        <v>8404097255</v>
      </c>
      <c r="AU147">
        <v>126061621</v>
      </c>
      <c r="AV147">
        <v>0</v>
      </c>
      <c r="AW147">
        <v>14006666</v>
      </c>
      <c r="AX147">
        <v>126061621</v>
      </c>
      <c r="AY147">
        <v>140068287</v>
      </c>
      <c r="AZ147">
        <v>19.110099999999999</v>
      </c>
      <c r="BA147">
        <v>8.2705500000000001</v>
      </c>
      <c r="BB147">
        <v>2820.48</v>
      </c>
      <c r="BC147">
        <v>1908.39</v>
      </c>
      <c r="BD147">
        <v>2779</v>
      </c>
      <c r="BE147">
        <v>386</v>
      </c>
      <c r="BF147">
        <f t="shared" si="35"/>
        <v>59.856779997000004</v>
      </c>
      <c r="BG147" s="31">
        <f t="shared" si="36"/>
        <v>10.390388031152778</v>
      </c>
      <c r="BH147">
        <f t="shared" si="37"/>
        <v>168</v>
      </c>
      <c r="BI147">
        <f t="shared" si="38"/>
        <v>531370</v>
      </c>
      <c r="BJ147">
        <f t="shared" si="39"/>
        <v>4446850</v>
      </c>
      <c r="BK147">
        <f t="shared" si="40"/>
        <v>112410154</v>
      </c>
      <c r="BL147">
        <f t="shared" si="41"/>
        <v>281716</v>
      </c>
      <c r="BM147">
        <f t="shared" si="42"/>
        <v>0</v>
      </c>
      <c r="BN147" t="str">
        <f t="shared" si="33"/>
        <v>u=10%, k=2x10^7</v>
      </c>
      <c r="BO147" t="str">
        <f t="shared" si="34"/>
        <v>u=10%, k=2x10^7, collaborative</v>
      </c>
      <c r="BP147">
        <f t="shared" si="43"/>
        <v>2.2237417466944445</v>
      </c>
      <c r="BQ147">
        <f t="shared" si="45"/>
        <v>6.133477334027778E-2</v>
      </c>
      <c r="BR147">
        <f t="shared" si="46"/>
        <v>3.3498036170555556</v>
      </c>
      <c r="BS147">
        <f t="shared" si="47"/>
        <v>3.5784388732152781</v>
      </c>
      <c r="BT147">
        <f t="shared" si="48"/>
        <v>1.1770690208472223</v>
      </c>
      <c r="BU147">
        <f t="shared" si="44"/>
        <v>49.466391965847222</v>
      </c>
    </row>
    <row r="148" spans="1:73">
      <c r="A148" t="s">
        <v>244</v>
      </c>
      <c r="B148" t="s">
        <v>158</v>
      </c>
      <c r="C148">
        <v>72</v>
      </c>
      <c r="D148" t="s">
        <v>56</v>
      </c>
      <c r="E148" t="s">
        <v>53</v>
      </c>
      <c r="F148" t="s">
        <v>54</v>
      </c>
      <c r="G148">
        <v>60000</v>
      </c>
      <c r="H148">
        <v>5</v>
      </c>
      <c r="I148">
        <v>5</v>
      </c>
      <c r="J148">
        <v>0</v>
      </c>
      <c r="K148">
        <v>1</v>
      </c>
      <c r="L148">
        <v>20000000</v>
      </c>
      <c r="M148">
        <v>190</v>
      </c>
      <c r="N148">
        <v>190</v>
      </c>
      <c r="O148">
        <v>190</v>
      </c>
      <c r="P148">
        <v>0</v>
      </c>
      <c r="Q148" t="s">
        <v>55</v>
      </c>
      <c r="R148">
        <v>99993361572583</v>
      </c>
      <c r="S148">
        <v>9998941</v>
      </c>
      <c r="T148">
        <v>99993361572583</v>
      </c>
      <c r="U148">
        <v>9998941</v>
      </c>
      <c r="V148" t="s">
        <v>63</v>
      </c>
      <c r="W148">
        <v>7</v>
      </c>
      <c r="X148">
        <v>1855360</v>
      </c>
      <c r="Y148">
        <v>11929438</v>
      </c>
      <c r="Z148">
        <v>13784798</v>
      </c>
      <c r="AA148">
        <v>9998941</v>
      </c>
      <c r="AB148">
        <v>7.4297199999999997</v>
      </c>
      <c r="AC148">
        <v>0.83817399999999997</v>
      </c>
      <c r="AD148">
        <v>4.0456200000000004</v>
      </c>
      <c r="AE148">
        <v>339333792</v>
      </c>
      <c r="AF148" t="s">
        <v>625</v>
      </c>
      <c r="AG148" t="s">
        <v>626</v>
      </c>
      <c r="AH148">
        <v>1691931</v>
      </c>
      <c r="AI148">
        <v>69390</v>
      </c>
      <c r="AJ148">
        <v>11372792908459</v>
      </c>
      <c r="AK148">
        <v>429260617337</v>
      </c>
      <c r="AL148">
        <v>15964508167</v>
      </c>
      <c r="AM148">
        <v>686402081233</v>
      </c>
      <c r="AN148">
        <v>793472274828</v>
      </c>
      <c r="AO148">
        <v>238798018162</v>
      </c>
      <c r="AP148">
        <v>9568188736</v>
      </c>
      <c r="AQ148">
        <v>0</v>
      </c>
      <c r="AR148">
        <v>1063145520</v>
      </c>
      <c r="AS148">
        <v>9568188736</v>
      </c>
      <c r="AT148">
        <v>10631334256</v>
      </c>
      <c r="AU148">
        <v>159469812</v>
      </c>
      <c r="AV148">
        <v>0</v>
      </c>
      <c r="AW148">
        <v>17719092</v>
      </c>
      <c r="AX148">
        <v>159469812</v>
      </c>
      <c r="AY148">
        <v>177188904</v>
      </c>
      <c r="AZ148">
        <v>19.2745</v>
      </c>
      <c r="BA148">
        <v>8.5315999999999992</v>
      </c>
      <c r="BB148">
        <v>2928.04</v>
      </c>
      <c r="BC148">
        <v>1985.21</v>
      </c>
      <c r="BD148">
        <v>2879</v>
      </c>
      <c r="BE148">
        <v>387</v>
      </c>
      <c r="BF148">
        <f t="shared" si="35"/>
        <v>59.856804781363152</v>
      </c>
      <c r="BG148" s="31">
        <f t="shared" si="36"/>
        <v>11.388934209089475</v>
      </c>
      <c r="BH148">
        <f t="shared" si="37"/>
        <v>212</v>
      </c>
      <c r="BI148">
        <f t="shared" si="38"/>
        <v>671169</v>
      </c>
      <c r="BJ148">
        <f t="shared" si="39"/>
        <v>5665944</v>
      </c>
      <c r="BK148">
        <f t="shared" si="40"/>
        <v>142355820</v>
      </c>
      <c r="BL148">
        <f t="shared" si="41"/>
        <v>357066</v>
      </c>
      <c r="BM148">
        <f t="shared" si="42"/>
        <v>0</v>
      </c>
      <c r="BN148" t="str">
        <f t="shared" si="33"/>
        <v>u=10%, k=2x10^7</v>
      </c>
      <c r="BO148" t="str">
        <f t="shared" si="34"/>
        <v>u=10%, k=2x10^7, collaborative</v>
      </c>
      <c r="BP148">
        <f t="shared" si="43"/>
        <v>2.2592664070368422</v>
      </c>
      <c r="BQ148">
        <f t="shared" si="45"/>
        <v>8.4023727194736844E-2</v>
      </c>
      <c r="BR148">
        <f t="shared" si="46"/>
        <v>3.6126425328052632</v>
      </c>
      <c r="BS148">
        <f t="shared" si="47"/>
        <v>4.1761698675157897</v>
      </c>
      <c r="BT148">
        <f t="shared" si="48"/>
        <v>1.2568316745368422</v>
      </c>
      <c r="BU148">
        <f t="shared" si="44"/>
        <v>48.467870572273675</v>
      </c>
    </row>
    <row r="149" spans="1:73">
      <c r="A149" t="s">
        <v>245</v>
      </c>
      <c r="B149" t="s">
        <v>158</v>
      </c>
      <c r="C149">
        <v>72</v>
      </c>
      <c r="D149" t="s">
        <v>56</v>
      </c>
      <c r="E149" t="s">
        <v>53</v>
      </c>
      <c r="F149" t="s">
        <v>54</v>
      </c>
      <c r="G149">
        <v>60000</v>
      </c>
      <c r="H149">
        <v>5</v>
      </c>
      <c r="I149">
        <v>5</v>
      </c>
      <c r="J149">
        <v>0</v>
      </c>
      <c r="K149">
        <v>1</v>
      </c>
      <c r="L149">
        <v>200000000</v>
      </c>
      <c r="M149">
        <v>24</v>
      </c>
      <c r="N149">
        <v>24</v>
      </c>
      <c r="O149">
        <v>24</v>
      </c>
      <c r="P149">
        <v>0</v>
      </c>
      <c r="Q149" t="s">
        <v>55</v>
      </c>
      <c r="R149">
        <v>1.00013282147834E+16</v>
      </c>
      <c r="S149">
        <v>100012985</v>
      </c>
      <c r="T149">
        <v>1.00013282147834E+16</v>
      </c>
      <c r="U149">
        <v>100012985</v>
      </c>
      <c r="V149" t="s">
        <v>63</v>
      </c>
      <c r="W149">
        <v>7</v>
      </c>
      <c r="X149">
        <v>14349452</v>
      </c>
      <c r="Y149">
        <v>116883501</v>
      </c>
      <c r="Z149">
        <v>131232953</v>
      </c>
      <c r="AA149">
        <v>100012985</v>
      </c>
      <c r="AB149">
        <v>9.1455000000000002</v>
      </c>
      <c r="AC149">
        <v>0.85566399999999998</v>
      </c>
      <c r="AD149">
        <v>4.0657899999999998</v>
      </c>
      <c r="AE149">
        <v>3021633136</v>
      </c>
      <c r="AF149" t="s">
        <v>627</v>
      </c>
      <c r="AG149" t="s">
        <v>628</v>
      </c>
      <c r="AH149">
        <v>2285</v>
      </c>
      <c r="AI149">
        <v>532834</v>
      </c>
      <c r="AJ149">
        <v>1436562546887</v>
      </c>
      <c r="AK149">
        <v>28996318001</v>
      </c>
      <c r="AL149">
        <v>32488020</v>
      </c>
      <c r="AM149">
        <v>38279267298</v>
      </c>
      <c r="AN149">
        <v>29593963719</v>
      </c>
      <c r="AO149">
        <v>12097923940</v>
      </c>
      <c r="AP149">
        <v>1314637019</v>
      </c>
      <c r="AQ149">
        <v>0</v>
      </c>
      <c r="AR149">
        <v>146058233</v>
      </c>
      <c r="AS149">
        <v>1314637019</v>
      </c>
      <c r="AT149">
        <v>1460695252</v>
      </c>
      <c r="AU149">
        <v>21910616</v>
      </c>
      <c r="AV149">
        <v>0</v>
      </c>
      <c r="AW149">
        <v>2434303</v>
      </c>
      <c r="AX149">
        <v>21910616</v>
      </c>
      <c r="AY149">
        <v>24344920</v>
      </c>
      <c r="AZ149">
        <v>20.862300000000001</v>
      </c>
      <c r="BA149">
        <v>9.4352699999999992</v>
      </c>
      <c r="BB149">
        <v>2724.23</v>
      </c>
      <c r="BC149">
        <v>2012.26</v>
      </c>
      <c r="BD149">
        <v>10145</v>
      </c>
      <c r="BE149">
        <v>1553</v>
      </c>
      <c r="BF149">
        <f t="shared" si="35"/>
        <v>59.856772786958338</v>
      </c>
      <c r="BG149" s="31">
        <f t="shared" si="36"/>
        <v>4.5416650407499999</v>
      </c>
      <c r="BH149">
        <f t="shared" si="37"/>
        <v>2</v>
      </c>
      <c r="BI149">
        <f t="shared" si="38"/>
        <v>12689</v>
      </c>
      <c r="BJ149">
        <f t="shared" si="39"/>
        <v>1366195</v>
      </c>
      <c r="BK149">
        <f t="shared" si="40"/>
        <v>12364159</v>
      </c>
      <c r="BL149">
        <f t="shared" si="41"/>
        <v>2034421</v>
      </c>
      <c r="BM149">
        <f t="shared" si="42"/>
        <v>0</v>
      </c>
      <c r="BN149" t="str">
        <f t="shared" si="33"/>
        <v>u=10%, k=2x10^8</v>
      </c>
      <c r="BO149" t="str">
        <f t="shared" si="34"/>
        <v>u=10%, k=2x10^8, collaborative</v>
      </c>
      <c r="BP149">
        <f t="shared" si="43"/>
        <v>1.2081799167083334</v>
      </c>
      <c r="BQ149">
        <f t="shared" si="45"/>
        <v>1.3536675E-3</v>
      </c>
      <c r="BR149">
        <f t="shared" si="46"/>
        <v>1.59496947075</v>
      </c>
      <c r="BS149">
        <f t="shared" si="47"/>
        <v>1.2330818216250001</v>
      </c>
      <c r="BT149">
        <f t="shared" si="48"/>
        <v>0.50408016416666668</v>
      </c>
      <c r="BU149">
        <f t="shared" si="44"/>
        <v>55.315107746208341</v>
      </c>
    </row>
    <row r="150" spans="1:73">
      <c r="A150" t="s">
        <v>246</v>
      </c>
      <c r="B150" t="s">
        <v>158</v>
      </c>
      <c r="C150">
        <v>72</v>
      </c>
      <c r="D150" t="s">
        <v>56</v>
      </c>
      <c r="E150" t="s">
        <v>53</v>
      </c>
      <c r="F150" t="s">
        <v>54</v>
      </c>
      <c r="G150">
        <v>60000</v>
      </c>
      <c r="H150">
        <v>5</v>
      </c>
      <c r="I150">
        <v>5</v>
      </c>
      <c r="J150">
        <v>0</v>
      </c>
      <c r="K150">
        <v>1</v>
      </c>
      <c r="L150">
        <v>200000000</v>
      </c>
      <c r="M150">
        <v>48</v>
      </c>
      <c r="N150">
        <v>48</v>
      </c>
      <c r="O150">
        <v>48</v>
      </c>
      <c r="P150">
        <v>0</v>
      </c>
      <c r="Q150" t="s">
        <v>55</v>
      </c>
      <c r="R150">
        <v>9999714195988670</v>
      </c>
      <c r="S150">
        <v>99995568</v>
      </c>
      <c r="T150">
        <v>9999714195988670</v>
      </c>
      <c r="U150">
        <v>99995568</v>
      </c>
      <c r="V150" t="s">
        <v>63</v>
      </c>
      <c r="W150">
        <v>7</v>
      </c>
      <c r="X150">
        <v>14504536</v>
      </c>
      <c r="Y150">
        <v>117252964</v>
      </c>
      <c r="Z150">
        <v>131757500</v>
      </c>
      <c r="AA150">
        <v>99995568</v>
      </c>
      <c r="AB150">
        <v>9.0838800000000006</v>
      </c>
      <c r="AC150">
        <v>0.85281899999999999</v>
      </c>
      <c r="AD150">
        <v>4.0700799999999999</v>
      </c>
      <c r="AE150">
        <v>3040211584</v>
      </c>
      <c r="AF150" t="s">
        <v>629</v>
      </c>
      <c r="AG150" t="s">
        <v>630</v>
      </c>
      <c r="AH150">
        <v>14236</v>
      </c>
      <c r="AI150">
        <v>212652</v>
      </c>
      <c r="AJ150">
        <v>2873124977691</v>
      </c>
      <c r="AK150">
        <v>82804355437</v>
      </c>
      <c r="AL150">
        <v>191087927</v>
      </c>
      <c r="AM150">
        <v>110610075454</v>
      </c>
      <c r="AN150">
        <v>76659774552</v>
      </c>
      <c r="AO150">
        <v>35047780241</v>
      </c>
      <c r="AP150">
        <v>2192844747</v>
      </c>
      <c r="AQ150">
        <v>0</v>
      </c>
      <c r="AR150">
        <v>243681142</v>
      </c>
      <c r="AS150">
        <v>2192844747</v>
      </c>
      <c r="AT150">
        <v>2436525889</v>
      </c>
      <c r="AU150">
        <v>36547412</v>
      </c>
      <c r="AV150">
        <v>0</v>
      </c>
      <c r="AW150">
        <v>4061352</v>
      </c>
      <c r="AX150">
        <v>36547412</v>
      </c>
      <c r="AY150">
        <v>40608764</v>
      </c>
      <c r="AZ150">
        <v>21.496700000000001</v>
      </c>
      <c r="BA150">
        <v>9.8157200000000007</v>
      </c>
      <c r="BB150">
        <v>3233.74</v>
      </c>
      <c r="BC150">
        <v>2422.88</v>
      </c>
      <c r="BD150">
        <v>13386</v>
      </c>
      <c r="BE150">
        <v>1264</v>
      </c>
      <c r="BF150">
        <f t="shared" si="35"/>
        <v>59.856770368562501</v>
      </c>
      <c r="BG150" s="31">
        <f t="shared" si="36"/>
        <v>6.3606890335625001</v>
      </c>
      <c r="BH150">
        <f t="shared" si="37"/>
        <v>4</v>
      </c>
      <c r="BI150">
        <f t="shared" si="38"/>
        <v>34384</v>
      </c>
      <c r="BJ150">
        <f t="shared" si="39"/>
        <v>2163174</v>
      </c>
      <c r="BK150">
        <f t="shared" si="40"/>
        <v>20334671</v>
      </c>
      <c r="BL150">
        <f t="shared" si="41"/>
        <v>3363124</v>
      </c>
      <c r="BM150">
        <f t="shared" si="42"/>
        <v>0</v>
      </c>
      <c r="BN150" t="str">
        <f t="shared" si="33"/>
        <v>u=10%, k=2x10^8</v>
      </c>
      <c r="BO150" t="str">
        <f t="shared" si="34"/>
        <v>u=10%, k=2x10^8, collaborative</v>
      </c>
      <c r="BP150">
        <f t="shared" si="43"/>
        <v>1.7250907382708334</v>
      </c>
      <c r="BQ150">
        <f t="shared" si="45"/>
        <v>3.9809984791666668E-3</v>
      </c>
      <c r="BR150">
        <f t="shared" si="46"/>
        <v>2.3043765719583331</v>
      </c>
      <c r="BS150">
        <f t="shared" si="47"/>
        <v>1.5970786365</v>
      </c>
      <c r="BT150">
        <f t="shared" si="48"/>
        <v>0.73016208835416663</v>
      </c>
      <c r="BU150">
        <f t="shared" si="44"/>
        <v>53.496081335</v>
      </c>
    </row>
    <row r="151" spans="1:73">
      <c r="A151" t="s">
        <v>247</v>
      </c>
      <c r="B151" t="s">
        <v>158</v>
      </c>
      <c r="C151">
        <v>72</v>
      </c>
      <c r="D151" t="s">
        <v>56</v>
      </c>
      <c r="E151" t="s">
        <v>53</v>
      </c>
      <c r="F151" t="s">
        <v>54</v>
      </c>
      <c r="G151">
        <v>60000</v>
      </c>
      <c r="H151">
        <v>5</v>
      </c>
      <c r="I151">
        <v>5</v>
      </c>
      <c r="J151">
        <v>0</v>
      </c>
      <c r="K151">
        <v>1</v>
      </c>
      <c r="L151">
        <v>200000000</v>
      </c>
      <c r="M151">
        <v>96</v>
      </c>
      <c r="N151">
        <v>96</v>
      </c>
      <c r="O151">
        <v>96</v>
      </c>
      <c r="P151">
        <v>0</v>
      </c>
      <c r="Q151" t="s">
        <v>55</v>
      </c>
      <c r="R151">
        <v>1.00005717818276E+16</v>
      </c>
      <c r="S151">
        <v>100002196</v>
      </c>
      <c r="T151">
        <v>1.00005717818276E+16</v>
      </c>
      <c r="U151">
        <v>100002196</v>
      </c>
      <c r="V151" t="s">
        <v>63</v>
      </c>
      <c r="W151">
        <v>7</v>
      </c>
      <c r="X151">
        <v>11365192</v>
      </c>
      <c r="Y151">
        <v>110713350</v>
      </c>
      <c r="Z151">
        <v>122078542</v>
      </c>
      <c r="AA151">
        <v>100002196</v>
      </c>
      <c r="AB151">
        <v>10.741400000000001</v>
      </c>
      <c r="AC151">
        <v>0.90325299999999997</v>
      </c>
      <c r="AD151">
        <v>4.0071199999999996</v>
      </c>
      <c r="AE151">
        <v>2680666880</v>
      </c>
      <c r="AF151" t="s">
        <v>631</v>
      </c>
      <c r="AG151" t="s">
        <v>632</v>
      </c>
      <c r="AH151">
        <v>84748</v>
      </c>
      <c r="AI151">
        <v>82700</v>
      </c>
      <c r="AJ151">
        <v>5746470131300</v>
      </c>
      <c r="AK151">
        <v>183151319573</v>
      </c>
      <c r="AL151">
        <v>1673287640</v>
      </c>
      <c r="AM151">
        <v>326052940794</v>
      </c>
      <c r="AN151">
        <v>260544251624</v>
      </c>
      <c r="AO151">
        <v>85804026210</v>
      </c>
      <c r="AP151">
        <v>4062637850</v>
      </c>
      <c r="AQ151">
        <v>0</v>
      </c>
      <c r="AR151">
        <v>451405575</v>
      </c>
      <c r="AS151">
        <v>4062637850</v>
      </c>
      <c r="AT151">
        <v>4514043425</v>
      </c>
      <c r="AU151">
        <v>67710630</v>
      </c>
      <c r="AV151">
        <v>0</v>
      </c>
      <c r="AW151">
        <v>7523426</v>
      </c>
      <c r="AX151">
        <v>67710630</v>
      </c>
      <c r="AY151">
        <v>75234057</v>
      </c>
      <c r="AZ151">
        <v>22.139399999999998</v>
      </c>
      <c r="BA151">
        <v>10.863300000000001</v>
      </c>
      <c r="BB151">
        <v>3375.09</v>
      </c>
      <c r="BC151">
        <v>2490.94</v>
      </c>
      <c r="BD151">
        <v>13171</v>
      </c>
      <c r="BE151">
        <v>1133</v>
      </c>
      <c r="BF151">
        <f t="shared" si="35"/>
        <v>59.859063867708329</v>
      </c>
      <c r="BG151" s="31">
        <f t="shared" si="36"/>
        <v>8.9294356858437496</v>
      </c>
      <c r="BH151">
        <f t="shared" si="37"/>
        <v>9</v>
      </c>
      <c r="BI151">
        <f t="shared" si="38"/>
        <v>89165</v>
      </c>
      <c r="BJ151">
        <f t="shared" si="39"/>
        <v>3551694</v>
      </c>
      <c r="BK151">
        <f t="shared" si="40"/>
        <v>35979212</v>
      </c>
      <c r="BL151">
        <f t="shared" si="41"/>
        <v>6052092</v>
      </c>
      <c r="BM151">
        <f t="shared" si="42"/>
        <v>0</v>
      </c>
      <c r="BN151" t="str">
        <f t="shared" si="33"/>
        <v>u=10%, k=2x10^8</v>
      </c>
      <c r="BO151" t="str">
        <f t="shared" si="34"/>
        <v>u=10%, k=2x10^8, collaborative</v>
      </c>
      <c r="BP151">
        <f t="shared" si="43"/>
        <v>1.9078262455520834</v>
      </c>
      <c r="BQ151">
        <f t="shared" si="45"/>
        <v>1.7430079583333334E-2</v>
      </c>
      <c r="BR151">
        <f t="shared" si="46"/>
        <v>3.3963847999375001</v>
      </c>
      <c r="BS151">
        <f t="shared" si="47"/>
        <v>2.7140026210833335</v>
      </c>
      <c r="BT151">
        <f t="shared" si="48"/>
        <v>0.89379193968750004</v>
      </c>
      <c r="BU151">
        <f t="shared" si="44"/>
        <v>50.92962818186458</v>
      </c>
    </row>
    <row r="152" spans="1:73">
      <c r="A152" t="s">
        <v>248</v>
      </c>
      <c r="B152" t="s">
        <v>158</v>
      </c>
      <c r="C152">
        <v>72</v>
      </c>
      <c r="D152" t="s">
        <v>56</v>
      </c>
      <c r="E152" t="s">
        <v>53</v>
      </c>
      <c r="F152" t="s">
        <v>54</v>
      </c>
      <c r="G152">
        <v>60000</v>
      </c>
      <c r="H152">
        <v>5</v>
      </c>
      <c r="I152">
        <v>5</v>
      </c>
      <c r="J152">
        <v>0</v>
      </c>
      <c r="K152">
        <v>1</v>
      </c>
      <c r="L152">
        <v>200000000</v>
      </c>
      <c r="M152">
        <v>144</v>
      </c>
      <c r="N152">
        <v>144</v>
      </c>
      <c r="O152">
        <v>144</v>
      </c>
      <c r="P152">
        <v>0</v>
      </c>
      <c r="Q152" t="s">
        <v>55</v>
      </c>
      <c r="R152">
        <v>9998722617140980</v>
      </c>
      <c r="S152">
        <v>99986641</v>
      </c>
      <c r="T152">
        <v>9998722617140980</v>
      </c>
      <c r="U152">
        <v>99986641</v>
      </c>
      <c r="V152" t="s">
        <v>63</v>
      </c>
      <c r="W152">
        <v>7</v>
      </c>
      <c r="X152">
        <v>11374190</v>
      </c>
      <c r="Y152">
        <v>110715434</v>
      </c>
      <c r="Z152">
        <v>122089624</v>
      </c>
      <c r="AA152">
        <v>99986641</v>
      </c>
      <c r="AB152">
        <v>10.7339</v>
      </c>
      <c r="AC152">
        <v>0.90309600000000001</v>
      </c>
      <c r="AD152">
        <v>4.00732</v>
      </c>
      <c r="AE152">
        <v>2681422928</v>
      </c>
      <c r="AF152" t="s">
        <v>633</v>
      </c>
      <c r="AG152" t="s">
        <v>634</v>
      </c>
      <c r="AH152">
        <v>174876</v>
      </c>
      <c r="AI152">
        <v>48374</v>
      </c>
      <c r="AJ152">
        <v>8619785344950</v>
      </c>
      <c r="AK152">
        <v>266094236719</v>
      </c>
      <c r="AL152">
        <v>5278433137</v>
      </c>
      <c r="AM152">
        <v>580813233290</v>
      </c>
      <c r="AN152">
        <v>482900189614</v>
      </c>
      <c r="AO152">
        <v>135232131828</v>
      </c>
      <c r="AP152">
        <v>5863672923</v>
      </c>
      <c r="AQ152">
        <v>0</v>
      </c>
      <c r="AR152">
        <v>651501740</v>
      </c>
      <c r="AS152">
        <v>5863672923</v>
      </c>
      <c r="AT152">
        <v>6515174663</v>
      </c>
      <c r="AU152">
        <v>97727882</v>
      </c>
      <c r="AV152">
        <v>0</v>
      </c>
      <c r="AW152">
        <v>10858362</v>
      </c>
      <c r="AX152">
        <v>97727882</v>
      </c>
      <c r="AY152">
        <v>108586244</v>
      </c>
      <c r="AZ152">
        <v>22.2529</v>
      </c>
      <c r="BA152">
        <v>11.1845</v>
      </c>
      <c r="BB152">
        <v>3435.51</v>
      </c>
      <c r="BC152">
        <v>2542.66</v>
      </c>
      <c r="BD152">
        <v>14045</v>
      </c>
      <c r="BE152">
        <v>1113</v>
      </c>
      <c r="BF152">
        <f t="shared" si="35"/>
        <v>59.859620451041664</v>
      </c>
      <c r="BG152" s="31">
        <f t="shared" si="36"/>
        <v>10.210543226305555</v>
      </c>
      <c r="BH152">
        <f t="shared" si="37"/>
        <v>13</v>
      </c>
      <c r="BI152">
        <f t="shared" si="38"/>
        <v>129958</v>
      </c>
      <c r="BJ152">
        <f t="shared" si="39"/>
        <v>4547516</v>
      </c>
      <c r="BK152">
        <f t="shared" si="40"/>
        <v>50694495</v>
      </c>
      <c r="BL152">
        <f t="shared" si="41"/>
        <v>8666327</v>
      </c>
      <c r="BM152">
        <f t="shared" si="42"/>
        <v>0</v>
      </c>
      <c r="BN152" t="str">
        <f t="shared" si="33"/>
        <v>u=10%, k=2x10^8</v>
      </c>
      <c r="BO152" t="str">
        <f t="shared" si="34"/>
        <v>u=10%, k=2x10^8, collaborative</v>
      </c>
      <c r="BP152">
        <f t="shared" si="43"/>
        <v>1.8478766438819443</v>
      </c>
      <c r="BQ152">
        <f t="shared" si="45"/>
        <v>3.6655785673611115E-2</v>
      </c>
      <c r="BR152">
        <f t="shared" si="46"/>
        <v>4.033425231180555</v>
      </c>
      <c r="BS152">
        <f t="shared" si="47"/>
        <v>3.353473538986111</v>
      </c>
      <c r="BT152">
        <f t="shared" si="48"/>
        <v>0.93911202658333337</v>
      </c>
      <c r="BU152">
        <f t="shared" si="44"/>
        <v>49.649077224736111</v>
      </c>
    </row>
    <row r="153" spans="1:73">
      <c r="A153" t="s">
        <v>249</v>
      </c>
      <c r="B153" t="s">
        <v>158</v>
      </c>
      <c r="C153">
        <v>72</v>
      </c>
      <c r="D153" t="s">
        <v>56</v>
      </c>
      <c r="E153" t="s">
        <v>53</v>
      </c>
      <c r="F153" t="s">
        <v>54</v>
      </c>
      <c r="G153">
        <v>60000</v>
      </c>
      <c r="H153">
        <v>5</v>
      </c>
      <c r="I153">
        <v>5</v>
      </c>
      <c r="J153">
        <v>0</v>
      </c>
      <c r="K153">
        <v>1</v>
      </c>
      <c r="L153">
        <v>200000000</v>
      </c>
      <c r="M153">
        <v>190</v>
      </c>
      <c r="N153">
        <v>190</v>
      </c>
      <c r="O153">
        <v>190</v>
      </c>
      <c r="P153">
        <v>0</v>
      </c>
      <c r="Q153" t="s">
        <v>55</v>
      </c>
      <c r="R153">
        <v>9999556226317490</v>
      </c>
      <c r="S153">
        <v>99996075</v>
      </c>
      <c r="T153">
        <v>9999556226317490</v>
      </c>
      <c r="U153">
        <v>99996075</v>
      </c>
      <c r="V153" t="s">
        <v>63</v>
      </c>
      <c r="W153">
        <v>7</v>
      </c>
      <c r="X153">
        <v>14904084</v>
      </c>
      <c r="Y153">
        <v>118191056</v>
      </c>
      <c r="Z153">
        <v>133095140</v>
      </c>
      <c r="AA153">
        <v>99996075</v>
      </c>
      <c r="AB153">
        <v>8.9301100000000009</v>
      </c>
      <c r="AC153">
        <v>0.846055</v>
      </c>
      <c r="AD153">
        <v>4.0808099999999996</v>
      </c>
      <c r="AE153">
        <v>3087717216</v>
      </c>
      <c r="AF153" t="s">
        <v>635</v>
      </c>
      <c r="AG153" t="s">
        <v>636</v>
      </c>
      <c r="AH153">
        <v>272246</v>
      </c>
      <c r="AI153">
        <v>34796</v>
      </c>
      <c r="AJ153">
        <v>11373072571531</v>
      </c>
      <c r="AK153">
        <v>338691625071</v>
      </c>
      <c r="AL153">
        <v>11869692657</v>
      </c>
      <c r="AM153">
        <v>822961300180</v>
      </c>
      <c r="AN153">
        <v>724466718690</v>
      </c>
      <c r="AO153">
        <v>182699678628</v>
      </c>
      <c r="AP153">
        <v>7523689915</v>
      </c>
      <c r="AQ153">
        <v>0</v>
      </c>
      <c r="AR153">
        <v>835964135</v>
      </c>
      <c r="AS153">
        <v>7523689915</v>
      </c>
      <c r="AT153">
        <v>8359654050</v>
      </c>
      <c r="AU153">
        <v>125394831</v>
      </c>
      <c r="AV153">
        <v>0</v>
      </c>
      <c r="AW153">
        <v>13932735</v>
      </c>
      <c r="AX153">
        <v>125394831</v>
      </c>
      <c r="AY153">
        <v>139327567</v>
      </c>
      <c r="AZ153">
        <v>22.237100000000002</v>
      </c>
      <c r="BA153">
        <v>11.3439</v>
      </c>
      <c r="BB153">
        <v>3486.73</v>
      </c>
      <c r="BC153">
        <v>2603.6999999999998</v>
      </c>
      <c r="BD153">
        <v>14280</v>
      </c>
      <c r="BE153">
        <v>1130</v>
      </c>
      <c r="BF153">
        <f t="shared" si="35"/>
        <v>59.858276692268419</v>
      </c>
      <c r="BG153" s="31">
        <f t="shared" si="36"/>
        <v>10.950994816978946</v>
      </c>
      <c r="BH153">
        <f t="shared" si="37"/>
        <v>16</v>
      </c>
      <c r="BI153">
        <f t="shared" si="38"/>
        <v>159967</v>
      </c>
      <c r="BJ153">
        <f t="shared" si="39"/>
        <v>5581261</v>
      </c>
      <c r="BK153">
        <f t="shared" si="40"/>
        <v>64975655</v>
      </c>
      <c r="BL153">
        <f t="shared" si="41"/>
        <v>11173036</v>
      </c>
      <c r="BM153">
        <f t="shared" si="42"/>
        <v>0</v>
      </c>
      <c r="BN153" t="str">
        <f t="shared" si="33"/>
        <v>u=10%, k=2x10^8</v>
      </c>
      <c r="BO153" t="str">
        <f t="shared" si="34"/>
        <v>u=10%, k=2x10^8, collaborative</v>
      </c>
      <c r="BP153">
        <f t="shared" si="43"/>
        <v>1.7825875003736842</v>
      </c>
      <c r="BQ153">
        <f t="shared" si="45"/>
        <v>6.2472066615789475E-2</v>
      </c>
      <c r="BR153">
        <f t="shared" si="46"/>
        <v>4.3313752641052634</v>
      </c>
      <c r="BS153">
        <f t="shared" si="47"/>
        <v>3.8129827299473682</v>
      </c>
      <c r="BT153">
        <f t="shared" si="48"/>
        <v>0.96157725593684207</v>
      </c>
      <c r="BU153">
        <f t="shared" si="44"/>
        <v>48.90728187528947</v>
      </c>
    </row>
    <row r="154" spans="1:73">
      <c r="A154" t="s">
        <v>250</v>
      </c>
      <c r="B154" t="s">
        <v>158</v>
      </c>
      <c r="C154">
        <v>72</v>
      </c>
      <c r="D154" t="s">
        <v>56</v>
      </c>
      <c r="E154" t="s">
        <v>53</v>
      </c>
      <c r="F154" t="s">
        <v>54</v>
      </c>
      <c r="G154">
        <v>60000</v>
      </c>
      <c r="H154">
        <v>5</v>
      </c>
      <c r="I154">
        <v>5</v>
      </c>
      <c r="J154">
        <v>0</v>
      </c>
      <c r="K154">
        <v>1</v>
      </c>
      <c r="L154">
        <v>2000000000</v>
      </c>
      <c r="M154">
        <v>24</v>
      </c>
      <c r="N154">
        <v>24</v>
      </c>
      <c r="O154">
        <v>24</v>
      </c>
      <c r="P154">
        <v>0</v>
      </c>
      <c r="Q154" t="s">
        <v>55</v>
      </c>
      <c r="R154">
        <v>9.9997940331075098E+17</v>
      </c>
      <c r="S154">
        <v>1000007878</v>
      </c>
      <c r="T154">
        <v>9.9997940331075098E+17</v>
      </c>
      <c r="U154">
        <v>1000007878</v>
      </c>
      <c r="V154" t="s">
        <v>63</v>
      </c>
      <c r="W154">
        <v>7</v>
      </c>
      <c r="X154">
        <v>107508620</v>
      </c>
      <c r="Y154">
        <v>1125590751</v>
      </c>
      <c r="Z154">
        <v>1233099371</v>
      </c>
      <c r="AA154">
        <v>1000007878</v>
      </c>
      <c r="AB154">
        <v>11.469799999999999</v>
      </c>
      <c r="AC154">
        <v>0.88842900000000002</v>
      </c>
      <c r="AD154">
        <v>4.0475500000000002</v>
      </c>
      <c r="AE154">
        <v>26626088416</v>
      </c>
      <c r="AF154" t="s">
        <v>637</v>
      </c>
      <c r="AG154" t="s">
        <v>637</v>
      </c>
      <c r="AI154">
        <v>389594</v>
      </c>
      <c r="AJ154">
        <v>1436562419606</v>
      </c>
      <c r="AK154">
        <v>868230825</v>
      </c>
      <c r="AM154">
        <v>1754042937</v>
      </c>
      <c r="AN154">
        <v>2067308039</v>
      </c>
      <c r="AO154">
        <v>255090339</v>
      </c>
      <c r="AP154">
        <v>948696938</v>
      </c>
      <c r="AQ154">
        <v>0</v>
      </c>
      <c r="AR154">
        <v>105411896</v>
      </c>
      <c r="AS154">
        <v>948696938</v>
      </c>
      <c r="AT154">
        <v>1054108834</v>
      </c>
      <c r="AU154">
        <v>15811615</v>
      </c>
      <c r="AV154">
        <v>0</v>
      </c>
      <c r="AW154">
        <v>1756864</v>
      </c>
      <c r="AX154">
        <v>15811615</v>
      </c>
      <c r="AY154">
        <v>17568480</v>
      </c>
      <c r="AZ154">
        <v>22.913399999999999</v>
      </c>
      <c r="BA154">
        <v>13.5014</v>
      </c>
      <c r="BB154">
        <v>3801.89</v>
      </c>
      <c r="BC154">
        <v>3041.25</v>
      </c>
      <c r="BD154">
        <v>61812</v>
      </c>
      <c r="BE154">
        <v>16228</v>
      </c>
      <c r="BF154">
        <f t="shared" si="35"/>
        <v>59.856767483583333</v>
      </c>
      <c r="BG154" s="31">
        <f t="shared" si="36"/>
        <v>0.20602800583333333</v>
      </c>
      <c r="BH154">
        <f t="shared" si="37"/>
        <v>0</v>
      </c>
      <c r="BI154">
        <f t="shared" si="38"/>
        <v>0</v>
      </c>
      <c r="BJ154">
        <f t="shared" si="39"/>
        <v>0</v>
      </c>
      <c r="BK154">
        <f t="shared" si="40"/>
        <v>1029014</v>
      </c>
      <c r="BL154">
        <f t="shared" si="41"/>
        <v>1107891</v>
      </c>
      <c r="BM154">
        <f t="shared" si="42"/>
        <v>0</v>
      </c>
      <c r="BN154" t="str">
        <f t="shared" si="33"/>
        <v>u=10%, k=2x10^9</v>
      </c>
      <c r="BO154" t="str">
        <f t="shared" si="34"/>
        <v>u=10%, k=2x10^9, collaborative</v>
      </c>
      <c r="BP154">
        <f t="shared" si="43"/>
        <v>3.6176284374999999E-2</v>
      </c>
      <c r="BQ154">
        <f t="shared" si="45"/>
        <v>0</v>
      </c>
      <c r="BR154">
        <f t="shared" si="46"/>
        <v>7.3085122374999992E-2</v>
      </c>
      <c r="BS154">
        <f t="shared" si="47"/>
        <v>8.6137834958333326E-2</v>
      </c>
      <c r="BT154">
        <f t="shared" si="48"/>
        <v>1.0628764125000001E-2</v>
      </c>
      <c r="BU154">
        <f t="shared" si="44"/>
        <v>59.650739477750001</v>
      </c>
    </row>
    <row r="155" spans="1:73">
      <c r="A155" t="s">
        <v>251</v>
      </c>
      <c r="B155" t="s">
        <v>158</v>
      </c>
      <c r="C155">
        <v>72</v>
      </c>
      <c r="D155" t="s">
        <v>56</v>
      </c>
      <c r="E155" t="s">
        <v>53</v>
      </c>
      <c r="F155" t="s">
        <v>54</v>
      </c>
      <c r="G155">
        <v>60000</v>
      </c>
      <c r="H155">
        <v>5</v>
      </c>
      <c r="I155">
        <v>5</v>
      </c>
      <c r="J155">
        <v>0</v>
      </c>
      <c r="K155">
        <v>1</v>
      </c>
      <c r="L155">
        <v>2000000000</v>
      </c>
      <c r="M155">
        <v>48</v>
      </c>
      <c r="N155">
        <v>48</v>
      </c>
      <c r="O155">
        <v>48</v>
      </c>
      <c r="P155">
        <v>0</v>
      </c>
      <c r="Q155" t="s">
        <v>55</v>
      </c>
      <c r="R155">
        <v>1.00002098021763E+18</v>
      </c>
      <c r="S155">
        <v>1000006436</v>
      </c>
      <c r="T155">
        <v>1.00002098021763E+18</v>
      </c>
      <c r="U155">
        <v>1000006436</v>
      </c>
      <c r="V155" t="s">
        <v>63</v>
      </c>
      <c r="W155">
        <v>7</v>
      </c>
      <c r="X155">
        <v>119372497</v>
      </c>
      <c r="Y155">
        <v>1150648594</v>
      </c>
      <c r="Z155">
        <v>1270021091</v>
      </c>
      <c r="AA155">
        <v>1000006436</v>
      </c>
      <c r="AB155">
        <v>10.639099999999999</v>
      </c>
      <c r="AC155">
        <v>0.86908099999999999</v>
      </c>
      <c r="AD155">
        <v>4.0731599999999997</v>
      </c>
      <c r="AE155">
        <v>27996863184</v>
      </c>
      <c r="AF155" t="s">
        <v>638</v>
      </c>
      <c r="AG155" t="s">
        <v>638</v>
      </c>
      <c r="AI155">
        <v>171620</v>
      </c>
      <c r="AJ155">
        <v>2873119610671</v>
      </c>
      <c r="AK155">
        <v>5183497533</v>
      </c>
      <c r="AM155">
        <v>9153604647</v>
      </c>
      <c r="AN155">
        <v>9200410946</v>
      </c>
      <c r="AO155">
        <v>1883078425</v>
      </c>
      <c r="AP155">
        <v>1701115189</v>
      </c>
      <c r="AQ155">
        <v>0</v>
      </c>
      <c r="AR155">
        <v>189004262</v>
      </c>
      <c r="AS155">
        <v>1701115189</v>
      </c>
      <c r="AT155">
        <v>1890119451</v>
      </c>
      <c r="AU155">
        <v>28351919</v>
      </c>
      <c r="AV155">
        <v>0</v>
      </c>
      <c r="AW155">
        <v>3150071</v>
      </c>
      <c r="AX155">
        <v>28351919</v>
      </c>
      <c r="AY155">
        <v>31501990</v>
      </c>
      <c r="AZ155">
        <v>23.1525</v>
      </c>
      <c r="BA155">
        <v>13.710900000000001</v>
      </c>
      <c r="BB155">
        <v>4239.6499999999996</v>
      </c>
      <c r="BC155">
        <v>3534.2</v>
      </c>
      <c r="BD155">
        <v>63670</v>
      </c>
      <c r="BE155">
        <v>12518</v>
      </c>
      <c r="BF155">
        <f t="shared" si="35"/>
        <v>59.856658555645829</v>
      </c>
      <c r="BG155" s="31">
        <f t="shared" si="36"/>
        <v>0.52959565731250002</v>
      </c>
      <c r="BH155">
        <f t="shared" si="37"/>
        <v>0</v>
      </c>
      <c r="BI155">
        <f t="shared" si="38"/>
        <v>0</v>
      </c>
      <c r="BJ155">
        <f t="shared" si="39"/>
        <v>0</v>
      </c>
      <c r="BK155">
        <f t="shared" si="40"/>
        <v>4905413</v>
      </c>
      <c r="BL155">
        <f t="shared" si="41"/>
        <v>2908241</v>
      </c>
      <c r="BM155">
        <f t="shared" si="42"/>
        <v>0</v>
      </c>
      <c r="BN155" t="str">
        <f t="shared" si="33"/>
        <v>u=10%, k=2x10^9</v>
      </c>
      <c r="BO155" t="str">
        <f t="shared" si="34"/>
        <v>u=10%, k=2x10^9, collaborative</v>
      </c>
      <c r="BP155">
        <f t="shared" si="43"/>
        <v>0.10798953193749999</v>
      </c>
      <c r="BQ155">
        <f t="shared" si="45"/>
        <v>0</v>
      </c>
      <c r="BR155">
        <f t="shared" si="46"/>
        <v>0.1907000968125</v>
      </c>
      <c r="BS155">
        <f t="shared" si="47"/>
        <v>0.19167522804166667</v>
      </c>
      <c r="BT155">
        <f t="shared" si="48"/>
        <v>3.9230800520833331E-2</v>
      </c>
      <c r="BU155">
        <f t="shared" si="44"/>
        <v>59.327062898333331</v>
      </c>
    </row>
    <row r="156" spans="1:73">
      <c r="A156" t="s">
        <v>252</v>
      </c>
      <c r="B156" t="s">
        <v>158</v>
      </c>
      <c r="C156">
        <v>72</v>
      </c>
      <c r="D156" t="s">
        <v>56</v>
      </c>
      <c r="E156" t="s">
        <v>53</v>
      </c>
      <c r="F156" t="s">
        <v>54</v>
      </c>
      <c r="G156">
        <v>60000</v>
      </c>
      <c r="H156">
        <v>5</v>
      </c>
      <c r="I156">
        <v>5</v>
      </c>
      <c r="J156">
        <v>0</v>
      </c>
      <c r="K156">
        <v>1</v>
      </c>
      <c r="L156">
        <v>2000000000</v>
      </c>
      <c r="M156">
        <v>96</v>
      </c>
      <c r="N156">
        <v>96</v>
      </c>
      <c r="O156">
        <v>96</v>
      </c>
      <c r="P156">
        <v>0</v>
      </c>
      <c r="Q156" t="s">
        <v>55</v>
      </c>
      <c r="R156">
        <v>9.9997880648783104E+17</v>
      </c>
      <c r="S156">
        <v>1000000850</v>
      </c>
      <c r="T156">
        <v>9.9997880648783104E+17</v>
      </c>
      <c r="U156">
        <v>1000000850</v>
      </c>
      <c r="V156" t="s">
        <v>63</v>
      </c>
      <c r="W156">
        <v>7</v>
      </c>
      <c r="X156">
        <v>126398331</v>
      </c>
      <c r="Y156">
        <v>1167598966</v>
      </c>
      <c r="Z156">
        <v>1293997297</v>
      </c>
      <c r="AA156">
        <v>1000000850</v>
      </c>
      <c r="AB156">
        <v>10.237500000000001</v>
      </c>
      <c r="AC156">
        <v>0.85645899999999997</v>
      </c>
      <c r="AD156">
        <v>4.0895999999999999</v>
      </c>
      <c r="AE156">
        <v>28858099920</v>
      </c>
      <c r="AF156" t="s">
        <v>639</v>
      </c>
      <c r="AG156" t="s">
        <v>640</v>
      </c>
      <c r="AH156">
        <v>12</v>
      </c>
      <c r="AI156">
        <v>89816</v>
      </c>
      <c r="AJ156">
        <v>5746213596376</v>
      </c>
      <c r="AK156">
        <v>31553944464</v>
      </c>
      <c r="AL156">
        <v>21408</v>
      </c>
      <c r="AM156">
        <v>45503184845</v>
      </c>
      <c r="AN156">
        <v>40895311883</v>
      </c>
      <c r="AO156">
        <v>10727459300</v>
      </c>
      <c r="AP156">
        <v>3585242282</v>
      </c>
      <c r="AQ156">
        <v>0</v>
      </c>
      <c r="AR156">
        <v>398362188</v>
      </c>
      <c r="AS156">
        <v>3585242282</v>
      </c>
      <c r="AT156">
        <v>3983604470</v>
      </c>
      <c r="AU156">
        <v>59754038</v>
      </c>
      <c r="AV156">
        <v>0</v>
      </c>
      <c r="AW156">
        <v>6639369</v>
      </c>
      <c r="AX156">
        <v>59754038</v>
      </c>
      <c r="AY156">
        <v>66393407</v>
      </c>
      <c r="AZ156">
        <v>23.62</v>
      </c>
      <c r="BA156">
        <v>14.7098</v>
      </c>
      <c r="BB156">
        <v>4019.38</v>
      </c>
      <c r="BC156">
        <v>3251.26</v>
      </c>
      <c r="BD156">
        <v>66639</v>
      </c>
      <c r="BE156">
        <v>9623</v>
      </c>
      <c r="BF156">
        <f t="shared" si="35"/>
        <v>59.856391628916668</v>
      </c>
      <c r="BG156" s="31">
        <f t="shared" si="36"/>
        <v>1.3404158531250001</v>
      </c>
      <c r="BH156">
        <f t="shared" si="37"/>
        <v>0</v>
      </c>
      <c r="BI156">
        <f t="shared" si="38"/>
        <v>0</v>
      </c>
      <c r="BJ156">
        <f t="shared" si="39"/>
        <v>430406</v>
      </c>
      <c r="BK156">
        <f t="shared" si="40"/>
        <v>25624440</v>
      </c>
      <c r="BL156">
        <f t="shared" si="41"/>
        <v>7849873</v>
      </c>
      <c r="BM156">
        <f t="shared" si="42"/>
        <v>0</v>
      </c>
      <c r="BN156" t="str">
        <f t="shared" si="33"/>
        <v>u=10%, k=2x10^9</v>
      </c>
      <c r="BO156" t="str">
        <f t="shared" si="34"/>
        <v>u=10%, k=2x10^9, collaborative</v>
      </c>
      <c r="BP156">
        <f t="shared" si="43"/>
        <v>0.32868692150000001</v>
      </c>
      <c r="BQ156">
        <f t="shared" si="45"/>
        <v>2.23E-7</v>
      </c>
      <c r="BR156">
        <f t="shared" si="46"/>
        <v>0.47399150880208335</v>
      </c>
      <c r="BS156">
        <f t="shared" si="47"/>
        <v>0.42599283211458333</v>
      </c>
      <c r="BT156">
        <f t="shared" si="48"/>
        <v>0.11174436770833333</v>
      </c>
      <c r="BU156">
        <f t="shared" si="44"/>
        <v>58.515975775791667</v>
      </c>
    </row>
    <row r="157" spans="1:73">
      <c r="A157" t="s">
        <v>253</v>
      </c>
      <c r="B157" t="s">
        <v>158</v>
      </c>
      <c r="C157">
        <v>72</v>
      </c>
      <c r="D157" t="s">
        <v>56</v>
      </c>
      <c r="E157" t="s">
        <v>53</v>
      </c>
      <c r="F157" t="s">
        <v>54</v>
      </c>
      <c r="G157">
        <v>60000</v>
      </c>
      <c r="H157">
        <v>5</v>
      </c>
      <c r="I157">
        <v>5</v>
      </c>
      <c r="J157">
        <v>0</v>
      </c>
      <c r="K157">
        <v>1</v>
      </c>
      <c r="L157">
        <v>2000000000</v>
      </c>
      <c r="M157">
        <v>144</v>
      </c>
      <c r="N157">
        <v>144</v>
      </c>
      <c r="O157">
        <v>144</v>
      </c>
      <c r="P157">
        <v>0</v>
      </c>
      <c r="Q157" t="s">
        <v>55</v>
      </c>
      <c r="R157">
        <v>9.9997966745083302E+17</v>
      </c>
      <c r="S157">
        <v>999972382</v>
      </c>
      <c r="T157">
        <v>9.9997966745083302E+17</v>
      </c>
      <c r="U157">
        <v>999972382</v>
      </c>
      <c r="V157" t="s">
        <v>63</v>
      </c>
      <c r="W157">
        <v>7</v>
      </c>
      <c r="X157">
        <v>87796389</v>
      </c>
      <c r="Y157">
        <v>1085451629</v>
      </c>
      <c r="Z157">
        <v>1173248018</v>
      </c>
      <c r="AA157">
        <v>999972382</v>
      </c>
      <c r="AB157">
        <v>13.363300000000001</v>
      </c>
      <c r="AC157">
        <v>0.92125000000000001</v>
      </c>
      <c r="AD157">
        <v>4.0067000000000004</v>
      </c>
      <c r="AE157">
        <v>24391290528</v>
      </c>
      <c r="AF157" t="s">
        <v>641</v>
      </c>
      <c r="AG157" t="s">
        <v>642</v>
      </c>
      <c r="AH157">
        <v>25782</v>
      </c>
      <c r="AI157">
        <v>48408</v>
      </c>
      <c r="AJ157">
        <v>8619431963119</v>
      </c>
      <c r="AK157">
        <v>187171629910</v>
      </c>
      <c r="AL157">
        <v>6784701992</v>
      </c>
      <c r="AM157">
        <v>695082413117</v>
      </c>
      <c r="AN157">
        <v>207524963187</v>
      </c>
      <c r="AO157">
        <v>106907095784</v>
      </c>
      <c r="AP157">
        <v>4621528052</v>
      </c>
      <c r="AQ157">
        <v>0</v>
      </c>
      <c r="AR157">
        <v>513473695</v>
      </c>
      <c r="AS157">
        <v>4621528052</v>
      </c>
      <c r="AT157">
        <v>5135001747</v>
      </c>
      <c r="AU157">
        <v>77025467</v>
      </c>
      <c r="AV157">
        <v>0</v>
      </c>
      <c r="AW157">
        <v>8557894</v>
      </c>
      <c r="AX157">
        <v>77025467</v>
      </c>
      <c r="AY157">
        <v>85583362</v>
      </c>
      <c r="AZ157">
        <v>25.21</v>
      </c>
      <c r="BA157">
        <v>15.8931</v>
      </c>
      <c r="BB157">
        <v>4374.82</v>
      </c>
      <c r="BC157">
        <v>3538.8</v>
      </c>
      <c r="BD157">
        <v>102914</v>
      </c>
      <c r="BE157">
        <v>9505</v>
      </c>
      <c r="BF157">
        <f t="shared" si="35"/>
        <v>59.857166410548608</v>
      </c>
      <c r="BG157" s="31">
        <f t="shared" si="36"/>
        <v>8.3574361388194447</v>
      </c>
      <c r="BH157">
        <f t="shared" si="37"/>
        <v>1</v>
      </c>
      <c r="BI157">
        <f t="shared" si="38"/>
        <v>31577</v>
      </c>
      <c r="BJ157">
        <f t="shared" si="39"/>
        <v>2160529</v>
      </c>
      <c r="BK157">
        <f t="shared" si="40"/>
        <v>33492010</v>
      </c>
      <c r="BL157">
        <f t="shared" si="41"/>
        <v>9461580</v>
      </c>
      <c r="BM157">
        <f t="shared" si="42"/>
        <v>0</v>
      </c>
      <c r="BN157" t="str">
        <f t="shared" si="33"/>
        <v>u=10%, k=2x10^9</v>
      </c>
      <c r="BO157" t="str">
        <f t="shared" si="34"/>
        <v>u=10%, k=2x10^9, collaborative</v>
      </c>
      <c r="BP157">
        <f t="shared" si="43"/>
        <v>1.2998029854861111</v>
      </c>
      <c r="BQ157">
        <f t="shared" si="45"/>
        <v>4.7115986055555552E-2</v>
      </c>
      <c r="BR157">
        <f t="shared" si="46"/>
        <v>4.8269612022013888</v>
      </c>
      <c r="BS157">
        <f t="shared" si="47"/>
        <v>1.4411455776875</v>
      </c>
      <c r="BT157">
        <f t="shared" si="48"/>
        <v>0.74241038738888898</v>
      </c>
      <c r="BU157">
        <f t="shared" si="44"/>
        <v>51.499730271729163</v>
      </c>
    </row>
    <row r="158" spans="1:73">
      <c r="A158" t="s">
        <v>254</v>
      </c>
      <c r="B158" t="s">
        <v>158</v>
      </c>
      <c r="C158">
        <v>72</v>
      </c>
      <c r="D158" t="s">
        <v>56</v>
      </c>
      <c r="E158" t="s">
        <v>53</v>
      </c>
      <c r="F158" t="s">
        <v>54</v>
      </c>
      <c r="G158">
        <v>60000</v>
      </c>
      <c r="H158">
        <v>5</v>
      </c>
      <c r="I158">
        <v>5</v>
      </c>
      <c r="J158">
        <v>0</v>
      </c>
      <c r="K158">
        <v>1</v>
      </c>
      <c r="L158">
        <v>2000000000</v>
      </c>
      <c r="M158">
        <v>190</v>
      </c>
      <c r="N158">
        <v>190</v>
      </c>
      <c r="O158">
        <v>190</v>
      </c>
      <c r="P158">
        <v>0</v>
      </c>
      <c r="Q158" t="s">
        <v>55</v>
      </c>
      <c r="R158">
        <v>1.00000797716625E+18</v>
      </c>
      <c r="S158">
        <v>1000013712</v>
      </c>
      <c r="T158">
        <v>1.00000797716625E+18</v>
      </c>
      <c r="U158">
        <v>1000013712</v>
      </c>
      <c r="V158" t="s">
        <v>63</v>
      </c>
      <c r="W158">
        <v>7</v>
      </c>
      <c r="X158">
        <v>116975881</v>
      </c>
      <c r="Y158">
        <v>1145491886</v>
      </c>
      <c r="Z158">
        <v>1262467767</v>
      </c>
      <c r="AA158">
        <v>1000013712</v>
      </c>
      <c r="AB158">
        <v>10.7925</v>
      </c>
      <c r="AC158">
        <v>0.87299899999999997</v>
      </c>
      <c r="AD158">
        <v>4.0679100000000004</v>
      </c>
      <c r="AE158">
        <v>27717568944</v>
      </c>
      <c r="AF158" t="s">
        <v>643</v>
      </c>
      <c r="AG158" t="s">
        <v>644</v>
      </c>
      <c r="AH158">
        <v>34524</v>
      </c>
      <c r="AI158">
        <v>34712</v>
      </c>
      <c r="AJ158">
        <v>11372731625447</v>
      </c>
      <c r="AK158">
        <v>240130983501</v>
      </c>
      <c r="AL158">
        <v>4303855199</v>
      </c>
      <c r="AM158">
        <v>737474592329</v>
      </c>
      <c r="AN158">
        <v>222597422303</v>
      </c>
      <c r="AO158">
        <v>346628435292</v>
      </c>
      <c r="AP158">
        <v>6013468420</v>
      </c>
      <c r="AQ158">
        <v>0</v>
      </c>
      <c r="AR158">
        <v>668170845</v>
      </c>
      <c r="AS158">
        <v>6013468420</v>
      </c>
      <c r="AT158">
        <v>6681639265</v>
      </c>
      <c r="AU158">
        <v>100224473</v>
      </c>
      <c r="AV158">
        <v>0</v>
      </c>
      <c r="AW158">
        <v>11136180</v>
      </c>
      <c r="AX158">
        <v>100224473</v>
      </c>
      <c r="AY158">
        <v>111360654</v>
      </c>
      <c r="AZ158">
        <v>24.833600000000001</v>
      </c>
      <c r="BA158">
        <v>15.7272</v>
      </c>
      <c r="BB158">
        <v>4488.93</v>
      </c>
      <c r="BC158">
        <v>3629.84</v>
      </c>
      <c r="BD158">
        <v>120101</v>
      </c>
      <c r="BE158">
        <v>9127</v>
      </c>
      <c r="BF158">
        <f t="shared" si="35"/>
        <v>59.85648223919474</v>
      </c>
      <c r="BG158" s="31">
        <f t="shared" si="36"/>
        <v>8.1638699401263146</v>
      </c>
      <c r="BH158">
        <f t="shared" si="37"/>
        <v>1</v>
      </c>
      <c r="BI158">
        <f t="shared" si="38"/>
        <v>31595</v>
      </c>
      <c r="BJ158">
        <f t="shared" si="39"/>
        <v>2148953</v>
      </c>
      <c r="BK158">
        <f t="shared" si="40"/>
        <v>37102573</v>
      </c>
      <c r="BL158">
        <f t="shared" si="41"/>
        <v>11860915</v>
      </c>
      <c r="BM158">
        <f t="shared" si="42"/>
        <v>0</v>
      </c>
      <c r="BN158" t="str">
        <f t="shared" si="33"/>
        <v>u=10%, k=2x10^9</v>
      </c>
      <c r="BO158" t="str">
        <f t="shared" si="34"/>
        <v>u=10%, k=2x10^9, collaborative</v>
      </c>
      <c r="BP158">
        <f t="shared" si="43"/>
        <v>1.2638472815842106</v>
      </c>
      <c r="BQ158">
        <f t="shared" si="45"/>
        <v>2.2651869468421054E-2</v>
      </c>
      <c r="BR158">
        <f t="shared" si="46"/>
        <v>3.8814452227842104</v>
      </c>
      <c r="BS158">
        <f t="shared" si="47"/>
        <v>1.1715653805421054</v>
      </c>
      <c r="BT158">
        <f t="shared" si="48"/>
        <v>1.8243601857473684</v>
      </c>
      <c r="BU158">
        <f t="shared" si="44"/>
        <v>51.692612299068422</v>
      </c>
    </row>
    <row r="159" spans="1:73">
      <c r="A159" t="s">
        <v>255</v>
      </c>
      <c r="B159" t="s">
        <v>158</v>
      </c>
      <c r="C159">
        <v>72</v>
      </c>
      <c r="D159" t="s">
        <v>56</v>
      </c>
      <c r="E159" t="s">
        <v>53</v>
      </c>
      <c r="F159" t="s">
        <v>54</v>
      </c>
      <c r="G159">
        <v>60000</v>
      </c>
      <c r="H159">
        <v>20</v>
      </c>
      <c r="I159">
        <v>20</v>
      </c>
      <c r="J159">
        <v>0</v>
      </c>
      <c r="K159">
        <v>1</v>
      </c>
      <c r="L159">
        <v>2000000</v>
      </c>
      <c r="M159">
        <v>24</v>
      </c>
      <c r="N159">
        <v>24</v>
      </c>
      <c r="O159">
        <v>24</v>
      </c>
      <c r="P159">
        <v>0</v>
      </c>
      <c r="Q159" t="s">
        <v>55</v>
      </c>
      <c r="R159">
        <v>1001080354429</v>
      </c>
      <c r="S159">
        <v>1000959</v>
      </c>
      <c r="T159">
        <v>1001080354429</v>
      </c>
      <c r="U159">
        <v>1000959</v>
      </c>
      <c r="V159" t="s">
        <v>63</v>
      </c>
      <c r="W159">
        <v>6</v>
      </c>
      <c r="X159">
        <v>57790</v>
      </c>
      <c r="Y159">
        <v>1082845</v>
      </c>
      <c r="Z159">
        <v>1140635</v>
      </c>
      <c r="AA159">
        <v>1000959</v>
      </c>
      <c r="AB159">
        <v>19.7376</v>
      </c>
      <c r="AC159">
        <v>0.92437899999999995</v>
      </c>
      <c r="AD159">
        <v>3.0514600000000001</v>
      </c>
      <c r="AE159">
        <v>21970064</v>
      </c>
      <c r="AF159" t="s">
        <v>645</v>
      </c>
      <c r="AG159" t="s">
        <v>646</v>
      </c>
      <c r="AH159">
        <v>917780</v>
      </c>
      <c r="AI159">
        <v>1040756</v>
      </c>
      <c r="AJ159">
        <v>1436556109410</v>
      </c>
      <c r="AK159">
        <v>93631202938</v>
      </c>
      <c r="AL159">
        <v>1090356641</v>
      </c>
      <c r="AM159">
        <v>109283623890</v>
      </c>
      <c r="AN159">
        <v>79536604121</v>
      </c>
      <c r="AO159">
        <v>44167050711</v>
      </c>
      <c r="AP159">
        <v>1530825808</v>
      </c>
      <c r="AQ159">
        <v>0</v>
      </c>
      <c r="AR159">
        <v>1020554409</v>
      </c>
      <c r="AS159">
        <v>1530825808</v>
      </c>
      <c r="AT159">
        <v>2551380217</v>
      </c>
      <c r="AU159">
        <v>25513763</v>
      </c>
      <c r="AV159">
        <v>0</v>
      </c>
      <c r="AW159">
        <v>17009240</v>
      </c>
      <c r="AX159">
        <v>25513763</v>
      </c>
      <c r="AY159">
        <v>42523003</v>
      </c>
      <c r="AZ159">
        <v>15.7201</v>
      </c>
      <c r="BA159">
        <v>1.0400100000000001</v>
      </c>
      <c r="BB159">
        <v>1572.59</v>
      </c>
      <c r="BC159">
        <v>618.55200000000002</v>
      </c>
      <c r="BD159">
        <v>1239</v>
      </c>
      <c r="BE159">
        <v>28</v>
      </c>
      <c r="BF159">
        <f t="shared" si="35"/>
        <v>59.856504558750004</v>
      </c>
      <c r="BG159" s="31">
        <f t="shared" si="36"/>
        <v>13.654534929208333</v>
      </c>
      <c r="BH159">
        <f t="shared" si="37"/>
        <v>2041</v>
      </c>
      <c r="BI159">
        <f t="shared" si="38"/>
        <v>1828347</v>
      </c>
      <c r="BJ159">
        <f t="shared" si="39"/>
        <v>26363312</v>
      </c>
      <c r="BK159">
        <f t="shared" si="40"/>
        <v>29536460</v>
      </c>
      <c r="BL159">
        <f t="shared" si="41"/>
        <v>0</v>
      </c>
      <c r="BM159">
        <f t="shared" si="42"/>
        <v>0</v>
      </c>
      <c r="BN159" t="str">
        <f t="shared" si="33"/>
        <v>u=40%, k=2x10^6</v>
      </c>
      <c r="BO159" t="str">
        <f t="shared" si="34"/>
        <v>u=40%, k=2x10^6, collaborative</v>
      </c>
      <c r="BP159">
        <f t="shared" si="43"/>
        <v>3.9013001224166666</v>
      </c>
      <c r="BQ159">
        <f t="shared" si="45"/>
        <v>4.5431526708333336E-2</v>
      </c>
      <c r="BR159">
        <f t="shared" si="46"/>
        <v>4.5534843287499998</v>
      </c>
      <c r="BS159">
        <f t="shared" si="47"/>
        <v>3.3140251717083333</v>
      </c>
      <c r="BT159">
        <f t="shared" si="48"/>
        <v>1.8402937796250001</v>
      </c>
      <c r="BU159">
        <f t="shared" si="44"/>
        <v>46.201969629541672</v>
      </c>
    </row>
    <row r="160" spans="1:73">
      <c r="A160" t="s">
        <v>256</v>
      </c>
      <c r="B160" t="s">
        <v>158</v>
      </c>
      <c r="C160">
        <v>72</v>
      </c>
      <c r="D160" t="s">
        <v>56</v>
      </c>
      <c r="E160" t="s">
        <v>53</v>
      </c>
      <c r="F160" t="s">
        <v>54</v>
      </c>
      <c r="G160">
        <v>60000</v>
      </c>
      <c r="H160">
        <v>20</v>
      </c>
      <c r="I160">
        <v>20</v>
      </c>
      <c r="J160">
        <v>0</v>
      </c>
      <c r="K160">
        <v>1</v>
      </c>
      <c r="L160">
        <v>2000000</v>
      </c>
      <c r="M160">
        <v>48</v>
      </c>
      <c r="N160">
        <v>48</v>
      </c>
      <c r="O160">
        <v>48</v>
      </c>
      <c r="P160">
        <v>0</v>
      </c>
      <c r="Q160" t="s">
        <v>55</v>
      </c>
      <c r="R160">
        <v>997850372488</v>
      </c>
      <c r="S160">
        <v>998354</v>
      </c>
      <c r="T160">
        <v>997850372488</v>
      </c>
      <c r="U160">
        <v>998354</v>
      </c>
      <c r="V160" t="s">
        <v>63</v>
      </c>
      <c r="W160">
        <v>6</v>
      </c>
      <c r="X160">
        <v>43269</v>
      </c>
      <c r="Y160">
        <v>1051176</v>
      </c>
      <c r="Z160">
        <v>1094445</v>
      </c>
      <c r="AA160">
        <v>998354</v>
      </c>
      <c r="AB160">
        <v>25.294</v>
      </c>
      <c r="AC160">
        <v>0.94974999999999998</v>
      </c>
      <c r="AD160">
        <v>3.0209299999999999</v>
      </c>
      <c r="AE160">
        <v>20284240</v>
      </c>
      <c r="AF160" t="s">
        <v>647</v>
      </c>
      <c r="AG160" t="s">
        <v>648</v>
      </c>
      <c r="AH160">
        <v>3695220</v>
      </c>
      <c r="AI160">
        <v>375500</v>
      </c>
      <c r="AJ160">
        <v>2873113319784</v>
      </c>
      <c r="AK160">
        <v>243572504298</v>
      </c>
      <c r="AL160">
        <v>5040125363</v>
      </c>
      <c r="AM160">
        <v>272085054916</v>
      </c>
      <c r="AN160">
        <v>151673490965</v>
      </c>
      <c r="AO160">
        <v>102719061807</v>
      </c>
      <c r="AP160">
        <v>2163855916</v>
      </c>
      <c r="AQ160">
        <v>0</v>
      </c>
      <c r="AR160">
        <v>1442646445</v>
      </c>
      <c r="AS160">
        <v>2163855916</v>
      </c>
      <c r="AT160">
        <v>3606502361</v>
      </c>
      <c r="AU160">
        <v>36064265</v>
      </c>
      <c r="AV160">
        <v>0</v>
      </c>
      <c r="AW160">
        <v>24044107</v>
      </c>
      <c r="AX160">
        <v>36064265</v>
      </c>
      <c r="AY160">
        <v>60108372</v>
      </c>
      <c r="AZ160">
        <v>16.214600000000001</v>
      </c>
      <c r="BA160">
        <v>1.52597</v>
      </c>
      <c r="BB160">
        <v>2176.7199999999998</v>
      </c>
      <c r="BC160">
        <v>1032.6500000000001</v>
      </c>
      <c r="BD160">
        <v>1303</v>
      </c>
      <c r="BE160">
        <v>33</v>
      </c>
      <c r="BF160">
        <f t="shared" si="35"/>
        <v>59.856527495499996</v>
      </c>
      <c r="BG160" s="31">
        <f t="shared" si="36"/>
        <v>16.147713278104167</v>
      </c>
      <c r="BH160">
        <f t="shared" si="37"/>
        <v>2886</v>
      </c>
      <c r="BI160">
        <f t="shared" si="38"/>
        <v>2844045</v>
      </c>
      <c r="BJ160">
        <f t="shared" si="39"/>
        <v>27027454</v>
      </c>
      <c r="BK160">
        <f t="shared" si="40"/>
        <v>39182867</v>
      </c>
      <c r="BL160">
        <f t="shared" si="41"/>
        <v>0</v>
      </c>
      <c r="BM160">
        <f t="shared" si="42"/>
        <v>0</v>
      </c>
      <c r="BN160" t="str">
        <f t="shared" si="33"/>
        <v>u=40%, k=2x10^6</v>
      </c>
      <c r="BO160" t="str">
        <f t="shared" si="34"/>
        <v>u=40%, k=2x10^6, collaborative</v>
      </c>
      <c r="BP160">
        <f t="shared" si="43"/>
        <v>5.0744271728750006</v>
      </c>
      <c r="BQ160">
        <f t="shared" si="45"/>
        <v>0.10500261172916665</v>
      </c>
      <c r="BR160">
        <f t="shared" si="46"/>
        <v>5.6684386440833334</v>
      </c>
      <c r="BS160">
        <f t="shared" si="47"/>
        <v>3.1598643951041669</v>
      </c>
      <c r="BT160">
        <f t="shared" si="48"/>
        <v>2.1399804543125001</v>
      </c>
      <c r="BU160">
        <f t="shared" si="44"/>
        <v>43.708814217395826</v>
      </c>
    </row>
    <row r="161" spans="1:73">
      <c r="A161" t="s">
        <v>257</v>
      </c>
      <c r="B161" t="s">
        <v>158</v>
      </c>
      <c r="C161">
        <v>72</v>
      </c>
      <c r="D161" t="s">
        <v>56</v>
      </c>
      <c r="E161" t="s">
        <v>53</v>
      </c>
      <c r="F161" t="s">
        <v>54</v>
      </c>
      <c r="G161">
        <v>60000</v>
      </c>
      <c r="H161">
        <v>20</v>
      </c>
      <c r="I161">
        <v>20</v>
      </c>
      <c r="J161">
        <v>0</v>
      </c>
      <c r="K161">
        <v>1</v>
      </c>
      <c r="L161">
        <v>2000000</v>
      </c>
      <c r="M161">
        <v>96</v>
      </c>
      <c r="N161">
        <v>96</v>
      </c>
      <c r="O161">
        <v>96</v>
      </c>
      <c r="P161">
        <v>0</v>
      </c>
      <c r="Q161" t="s">
        <v>55</v>
      </c>
      <c r="R161">
        <v>999659361968</v>
      </c>
      <c r="S161">
        <v>999154</v>
      </c>
      <c r="T161">
        <v>999659361968</v>
      </c>
      <c r="U161">
        <v>999154</v>
      </c>
      <c r="V161" t="s">
        <v>63</v>
      </c>
      <c r="W161">
        <v>6</v>
      </c>
      <c r="X161">
        <v>57128</v>
      </c>
      <c r="Y161">
        <v>1080087</v>
      </c>
      <c r="Z161">
        <v>1137215</v>
      </c>
      <c r="AA161">
        <v>999154</v>
      </c>
      <c r="AB161">
        <v>19.906400000000001</v>
      </c>
      <c r="AC161">
        <v>0.925068</v>
      </c>
      <c r="AD161">
        <v>3.0505800000000001</v>
      </c>
      <c r="AE161">
        <v>21876400</v>
      </c>
      <c r="AF161" t="s">
        <v>649</v>
      </c>
      <c r="AG161" t="s">
        <v>650</v>
      </c>
      <c r="AH161">
        <v>14891721</v>
      </c>
      <c r="AI161">
        <v>125180</v>
      </c>
      <c r="AJ161">
        <v>5746230306997</v>
      </c>
      <c r="AK161">
        <v>694008137346</v>
      </c>
      <c r="AL161">
        <v>26628691903</v>
      </c>
      <c r="AM161">
        <v>747676122727</v>
      </c>
      <c r="AN161">
        <v>309412508695</v>
      </c>
      <c r="AO161">
        <v>500244224167</v>
      </c>
      <c r="AP161">
        <v>2640817201</v>
      </c>
      <c r="AQ161">
        <v>0</v>
      </c>
      <c r="AR161">
        <v>1760474500</v>
      </c>
      <c r="AS161">
        <v>2640817201</v>
      </c>
      <c r="AT161">
        <v>4401291701</v>
      </c>
      <c r="AU161">
        <v>44013620</v>
      </c>
      <c r="AV161">
        <v>0</v>
      </c>
      <c r="AW161">
        <v>29341241</v>
      </c>
      <c r="AX161">
        <v>44013620</v>
      </c>
      <c r="AY161">
        <v>73354861</v>
      </c>
      <c r="AZ161">
        <v>19.410900000000002</v>
      </c>
      <c r="BA161">
        <v>6.0481400000000001</v>
      </c>
      <c r="BB161">
        <v>3642.33</v>
      </c>
      <c r="BC161">
        <v>2396.91</v>
      </c>
      <c r="BD161">
        <v>1445</v>
      </c>
      <c r="BE161">
        <v>165</v>
      </c>
      <c r="BF161">
        <f t="shared" si="35"/>
        <v>59.856565697885422</v>
      </c>
      <c r="BG161" s="31">
        <f t="shared" si="36"/>
        <v>23.728850883729166</v>
      </c>
      <c r="BH161">
        <f t="shared" si="37"/>
        <v>3522</v>
      </c>
      <c r="BI161">
        <f t="shared" si="38"/>
        <v>5477451</v>
      </c>
      <c r="BJ161">
        <f t="shared" si="39"/>
        <v>9557909</v>
      </c>
      <c r="BK161">
        <f t="shared" si="40"/>
        <v>40673790</v>
      </c>
      <c r="BL161">
        <f t="shared" si="41"/>
        <v>0</v>
      </c>
      <c r="BM161">
        <f t="shared" si="42"/>
        <v>0</v>
      </c>
      <c r="BN161" t="str">
        <f t="shared" si="33"/>
        <v>u=40%, k=2x10^6</v>
      </c>
      <c r="BO161" t="str">
        <f t="shared" si="34"/>
        <v>u=40%, k=2x10^6, collaborative</v>
      </c>
      <c r="BP161">
        <f t="shared" si="43"/>
        <v>7.2292514306875004</v>
      </c>
      <c r="BQ161">
        <f t="shared" si="45"/>
        <v>0.27738220732291669</v>
      </c>
      <c r="BR161">
        <f t="shared" si="46"/>
        <v>7.788292945072917</v>
      </c>
      <c r="BS161">
        <f t="shared" si="47"/>
        <v>3.2230469655729164</v>
      </c>
      <c r="BT161">
        <f t="shared" si="48"/>
        <v>5.2108773350729169</v>
      </c>
      <c r="BU161">
        <f t="shared" si="44"/>
        <v>36.127714814156256</v>
      </c>
    </row>
    <row r="162" spans="1:73">
      <c r="A162" t="s">
        <v>258</v>
      </c>
      <c r="B162" t="s">
        <v>158</v>
      </c>
      <c r="C162">
        <v>72</v>
      </c>
      <c r="D162" t="s">
        <v>56</v>
      </c>
      <c r="E162" t="s">
        <v>53</v>
      </c>
      <c r="F162" t="s">
        <v>54</v>
      </c>
      <c r="G162">
        <v>60000</v>
      </c>
      <c r="H162">
        <v>20</v>
      </c>
      <c r="I162">
        <v>20</v>
      </c>
      <c r="J162">
        <v>0</v>
      </c>
      <c r="K162">
        <v>1</v>
      </c>
      <c r="L162">
        <v>2000000</v>
      </c>
      <c r="M162">
        <v>144</v>
      </c>
      <c r="N162">
        <v>144</v>
      </c>
      <c r="O162">
        <v>144</v>
      </c>
      <c r="P162">
        <v>0</v>
      </c>
      <c r="Q162" t="s">
        <v>55</v>
      </c>
      <c r="R162">
        <v>999693700931</v>
      </c>
      <c r="S162">
        <v>999675</v>
      </c>
      <c r="T162">
        <v>999693700931</v>
      </c>
      <c r="U162">
        <v>999675</v>
      </c>
      <c r="V162" t="s">
        <v>63</v>
      </c>
      <c r="W162">
        <v>6</v>
      </c>
      <c r="X162">
        <v>51589</v>
      </c>
      <c r="Y162">
        <v>1069314</v>
      </c>
      <c r="Z162">
        <v>1120903</v>
      </c>
      <c r="AA162">
        <v>999675</v>
      </c>
      <c r="AB162">
        <v>21.727599999999999</v>
      </c>
      <c r="AC162">
        <v>0.93487500000000001</v>
      </c>
      <c r="AD162">
        <v>3.0386000000000002</v>
      </c>
      <c r="AE162">
        <v>21251408</v>
      </c>
      <c r="AF162" t="s">
        <v>651</v>
      </c>
      <c r="AG162" t="s">
        <v>652</v>
      </c>
      <c r="AH162">
        <v>36420651</v>
      </c>
      <c r="AI162">
        <v>61916</v>
      </c>
      <c r="AJ162">
        <v>8619353295963</v>
      </c>
      <c r="AK162">
        <v>1355650418417</v>
      </c>
      <c r="AL162">
        <v>68587540417</v>
      </c>
      <c r="AM162">
        <v>1503268077320</v>
      </c>
      <c r="AN162">
        <v>397898011939</v>
      </c>
      <c r="AO162">
        <v>1072136686540</v>
      </c>
      <c r="AP162">
        <v>2870576599</v>
      </c>
      <c r="AQ162">
        <v>0</v>
      </c>
      <c r="AR162">
        <v>1913674575</v>
      </c>
      <c r="AS162">
        <v>2870576599</v>
      </c>
      <c r="AT162">
        <v>4784251174</v>
      </c>
      <c r="AU162">
        <v>47842943</v>
      </c>
      <c r="AV162">
        <v>0</v>
      </c>
      <c r="AW162">
        <v>31894576</v>
      </c>
      <c r="AX162">
        <v>47842943</v>
      </c>
      <c r="AY162">
        <v>79737519</v>
      </c>
      <c r="AZ162">
        <v>24.317499999999999</v>
      </c>
      <c r="BA162">
        <v>10.4573</v>
      </c>
      <c r="BB162">
        <v>5026.6099999999997</v>
      </c>
      <c r="BC162">
        <v>3557.41</v>
      </c>
      <c r="BD162">
        <v>1653</v>
      </c>
      <c r="BE162">
        <v>153</v>
      </c>
      <c r="BF162">
        <f t="shared" si="35"/>
        <v>59.856620110854159</v>
      </c>
      <c r="BG162" s="31">
        <f t="shared" si="36"/>
        <v>30.538477323840279</v>
      </c>
      <c r="BH162">
        <f t="shared" si="37"/>
        <v>3829</v>
      </c>
      <c r="BI162">
        <f t="shared" si="38"/>
        <v>11082866</v>
      </c>
      <c r="BJ162">
        <f t="shared" si="39"/>
        <v>1998425</v>
      </c>
      <c r="BK162">
        <f t="shared" si="40"/>
        <v>31078783</v>
      </c>
      <c r="BL162">
        <f t="shared" si="41"/>
        <v>0</v>
      </c>
      <c r="BM162">
        <f t="shared" si="42"/>
        <v>0</v>
      </c>
      <c r="BN162" t="str">
        <f t="shared" si="33"/>
        <v>u=40%, k=2x10^6</v>
      </c>
      <c r="BO162" t="str">
        <f t="shared" si="34"/>
        <v>u=40%, k=2x10^6, collaborative</v>
      </c>
      <c r="BP162">
        <f t="shared" si="43"/>
        <v>9.4142390167847232</v>
      </c>
      <c r="BQ162">
        <f t="shared" si="45"/>
        <v>0.47630236400694442</v>
      </c>
      <c r="BR162">
        <f t="shared" si="46"/>
        <v>10.439361648055556</v>
      </c>
      <c r="BS162">
        <f t="shared" si="47"/>
        <v>2.7631806384652777</v>
      </c>
      <c r="BT162">
        <f t="shared" si="48"/>
        <v>7.4453936565277781</v>
      </c>
      <c r="BU162">
        <f t="shared" si="44"/>
        <v>29.31814278701388</v>
      </c>
    </row>
    <row r="163" spans="1:73">
      <c r="A163" t="s">
        <v>259</v>
      </c>
      <c r="B163" t="s">
        <v>158</v>
      </c>
      <c r="C163">
        <v>72</v>
      </c>
      <c r="D163" t="s">
        <v>56</v>
      </c>
      <c r="E163" t="s">
        <v>53</v>
      </c>
      <c r="F163" t="s">
        <v>54</v>
      </c>
      <c r="G163">
        <v>60000</v>
      </c>
      <c r="H163">
        <v>20</v>
      </c>
      <c r="I163">
        <v>20</v>
      </c>
      <c r="J163">
        <v>0</v>
      </c>
      <c r="K163">
        <v>1</v>
      </c>
      <c r="L163">
        <v>2000000</v>
      </c>
      <c r="M163">
        <v>190</v>
      </c>
      <c r="N163">
        <v>190</v>
      </c>
      <c r="O163">
        <v>190</v>
      </c>
      <c r="P163">
        <v>0</v>
      </c>
      <c r="Q163" t="s">
        <v>55</v>
      </c>
      <c r="R163">
        <v>998273778640</v>
      </c>
      <c r="S163">
        <v>998342</v>
      </c>
      <c r="T163">
        <v>998273778640</v>
      </c>
      <c r="U163">
        <v>998342</v>
      </c>
      <c r="V163" t="s">
        <v>63</v>
      </c>
      <c r="W163">
        <v>6</v>
      </c>
      <c r="X163">
        <v>58177</v>
      </c>
      <c r="Y163">
        <v>1081731</v>
      </c>
      <c r="Z163">
        <v>1139908</v>
      </c>
      <c r="AA163">
        <v>998342</v>
      </c>
      <c r="AB163">
        <v>19.593800000000002</v>
      </c>
      <c r="AC163">
        <v>0.92291199999999995</v>
      </c>
      <c r="AD163">
        <v>3.0529700000000002</v>
      </c>
      <c r="AE163">
        <v>21989360</v>
      </c>
      <c r="AF163" t="s">
        <v>653</v>
      </c>
      <c r="AG163" t="s">
        <v>654</v>
      </c>
      <c r="AH163">
        <v>49052317</v>
      </c>
      <c r="AI163">
        <v>40228</v>
      </c>
      <c r="AJ163">
        <v>11372754533594</v>
      </c>
      <c r="AK163">
        <v>1743329350264</v>
      </c>
      <c r="AL163">
        <v>106313501170</v>
      </c>
      <c r="AM163">
        <v>2018014691246</v>
      </c>
      <c r="AN163">
        <v>536642153849</v>
      </c>
      <c r="AO163">
        <v>1890064043508</v>
      </c>
      <c r="AP163">
        <v>3291196736</v>
      </c>
      <c r="AQ163">
        <v>0</v>
      </c>
      <c r="AR163">
        <v>2194171131</v>
      </c>
      <c r="AS163">
        <v>3291196736</v>
      </c>
      <c r="AT163">
        <v>5485367867</v>
      </c>
      <c r="AU163">
        <v>54853278</v>
      </c>
      <c r="AV163">
        <v>0</v>
      </c>
      <c r="AW163">
        <v>36569518</v>
      </c>
      <c r="AX163">
        <v>54853278</v>
      </c>
      <c r="AY163">
        <v>91422797</v>
      </c>
      <c r="AZ163">
        <v>24.829799999999999</v>
      </c>
      <c r="BA163">
        <v>11.6989</v>
      </c>
      <c r="BB163">
        <v>5780.81</v>
      </c>
      <c r="BC163">
        <v>4279.58</v>
      </c>
      <c r="BD163">
        <v>1858</v>
      </c>
      <c r="BE163">
        <v>363</v>
      </c>
      <c r="BF163">
        <f t="shared" si="35"/>
        <v>59.856602808389468</v>
      </c>
      <c r="BG163" s="31">
        <f t="shared" si="36"/>
        <v>33.12823021072105</v>
      </c>
      <c r="BH163">
        <f t="shared" si="37"/>
        <v>4393</v>
      </c>
      <c r="BI163">
        <f t="shared" si="38"/>
        <v>10213359</v>
      </c>
      <c r="BJ163">
        <f t="shared" si="39"/>
        <v>4980717</v>
      </c>
      <c r="BK163">
        <f t="shared" si="40"/>
        <v>41176879</v>
      </c>
      <c r="BL163">
        <f t="shared" si="41"/>
        <v>0</v>
      </c>
      <c r="BM163">
        <f t="shared" si="42"/>
        <v>0</v>
      </c>
      <c r="BN163" t="str">
        <f t="shared" si="33"/>
        <v>u=40%, k=2x10^6</v>
      </c>
      <c r="BO163" t="str">
        <f t="shared" si="34"/>
        <v>u=40%, k=2x10^6, collaborative</v>
      </c>
      <c r="BP163">
        <f t="shared" si="43"/>
        <v>9.1754176329684203</v>
      </c>
      <c r="BQ163">
        <f t="shared" si="45"/>
        <v>0.55954474300000001</v>
      </c>
      <c r="BR163">
        <f t="shared" si="46"/>
        <v>10.621129953926316</v>
      </c>
      <c r="BS163">
        <f t="shared" si="47"/>
        <v>2.8244323886789475</v>
      </c>
      <c r="BT163">
        <f t="shared" si="48"/>
        <v>9.9477054921473673</v>
      </c>
      <c r="BU163">
        <f t="shared" si="44"/>
        <v>26.728372597668418</v>
      </c>
    </row>
    <row r="164" spans="1:73">
      <c r="A164" t="s">
        <v>260</v>
      </c>
      <c r="B164" t="s">
        <v>158</v>
      </c>
      <c r="C164">
        <v>72</v>
      </c>
      <c r="D164" t="s">
        <v>56</v>
      </c>
      <c r="E164" t="s">
        <v>53</v>
      </c>
      <c r="F164" t="s">
        <v>54</v>
      </c>
      <c r="G164">
        <v>60000</v>
      </c>
      <c r="H164">
        <v>20</v>
      </c>
      <c r="I164">
        <v>20</v>
      </c>
      <c r="J164">
        <v>0</v>
      </c>
      <c r="K164">
        <v>1</v>
      </c>
      <c r="L164">
        <v>20000000</v>
      </c>
      <c r="M164">
        <v>24</v>
      </c>
      <c r="N164">
        <v>24</v>
      </c>
      <c r="O164">
        <v>24</v>
      </c>
      <c r="P164">
        <v>0</v>
      </c>
      <c r="Q164" t="s">
        <v>55</v>
      </c>
      <c r="R164">
        <v>99979229168348</v>
      </c>
      <c r="S164">
        <v>9998271</v>
      </c>
      <c r="T164">
        <v>99979229168348</v>
      </c>
      <c r="U164">
        <v>9998271</v>
      </c>
      <c r="V164" t="s">
        <v>63</v>
      </c>
      <c r="W164">
        <v>7</v>
      </c>
      <c r="X164">
        <v>1907352</v>
      </c>
      <c r="Y164">
        <v>12035383</v>
      </c>
      <c r="Z164">
        <v>13942735</v>
      </c>
      <c r="AA164">
        <v>9998271</v>
      </c>
      <c r="AB164">
        <v>7.31</v>
      </c>
      <c r="AC164">
        <v>0.83074000000000003</v>
      </c>
      <c r="AD164">
        <v>4.0564200000000001</v>
      </c>
      <c r="AE164">
        <v>345191888</v>
      </c>
      <c r="AF164" t="s">
        <v>655</v>
      </c>
      <c r="AG164" t="s">
        <v>656</v>
      </c>
      <c r="AH164">
        <v>128100</v>
      </c>
      <c r="AI164">
        <v>448928</v>
      </c>
      <c r="AJ164">
        <v>1436558438971</v>
      </c>
      <c r="AK164">
        <v>137361456483</v>
      </c>
      <c r="AL164">
        <v>613393721</v>
      </c>
      <c r="AM164">
        <v>155624773134</v>
      </c>
      <c r="AN164">
        <v>90756668055</v>
      </c>
      <c r="AO164">
        <v>64583249122</v>
      </c>
      <c r="AP164">
        <v>709365033</v>
      </c>
      <c r="AQ164">
        <v>0</v>
      </c>
      <c r="AR164">
        <v>472900859</v>
      </c>
      <c r="AS164">
        <v>709365033</v>
      </c>
      <c r="AT164">
        <v>1182265892</v>
      </c>
      <c r="AU164">
        <v>11822750</v>
      </c>
      <c r="AV164">
        <v>0</v>
      </c>
      <c r="AW164">
        <v>7881680</v>
      </c>
      <c r="AX164">
        <v>11822750</v>
      </c>
      <c r="AY164">
        <v>19704431</v>
      </c>
      <c r="AZ164">
        <v>25.892399999999999</v>
      </c>
      <c r="BA164">
        <v>11.0581</v>
      </c>
      <c r="BB164">
        <v>3367.82</v>
      </c>
      <c r="BC164">
        <v>2129.0500000000002</v>
      </c>
      <c r="BD164">
        <v>2450</v>
      </c>
      <c r="BE164">
        <v>155</v>
      </c>
      <c r="BF164">
        <f t="shared" si="35"/>
        <v>59.856601623791668</v>
      </c>
      <c r="BG164" s="31">
        <f t="shared" si="36"/>
        <v>18.705814188125</v>
      </c>
      <c r="BH164">
        <f t="shared" si="37"/>
        <v>94</v>
      </c>
      <c r="BI164">
        <f t="shared" si="38"/>
        <v>262326</v>
      </c>
      <c r="BJ164">
        <f t="shared" si="39"/>
        <v>7544353</v>
      </c>
      <c r="BK164">
        <f t="shared" si="40"/>
        <v>69169590</v>
      </c>
      <c r="BL164">
        <f t="shared" si="41"/>
        <v>232831</v>
      </c>
      <c r="BM164">
        <f t="shared" si="42"/>
        <v>0</v>
      </c>
      <c r="BN164" t="str">
        <f t="shared" si="33"/>
        <v>u=40%, k=2x10^7</v>
      </c>
      <c r="BO164" t="str">
        <f t="shared" si="34"/>
        <v>u=40%, k=2x10^7, collaborative</v>
      </c>
      <c r="BP164">
        <f t="shared" si="43"/>
        <v>5.7233940201250002</v>
      </c>
      <c r="BQ164">
        <f t="shared" si="45"/>
        <v>2.5558071708333335E-2</v>
      </c>
      <c r="BR164">
        <f t="shared" si="46"/>
        <v>6.4843655472500004</v>
      </c>
      <c r="BS164">
        <f t="shared" si="47"/>
        <v>3.7815278356250004</v>
      </c>
      <c r="BT164">
        <f t="shared" si="48"/>
        <v>2.6909687134166664</v>
      </c>
      <c r="BU164">
        <f t="shared" si="44"/>
        <v>41.150787435666672</v>
      </c>
    </row>
    <row r="165" spans="1:73">
      <c r="A165" t="s">
        <v>261</v>
      </c>
      <c r="B165" t="s">
        <v>158</v>
      </c>
      <c r="C165">
        <v>72</v>
      </c>
      <c r="D165" t="s">
        <v>56</v>
      </c>
      <c r="E165" t="s">
        <v>53</v>
      </c>
      <c r="F165" t="s">
        <v>54</v>
      </c>
      <c r="G165">
        <v>60000</v>
      </c>
      <c r="H165">
        <v>20</v>
      </c>
      <c r="I165">
        <v>20</v>
      </c>
      <c r="J165">
        <v>0</v>
      </c>
      <c r="K165">
        <v>1</v>
      </c>
      <c r="L165">
        <v>20000000</v>
      </c>
      <c r="M165">
        <v>48</v>
      </c>
      <c r="N165">
        <v>48</v>
      </c>
      <c r="O165">
        <v>48</v>
      </c>
      <c r="P165">
        <v>0</v>
      </c>
      <c r="Q165" t="s">
        <v>55</v>
      </c>
      <c r="R165">
        <v>100009117721855</v>
      </c>
      <c r="S165">
        <v>10000510</v>
      </c>
      <c r="T165">
        <v>100009117721855</v>
      </c>
      <c r="U165">
        <v>10000510</v>
      </c>
      <c r="V165" t="s">
        <v>63</v>
      </c>
      <c r="W165">
        <v>7</v>
      </c>
      <c r="X165">
        <v>1788669</v>
      </c>
      <c r="Y165">
        <v>11776027</v>
      </c>
      <c r="Z165">
        <v>13564696</v>
      </c>
      <c r="AA165">
        <v>10000510</v>
      </c>
      <c r="AB165">
        <v>7.5836800000000002</v>
      </c>
      <c r="AC165">
        <v>0.84922600000000004</v>
      </c>
      <c r="AD165">
        <v>4.0325899999999999</v>
      </c>
      <c r="AE165">
        <v>331512416</v>
      </c>
      <c r="AF165" t="s">
        <v>657</v>
      </c>
      <c r="AG165" t="s">
        <v>658</v>
      </c>
      <c r="AH165">
        <v>523086</v>
      </c>
      <c r="AI165">
        <v>187982</v>
      </c>
      <c r="AJ165">
        <v>2873117434134</v>
      </c>
      <c r="AK165">
        <v>282568899181</v>
      </c>
      <c r="AL165">
        <v>2786096249</v>
      </c>
      <c r="AM165">
        <v>362514775197</v>
      </c>
      <c r="AN165">
        <v>203320779085</v>
      </c>
      <c r="AO165">
        <v>138121357685</v>
      </c>
      <c r="AP165">
        <v>1149021512</v>
      </c>
      <c r="AQ165">
        <v>0</v>
      </c>
      <c r="AR165">
        <v>765935330</v>
      </c>
      <c r="AS165">
        <v>1149021512</v>
      </c>
      <c r="AT165">
        <v>1914956842</v>
      </c>
      <c r="AU165">
        <v>19150358</v>
      </c>
      <c r="AV165">
        <v>0</v>
      </c>
      <c r="AW165">
        <v>12765588</v>
      </c>
      <c r="AX165">
        <v>19150358</v>
      </c>
      <c r="AY165">
        <v>31915947</v>
      </c>
      <c r="AZ165">
        <v>26.7012</v>
      </c>
      <c r="BA165">
        <v>11.682499999999999</v>
      </c>
      <c r="BB165">
        <v>4152.88</v>
      </c>
      <c r="BC165">
        <v>2778.95</v>
      </c>
      <c r="BD165">
        <v>2508</v>
      </c>
      <c r="BE165">
        <v>154</v>
      </c>
      <c r="BF165">
        <f t="shared" si="35"/>
        <v>59.856613211125001</v>
      </c>
      <c r="BG165" s="31">
        <f t="shared" si="36"/>
        <v>20.610664737437499</v>
      </c>
      <c r="BH165">
        <f t="shared" si="37"/>
        <v>153</v>
      </c>
      <c r="BI165">
        <f t="shared" si="38"/>
        <v>474955</v>
      </c>
      <c r="BJ165">
        <f t="shared" si="39"/>
        <v>10393545</v>
      </c>
      <c r="BK165">
        <f t="shared" si="40"/>
        <v>108859479</v>
      </c>
      <c r="BL165">
        <f t="shared" si="41"/>
        <v>353633</v>
      </c>
      <c r="BM165">
        <f t="shared" si="42"/>
        <v>0</v>
      </c>
      <c r="BN165" t="str">
        <f t="shared" si="33"/>
        <v>u=40%, k=2x10^7</v>
      </c>
      <c r="BO165" t="str">
        <f t="shared" si="34"/>
        <v>u=40%, k=2x10^7, collaborative</v>
      </c>
      <c r="BP165">
        <f t="shared" si="43"/>
        <v>5.8868520662708335</v>
      </c>
      <c r="BQ165">
        <f t="shared" si="45"/>
        <v>5.8043671854166666E-2</v>
      </c>
      <c r="BR165">
        <f t="shared" si="46"/>
        <v>7.5523911499374998</v>
      </c>
      <c r="BS165">
        <f t="shared" si="47"/>
        <v>4.2358495642708336</v>
      </c>
      <c r="BT165">
        <f t="shared" si="48"/>
        <v>2.8775282851041664</v>
      </c>
      <c r="BU165">
        <f t="shared" si="44"/>
        <v>39.245948473687505</v>
      </c>
    </row>
    <row r="166" spans="1:73">
      <c r="A166" t="s">
        <v>262</v>
      </c>
      <c r="B166" t="s">
        <v>158</v>
      </c>
      <c r="C166">
        <v>72</v>
      </c>
      <c r="D166" t="s">
        <v>56</v>
      </c>
      <c r="E166" t="s">
        <v>53</v>
      </c>
      <c r="F166" t="s">
        <v>54</v>
      </c>
      <c r="G166">
        <v>60000</v>
      </c>
      <c r="H166">
        <v>20</v>
      </c>
      <c r="I166">
        <v>20</v>
      </c>
      <c r="J166">
        <v>0</v>
      </c>
      <c r="K166">
        <v>1</v>
      </c>
      <c r="L166">
        <v>20000000</v>
      </c>
      <c r="M166">
        <v>96</v>
      </c>
      <c r="N166">
        <v>96</v>
      </c>
      <c r="O166">
        <v>96</v>
      </c>
      <c r="P166">
        <v>0</v>
      </c>
      <c r="Q166" t="s">
        <v>55</v>
      </c>
      <c r="R166">
        <v>99996209339838</v>
      </c>
      <c r="S166">
        <v>9999717</v>
      </c>
      <c r="T166">
        <v>99996209339838</v>
      </c>
      <c r="U166">
        <v>9999717</v>
      </c>
      <c r="V166" t="s">
        <v>63</v>
      </c>
      <c r="W166">
        <v>7</v>
      </c>
      <c r="X166">
        <v>1828072</v>
      </c>
      <c r="Y166">
        <v>11858215</v>
      </c>
      <c r="Z166">
        <v>13686287</v>
      </c>
      <c r="AA166">
        <v>9999717</v>
      </c>
      <c r="AB166">
        <v>7.4867299999999997</v>
      </c>
      <c r="AC166">
        <v>0.84327300000000005</v>
      </c>
      <c r="AD166">
        <v>4.0404999999999998</v>
      </c>
      <c r="AE166">
        <v>335983120</v>
      </c>
      <c r="AF166" t="s">
        <v>659</v>
      </c>
      <c r="AG166" t="s">
        <v>660</v>
      </c>
      <c r="AH166">
        <v>1903950</v>
      </c>
      <c r="AI166">
        <v>90066</v>
      </c>
      <c r="AJ166">
        <v>5746236129670</v>
      </c>
      <c r="AK166">
        <v>505630016825</v>
      </c>
      <c r="AL166">
        <v>11710956901</v>
      </c>
      <c r="AM166">
        <v>749330889555</v>
      </c>
      <c r="AN166">
        <v>678847882463</v>
      </c>
      <c r="AO166">
        <v>257255392736</v>
      </c>
      <c r="AP166">
        <v>2026598172</v>
      </c>
      <c r="AQ166">
        <v>0</v>
      </c>
      <c r="AR166">
        <v>1351133464</v>
      </c>
      <c r="AS166">
        <v>2026598172</v>
      </c>
      <c r="AT166">
        <v>3377731636</v>
      </c>
      <c r="AU166">
        <v>33776636</v>
      </c>
      <c r="AV166">
        <v>0</v>
      </c>
      <c r="AW166">
        <v>22518891</v>
      </c>
      <c r="AX166">
        <v>33776636</v>
      </c>
      <c r="AY166">
        <v>56295527</v>
      </c>
      <c r="AZ166">
        <v>27.591999999999999</v>
      </c>
      <c r="BA166">
        <v>13.5418</v>
      </c>
      <c r="BB166">
        <v>4670.72</v>
      </c>
      <c r="BC166">
        <v>3207.24</v>
      </c>
      <c r="BD166">
        <v>2653</v>
      </c>
      <c r="BE166">
        <v>268</v>
      </c>
      <c r="BF166">
        <f t="shared" si="35"/>
        <v>59.856626350729165</v>
      </c>
      <c r="BG166" s="31">
        <f t="shared" si="36"/>
        <v>22.945574359166667</v>
      </c>
      <c r="BH166">
        <f t="shared" si="37"/>
        <v>270</v>
      </c>
      <c r="BI166">
        <f t="shared" si="38"/>
        <v>853619</v>
      </c>
      <c r="BJ166">
        <f t="shared" si="39"/>
        <v>12451052</v>
      </c>
      <c r="BK166">
        <f t="shared" si="40"/>
        <v>185114010</v>
      </c>
      <c r="BL166">
        <f t="shared" si="41"/>
        <v>539780</v>
      </c>
      <c r="BM166">
        <f t="shared" si="42"/>
        <v>0</v>
      </c>
      <c r="BN166" t="str">
        <f t="shared" si="33"/>
        <v>u=40%, k=2x10^7</v>
      </c>
      <c r="BO166" t="str">
        <f t="shared" si="34"/>
        <v>u=40%, k=2x10^7, collaborative</v>
      </c>
      <c r="BP166">
        <f t="shared" si="43"/>
        <v>5.2669793419270832</v>
      </c>
      <c r="BQ166">
        <f t="shared" si="45"/>
        <v>0.12198913438541666</v>
      </c>
      <c r="BR166">
        <f t="shared" si="46"/>
        <v>7.80553009953125</v>
      </c>
      <c r="BS166">
        <f t="shared" si="47"/>
        <v>7.0713321089895835</v>
      </c>
      <c r="BT166">
        <f t="shared" si="48"/>
        <v>2.6797436743333329</v>
      </c>
      <c r="BU166">
        <f t="shared" si="44"/>
        <v>36.911051991562502</v>
      </c>
    </row>
    <row r="167" spans="1:73">
      <c r="A167" t="s">
        <v>263</v>
      </c>
      <c r="B167" t="s">
        <v>158</v>
      </c>
      <c r="C167">
        <v>72</v>
      </c>
      <c r="D167" t="s">
        <v>56</v>
      </c>
      <c r="E167" t="s">
        <v>53</v>
      </c>
      <c r="F167" t="s">
        <v>54</v>
      </c>
      <c r="G167">
        <v>60000</v>
      </c>
      <c r="H167">
        <v>20</v>
      </c>
      <c r="I167">
        <v>20</v>
      </c>
      <c r="J167">
        <v>0</v>
      </c>
      <c r="K167">
        <v>1</v>
      </c>
      <c r="L167">
        <v>20000000</v>
      </c>
      <c r="M167">
        <v>144</v>
      </c>
      <c r="N167">
        <v>144</v>
      </c>
      <c r="O167">
        <v>144</v>
      </c>
      <c r="P167">
        <v>0</v>
      </c>
      <c r="Q167" t="s">
        <v>55</v>
      </c>
      <c r="R167">
        <v>100018833727780</v>
      </c>
      <c r="S167">
        <v>10002065</v>
      </c>
      <c r="T167">
        <v>100018833727780</v>
      </c>
      <c r="U167">
        <v>10002065</v>
      </c>
      <c r="V167" t="s">
        <v>63</v>
      </c>
      <c r="W167">
        <v>7</v>
      </c>
      <c r="X167">
        <v>1880429</v>
      </c>
      <c r="Y167">
        <v>11985393</v>
      </c>
      <c r="Z167">
        <v>13865822</v>
      </c>
      <c r="AA167">
        <v>10002065</v>
      </c>
      <c r="AB167">
        <v>7.3737500000000002</v>
      </c>
      <c r="AC167">
        <v>0.83452099999999996</v>
      </c>
      <c r="AD167">
        <v>4.0506599999999997</v>
      </c>
      <c r="AE167">
        <v>342237520</v>
      </c>
      <c r="AF167" t="s">
        <v>661</v>
      </c>
      <c r="AG167" t="s">
        <v>662</v>
      </c>
      <c r="AH167">
        <v>3880541</v>
      </c>
      <c r="AI167">
        <v>58540</v>
      </c>
      <c r="AJ167">
        <v>8619361818431</v>
      </c>
      <c r="AK167">
        <v>715319199822</v>
      </c>
      <c r="AL167">
        <v>24273441250</v>
      </c>
      <c r="AM167">
        <v>1091164008634</v>
      </c>
      <c r="AN167">
        <v>1286618718113</v>
      </c>
      <c r="AO167">
        <v>385833337047</v>
      </c>
      <c r="AP167">
        <v>2847089320</v>
      </c>
      <c r="AQ167">
        <v>0</v>
      </c>
      <c r="AR167">
        <v>1898056632</v>
      </c>
      <c r="AS167">
        <v>2847089320</v>
      </c>
      <c r="AT167">
        <v>4745145952</v>
      </c>
      <c r="AU167">
        <v>47451488</v>
      </c>
      <c r="AV167">
        <v>0</v>
      </c>
      <c r="AW167">
        <v>31634277</v>
      </c>
      <c r="AX167">
        <v>47451488</v>
      </c>
      <c r="AY167">
        <v>79085765</v>
      </c>
      <c r="AZ167">
        <v>27.8901</v>
      </c>
      <c r="BA167">
        <v>14.371</v>
      </c>
      <c r="BB167">
        <v>4947.12</v>
      </c>
      <c r="BC167">
        <v>3407.24</v>
      </c>
      <c r="BD167">
        <v>2832</v>
      </c>
      <c r="BE167">
        <v>331</v>
      </c>
      <c r="BF167">
        <f t="shared" si="35"/>
        <v>59.85667929465972</v>
      </c>
      <c r="BG167" s="31">
        <f t="shared" si="36"/>
        <v>24.327838228236111</v>
      </c>
      <c r="BH167">
        <f t="shared" si="37"/>
        <v>379</v>
      </c>
      <c r="BI167">
        <f t="shared" si="38"/>
        <v>1199030</v>
      </c>
      <c r="BJ167">
        <f t="shared" si="39"/>
        <v>10044053</v>
      </c>
      <c r="BK167">
        <f t="shared" si="40"/>
        <v>253996809</v>
      </c>
      <c r="BL167">
        <f t="shared" si="41"/>
        <v>636951</v>
      </c>
      <c r="BM167">
        <f t="shared" si="42"/>
        <v>0</v>
      </c>
      <c r="BN167" t="str">
        <f t="shared" si="33"/>
        <v>u=40%, k=2x10^7</v>
      </c>
      <c r="BO167" t="str">
        <f t="shared" si="34"/>
        <v>u=40%, k=2x10^7, collaborative</v>
      </c>
      <c r="BP167">
        <f t="shared" si="43"/>
        <v>4.9674944432083334</v>
      </c>
      <c r="BQ167">
        <f t="shared" si="45"/>
        <v>0.16856556423611113</v>
      </c>
      <c r="BR167">
        <f t="shared" si="46"/>
        <v>7.5775278377361115</v>
      </c>
      <c r="BS167">
        <f t="shared" si="47"/>
        <v>8.9348522091180556</v>
      </c>
      <c r="BT167">
        <f t="shared" si="48"/>
        <v>2.6793981739374999</v>
      </c>
      <c r="BU167">
        <f t="shared" si="44"/>
        <v>35.52884106642361</v>
      </c>
    </row>
    <row r="168" spans="1:73">
      <c r="A168" t="s">
        <v>264</v>
      </c>
      <c r="B168" t="s">
        <v>158</v>
      </c>
      <c r="C168">
        <v>72</v>
      </c>
      <c r="D168" t="s">
        <v>56</v>
      </c>
      <c r="E168" t="s">
        <v>53</v>
      </c>
      <c r="F168" t="s">
        <v>54</v>
      </c>
      <c r="G168">
        <v>60000</v>
      </c>
      <c r="H168">
        <v>20</v>
      </c>
      <c r="I168">
        <v>20</v>
      </c>
      <c r="J168">
        <v>0</v>
      </c>
      <c r="K168">
        <v>1</v>
      </c>
      <c r="L168">
        <v>20000000</v>
      </c>
      <c r="M168">
        <v>190</v>
      </c>
      <c r="N168">
        <v>190</v>
      </c>
      <c r="O168">
        <v>190</v>
      </c>
      <c r="P168">
        <v>0</v>
      </c>
      <c r="Q168" t="s">
        <v>55</v>
      </c>
      <c r="R168">
        <v>100097064174060</v>
      </c>
      <c r="S168">
        <v>10006248</v>
      </c>
      <c r="T168">
        <v>100097064174060</v>
      </c>
      <c r="U168">
        <v>10006248</v>
      </c>
      <c r="V168" t="s">
        <v>63</v>
      </c>
      <c r="W168">
        <v>7</v>
      </c>
      <c r="X168">
        <v>1808299</v>
      </c>
      <c r="Y168">
        <v>11836051</v>
      </c>
      <c r="Z168">
        <v>13644350</v>
      </c>
      <c r="AA168">
        <v>10006248</v>
      </c>
      <c r="AB168">
        <v>7.5454100000000004</v>
      </c>
      <c r="AC168">
        <v>0.84540400000000004</v>
      </c>
      <c r="AD168">
        <v>4.0362799999999996</v>
      </c>
      <c r="AE168">
        <v>334066800</v>
      </c>
      <c r="AF168" t="s">
        <v>663</v>
      </c>
      <c r="AG168" t="s">
        <v>664</v>
      </c>
      <c r="AH168">
        <v>6110352</v>
      </c>
      <c r="AI168">
        <v>43836</v>
      </c>
      <c r="AJ168">
        <v>11372814582990</v>
      </c>
      <c r="AK168">
        <v>918867942284</v>
      </c>
      <c r="AL168">
        <v>40765054262</v>
      </c>
      <c r="AM168">
        <v>1488414630706</v>
      </c>
      <c r="AN168">
        <v>2068668687288</v>
      </c>
      <c r="AO168">
        <v>505041055357</v>
      </c>
      <c r="AP168">
        <v>3440249964</v>
      </c>
      <c r="AQ168">
        <v>0</v>
      </c>
      <c r="AR168">
        <v>2293437486</v>
      </c>
      <c r="AS168">
        <v>3440249964</v>
      </c>
      <c r="AT168">
        <v>5733687450</v>
      </c>
      <c r="AU168">
        <v>57337499</v>
      </c>
      <c r="AV168">
        <v>0</v>
      </c>
      <c r="AW168">
        <v>38223958</v>
      </c>
      <c r="AX168">
        <v>57337499</v>
      </c>
      <c r="AY168">
        <v>95561457</v>
      </c>
      <c r="AZ168">
        <v>28.551400000000001</v>
      </c>
      <c r="BA168">
        <v>15.1523</v>
      </c>
      <c r="BB168">
        <v>5368.98</v>
      </c>
      <c r="BC168">
        <v>3663.61</v>
      </c>
      <c r="BD168">
        <v>2957</v>
      </c>
      <c r="BE168">
        <v>461</v>
      </c>
      <c r="BF168">
        <f t="shared" si="35"/>
        <v>59.856918857842111</v>
      </c>
      <c r="BG168" s="31">
        <f t="shared" si="36"/>
        <v>26.430301946826315</v>
      </c>
      <c r="BH168">
        <f t="shared" si="37"/>
        <v>458</v>
      </c>
      <c r="BI168">
        <f t="shared" si="38"/>
        <v>1449926</v>
      </c>
      <c r="BJ168">
        <f t="shared" si="39"/>
        <v>12220651</v>
      </c>
      <c r="BK168">
        <f t="shared" si="40"/>
        <v>307003365</v>
      </c>
      <c r="BL168">
        <f t="shared" si="41"/>
        <v>770813</v>
      </c>
      <c r="BM168">
        <f t="shared" si="42"/>
        <v>0</v>
      </c>
      <c r="BN168" t="str">
        <f t="shared" si="33"/>
        <v>u=40%, k=2x10^7</v>
      </c>
      <c r="BO168" t="str">
        <f t="shared" si="34"/>
        <v>u=40%, k=2x10^7, collaborative</v>
      </c>
      <c r="BP168">
        <f t="shared" si="43"/>
        <v>4.8361470646526321</v>
      </c>
      <c r="BQ168">
        <f t="shared" si="45"/>
        <v>0.21455291716842104</v>
      </c>
      <c r="BR168">
        <f t="shared" si="46"/>
        <v>7.8337612142421058</v>
      </c>
      <c r="BS168">
        <f t="shared" si="47"/>
        <v>10.887729933094738</v>
      </c>
      <c r="BT168">
        <f t="shared" si="48"/>
        <v>2.6581108176684212</v>
      </c>
      <c r="BU168">
        <f t="shared" si="44"/>
        <v>33.426616911015792</v>
      </c>
    </row>
    <row r="169" spans="1:73">
      <c r="A169" t="s">
        <v>265</v>
      </c>
      <c r="B169" t="s">
        <v>158</v>
      </c>
      <c r="C169">
        <v>72</v>
      </c>
      <c r="D169" t="s">
        <v>56</v>
      </c>
      <c r="E169" t="s">
        <v>53</v>
      </c>
      <c r="F169" t="s">
        <v>54</v>
      </c>
      <c r="G169">
        <v>60000</v>
      </c>
      <c r="H169">
        <v>20</v>
      </c>
      <c r="I169">
        <v>20</v>
      </c>
      <c r="J169">
        <v>0</v>
      </c>
      <c r="K169">
        <v>1</v>
      </c>
      <c r="L169">
        <v>200000000</v>
      </c>
      <c r="M169">
        <v>24</v>
      </c>
      <c r="N169">
        <v>24</v>
      </c>
      <c r="O169">
        <v>24</v>
      </c>
      <c r="P169">
        <v>0</v>
      </c>
      <c r="Q169" t="s">
        <v>55</v>
      </c>
      <c r="R169">
        <v>1.00000617209305E+16</v>
      </c>
      <c r="S169">
        <v>99998765</v>
      </c>
      <c r="T169">
        <v>1.00000617209305E+16</v>
      </c>
      <c r="U169">
        <v>99998765</v>
      </c>
      <c r="V169" t="s">
        <v>63</v>
      </c>
      <c r="W169">
        <v>7</v>
      </c>
      <c r="X169">
        <v>14717801</v>
      </c>
      <c r="Y169">
        <v>117769732</v>
      </c>
      <c r="Z169">
        <v>132487533</v>
      </c>
      <c r="AA169">
        <v>99998765</v>
      </c>
      <c r="AB169">
        <v>9.0018600000000006</v>
      </c>
      <c r="AC169">
        <v>0.84910399999999997</v>
      </c>
      <c r="AD169">
        <v>4.0758299999999998</v>
      </c>
      <c r="AE169">
        <v>3065892064</v>
      </c>
      <c r="AF169" t="s">
        <v>665</v>
      </c>
      <c r="AG169" t="s">
        <v>666</v>
      </c>
      <c r="AH169">
        <v>13728</v>
      </c>
      <c r="AI169">
        <v>352408</v>
      </c>
      <c r="AJ169">
        <v>1436561372474</v>
      </c>
      <c r="AK169">
        <v>93949077344</v>
      </c>
      <c r="AL169">
        <v>166204783</v>
      </c>
      <c r="AM169">
        <v>123903200595</v>
      </c>
      <c r="AN169">
        <v>89716814013</v>
      </c>
      <c r="AO169">
        <v>43213381561</v>
      </c>
      <c r="AP169">
        <v>585178746</v>
      </c>
      <c r="AQ169">
        <v>0</v>
      </c>
      <c r="AR169">
        <v>390117098</v>
      </c>
      <c r="AS169">
        <v>585178746</v>
      </c>
      <c r="AT169">
        <v>975295844</v>
      </c>
      <c r="AU169">
        <v>9752979</v>
      </c>
      <c r="AV169">
        <v>0</v>
      </c>
      <c r="AW169">
        <v>6501951</v>
      </c>
      <c r="AX169">
        <v>9752979</v>
      </c>
      <c r="AY169">
        <v>16254930</v>
      </c>
      <c r="AZ169">
        <v>27.600200000000001</v>
      </c>
      <c r="BA169">
        <v>13.3371</v>
      </c>
      <c r="BB169">
        <v>3953.93</v>
      </c>
      <c r="BC169">
        <v>2851.35</v>
      </c>
      <c r="BD169">
        <v>12601</v>
      </c>
      <c r="BE169">
        <v>1567</v>
      </c>
      <c r="BF169">
        <f t="shared" si="35"/>
        <v>59.856723853083338</v>
      </c>
      <c r="BG169" s="31">
        <f t="shared" si="36"/>
        <v>14.622861595666668</v>
      </c>
      <c r="BH169">
        <f t="shared" si="37"/>
        <v>7</v>
      </c>
      <c r="BI169">
        <f t="shared" si="38"/>
        <v>44532</v>
      </c>
      <c r="BJ169">
        <f t="shared" si="39"/>
        <v>3652173</v>
      </c>
      <c r="BK169">
        <f t="shared" si="40"/>
        <v>32821880</v>
      </c>
      <c r="BL169">
        <f t="shared" si="41"/>
        <v>5418861</v>
      </c>
      <c r="BM169">
        <f t="shared" si="42"/>
        <v>0</v>
      </c>
      <c r="BN169" t="str">
        <f t="shared" si="33"/>
        <v>u=40%, k=2x10^8</v>
      </c>
      <c r="BO169" t="str">
        <f t="shared" si="34"/>
        <v>u=40%, k=2x10^8, collaborative</v>
      </c>
      <c r="BP169">
        <f t="shared" si="43"/>
        <v>3.9145448893333334</v>
      </c>
      <c r="BQ169">
        <f t="shared" si="45"/>
        <v>6.9251992916666665E-3</v>
      </c>
      <c r="BR169">
        <f t="shared" si="46"/>
        <v>5.1626333581250003</v>
      </c>
      <c r="BS169">
        <f t="shared" si="47"/>
        <v>3.7382005838750003</v>
      </c>
      <c r="BT169">
        <f t="shared" si="48"/>
        <v>1.8005575650416665</v>
      </c>
      <c r="BU169">
        <f t="shared" si="44"/>
        <v>45.233862257416675</v>
      </c>
    </row>
    <row r="170" spans="1:73">
      <c r="A170" t="s">
        <v>266</v>
      </c>
      <c r="B170" t="s">
        <v>158</v>
      </c>
      <c r="C170">
        <v>72</v>
      </c>
      <c r="D170" t="s">
        <v>56</v>
      </c>
      <c r="E170" t="s">
        <v>53</v>
      </c>
      <c r="F170" t="s">
        <v>54</v>
      </c>
      <c r="G170">
        <v>60000</v>
      </c>
      <c r="H170">
        <v>20</v>
      </c>
      <c r="I170">
        <v>20</v>
      </c>
      <c r="J170">
        <v>0</v>
      </c>
      <c r="K170">
        <v>1</v>
      </c>
      <c r="L170">
        <v>200000000</v>
      </c>
      <c r="M170">
        <v>48</v>
      </c>
      <c r="N170">
        <v>48</v>
      </c>
      <c r="O170">
        <v>48</v>
      </c>
      <c r="P170">
        <v>0</v>
      </c>
      <c r="Q170" t="s">
        <v>55</v>
      </c>
      <c r="R170">
        <v>9999350761540420</v>
      </c>
      <c r="S170">
        <v>99994051</v>
      </c>
      <c r="T170">
        <v>9999350761540420</v>
      </c>
      <c r="U170">
        <v>99994051</v>
      </c>
      <c r="V170" t="s">
        <v>63</v>
      </c>
      <c r="W170">
        <v>7</v>
      </c>
      <c r="X170">
        <v>14081099</v>
      </c>
      <c r="Y170">
        <v>116309429</v>
      </c>
      <c r="Z170">
        <v>130390528</v>
      </c>
      <c r="AA170">
        <v>99994051</v>
      </c>
      <c r="AB170">
        <v>9.2599699999999991</v>
      </c>
      <c r="AC170">
        <v>0.85972400000000004</v>
      </c>
      <c r="AD170">
        <v>4.0635899999999996</v>
      </c>
      <c r="AE170">
        <v>2989837936</v>
      </c>
      <c r="AF170" t="s">
        <v>667</v>
      </c>
      <c r="AG170" t="s">
        <v>668</v>
      </c>
      <c r="AH170">
        <v>67331</v>
      </c>
      <c r="AI170">
        <v>128498</v>
      </c>
      <c r="AJ170">
        <v>2873119566647</v>
      </c>
      <c r="AK170">
        <v>234783817234</v>
      </c>
      <c r="AL170">
        <v>1159222235</v>
      </c>
      <c r="AM170">
        <v>309926780527</v>
      </c>
      <c r="AN170">
        <v>215103035165</v>
      </c>
      <c r="AO170">
        <v>105185554102</v>
      </c>
      <c r="AP170">
        <v>925334033</v>
      </c>
      <c r="AQ170">
        <v>0</v>
      </c>
      <c r="AR170">
        <v>616809907</v>
      </c>
      <c r="AS170">
        <v>925334033</v>
      </c>
      <c r="AT170">
        <v>1542143940</v>
      </c>
      <c r="AU170">
        <v>15422233</v>
      </c>
      <c r="AV170">
        <v>0</v>
      </c>
      <c r="AW170">
        <v>10280165</v>
      </c>
      <c r="AX170">
        <v>15422233</v>
      </c>
      <c r="AY170">
        <v>25702399</v>
      </c>
      <c r="AZ170">
        <v>29.657</v>
      </c>
      <c r="BA170">
        <v>14.340400000000001</v>
      </c>
      <c r="BB170">
        <v>4946.75</v>
      </c>
      <c r="BC170">
        <v>3641.04</v>
      </c>
      <c r="BD170">
        <v>13160</v>
      </c>
      <c r="BE170">
        <v>1304</v>
      </c>
      <c r="BF170">
        <f t="shared" si="35"/>
        <v>59.856657638479163</v>
      </c>
      <c r="BG170" s="31">
        <f t="shared" si="36"/>
        <v>18.044966859645832</v>
      </c>
      <c r="BH170">
        <f t="shared" si="37"/>
        <v>12</v>
      </c>
      <c r="BI170">
        <f t="shared" si="38"/>
        <v>103082</v>
      </c>
      <c r="BJ170">
        <f t="shared" si="39"/>
        <v>5639388</v>
      </c>
      <c r="BK170">
        <f t="shared" si="40"/>
        <v>50482932</v>
      </c>
      <c r="BL170">
        <f t="shared" si="41"/>
        <v>8417883</v>
      </c>
      <c r="BM170">
        <f t="shared" si="42"/>
        <v>0</v>
      </c>
      <c r="BN170" t="str">
        <f t="shared" si="33"/>
        <v>u=40%, k=2x10^8</v>
      </c>
      <c r="BO170" t="str">
        <f t="shared" si="34"/>
        <v>u=40%, k=2x10^8, collaborative</v>
      </c>
      <c r="BP170">
        <f t="shared" si="43"/>
        <v>4.8913295257083336</v>
      </c>
      <c r="BQ170">
        <f t="shared" si="45"/>
        <v>2.4150463229166669E-2</v>
      </c>
      <c r="BR170">
        <f t="shared" si="46"/>
        <v>6.4568079276458334</v>
      </c>
      <c r="BS170">
        <f t="shared" si="47"/>
        <v>4.4813132326041663</v>
      </c>
      <c r="BT170">
        <f t="shared" si="48"/>
        <v>2.1913657104583333</v>
      </c>
      <c r="BU170">
        <f t="shared" si="44"/>
        <v>41.811690778833331</v>
      </c>
    </row>
    <row r="171" spans="1:73">
      <c r="A171" t="s">
        <v>267</v>
      </c>
      <c r="B171" t="s">
        <v>158</v>
      </c>
      <c r="C171">
        <v>72</v>
      </c>
      <c r="D171" t="s">
        <v>56</v>
      </c>
      <c r="E171" t="s">
        <v>53</v>
      </c>
      <c r="F171" t="s">
        <v>54</v>
      </c>
      <c r="G171">
        <v>60000</v>
      </c>
      <c r="H171">
        <v>20</v>
      </c>
      <c r="I171">
        <v>20</v>
      </c>
      <c r="J171">
        <v>0</v>
      </c>
      <c r="K171">
        <v>1</v>
      </c>
      <c r="L171">
        <v>200000000</v>
      </c>
      <c r="M171">
        <v>96</v>
      </c>
      <c r="N171">
        <v>96</v>
      </c>
      <c r="O171">
        <v>96</v>
      </c>
      <c r="P171">
        <v>0</v>
      </c>
      <c r="Q171" t="s">
        <v>55</v>
      </c>
      <c r="R171">
        <v>9999658806136500</v>
      </c>
      <c r="S171">
        <v>99998733</v>
      </c>
      <c r="T171">
        <v>9999658806136500</v>
      </c>
      <c r="U171">
        <v>99998733</v>
      </c>
      <c r="V171" t="s">
        <v>63</v>
      </c>
      <c r="W171">
        <v>7</v>
      </c>
      <c r="X171">
        <v>14947457</v>
      </c>
      <c r="Y171">
        <v>118274945</v>
      </c>
      <c r="Z171">
        <v>133222402</v>
      </c>
      <c r="AA171">
        <v>99998733</v>
      </c>
      <c r="AB171">
        <v>8.9127100000000006</v>
      </c>
      <c r="AC171">
        <v>0.84547700000000003</v>
      </c>
      <c r="AD171">
        <v>4.0821699999999996</v>
      </c>
      <c r="AE171">
        <v>3092447632</v>
      </c>
      <c r="AF171" t="s">
        <v>669</v>
      </c>
      <c r="AG171" t="s">
        <v>670</v>
      </c>
      <c r="AH171">
        <v>328908</v>
      </c>
      <c r="AI171">
        <v>55798</v>
      </c>
      <c r="AJ171">
        <v>5746292888986</v>
      </c>
      <c r="AK171">
        <v>436635825244</v>
      </c>
      <c r="AL171">
        <v>8551154026</v>
      </c>
      <c r="AM171">
        <v>696399618329</v>
      </c>
      <c r="AN171">
        <v>691518238577</v>
      </c>
      <c r="AO171">
        <v>210965437786</v>
      </c>
      <c r="AP171">
        <v>1697960534</v>
      </c>
      <c r="AQ171">
        <v>0</v>
      </c>
      <c r="AR171">
        <v>1131945598</v>
      </c>
      <c r="AS171">
        <v>1697960534</v>
      </c>
      <c r="AT171">
        <v>2829906132</v>
      </c>
      <c r="AU171">
        <v>28299342</v>
      </c>
      <c r="AV171">
        <v>0</v>
      </c>
      <c r="AW171">
        <v>18865759</v>
      </c>
      <c r="AX171">
        <v>28299342</v>
      </c>
      <c r="AY171">
        <v>47165102</v>
      </c>
      <c r="AZ171">
        <v>30.675599999999999</v>
      </c>
      <c r="BA171">
        <v>16.047699999999999</v>
      </c>
      <c r="BB171">
        <v>5267.07</v>
      </c>
      <c r="BC171">
        <v>3845.89</v>
      </c>
      <c r="BD171">
        <v>13751</v>
      </c>
      <c r="BE171">
        <v>1067</v>
      </c>
      <c r="BF171">
        <f t="shared" si="35"/>
        <v>59.857217593604169</v>
      </c>
      <c r="BG171" s="31">
        <f t="shared" si="36"/>
        <v>21.292398687104168</v>
      </c>
      <c r="BH171">
        <f t="shared" si="37"/>
        <v>22</v>
      </c>
      <c r="BI171">
        <f t="shared" si="38"/>
        <v>218082</v>
      </c>
      <c r="BJ171">
        <f t="shared" si="39"/>
        <v>8710726</v>
      </c>
      <c r="BK171">
        <f t="shared" si="40"/>
        <v>90211619</v>
      </c>
      <c r="BL171">
        <f t="shared" si="41"/>
        <v>15241445</v>
      </c>
      <c r="BM171">
        <f t="shared" si="42"/>
        <v>0</v>
      </c>
      <c r="BN171" t="str">
        <f t="shared" si="33"/>
        <v>u=40%, k=2x10^8</v>
      </c>
      <c r="BO171" t="str">
        <f t="shared" si="34"/>
        <v>u=40%, k=2x10^8, collaborative</v>
      </c>
      <c r="BP171">
        <f t="shared" si="43"/>
        <v>4.5482898462916665</v>
      </c>
      <c r="BQ171">
        <f t="shared" si="45"/>
        <v>8.9074521104166679E-2</v>
      </c>
      <c r="BR171">
        <f t="shared" si="46"/>
        <v>7.2541626909270827</v>
      </c>
      <c r="BS171">
        <f t="shared" si="47"/>
        <v>7.2033149851770837</v>
      </c>
      <c r="BT171">
        <f t="shared" si="48"/>
        <v>2.1975566436041665</v>
      </c>
      <c r="BU171">
        <f t="shared" si="44"/>
        <v>38.564818906500001</v>
      </c>
    </row>
    <row r="172" spans="1:73">
      <c r="A172" t="s">
        <v>268</v>
      </c>
      <c r="B172" t="s">
        <v>158</v>
      </c>
      <c r="C172">
        <v>72</v>
      </c>
      <c r="D172" t="s">
        <v>56</v>
      </c>
      <c r="E172" t="s">
        <v>53</v>
      </c>
      <c r="F172" t="s">
        <v>54</v>
      </c>
      <c r="G172">
        <v>60000</v>
      </c>
      <c r="H172">
        <v>20</v>
      </c>
      <c r="I172">
        <v>20</v>
      </c>
      <c r="J172">
        <v>0</v>
      </c>
      <c r="K172">
        <v>1</v>
      </c>
      <c r="L172">
        <v>200000000</v>
      </c>
      <c r="M172">
        <v>144</v>
      </c>
      <c r="N172">
        <v>144</v>
      </c>
      <c r="O172">
        <v>144</v>
      </c>
      <c r="P172">
        <v>0</v>
      </c>
      <c r="Q172" t="s">
        <v>55</v>
      </c>
      <c r="R172">
        <v>1.00005590747579E+16</v>
      </c>
      <c r="S172">
        <v>99999535</v>
      </c>
      <c r="T172">
        <v>1.00005590747579E+16</v>
      </c>
      <c r="U172">
        <v>99999535</v>
      </c>
      <c r="V172" t="s">
        <v>63</v>
      </c>
      <c r="W172">
        <v>7</v>
      </c>
      <c r="X172">
        <v>14594592</v>
      </c>
      <c r="Y172">
        <v>117482832</v>
      </c>
      <c r="Z172">
        <v>132077424</v>
      </c>
      <c r="AA172">
        <v>99999535</v>
      </c>
      <c r="AB172">
        <v>9.0497499999999995</v>
      </c>
      <c r="AC172">
        <v>0.85118400000000005</v>
      </c>
      <c r="AD172">
        <v>4.0726699999999996</v>
      </c>
      <c r="AE172">
        <v>3051263728</v>
      </c>
      <c r="AF172" t="s">
        <v>671</v>
      </c>
      <c r="AG172" t="s">
        <v>672</v>
      </c>
      <c r="AH172">
        <v>652803</v>
      </c>
      <c r="AI172">
        <v>34134</v>
      </c>
      <c r="AJ172">
        <v>8619426840394</v>
      </c>
      <c r="AK172">
        <v>619588077908</v>
      </c>
      <c r="AL172">
        <v>26964445727</v>
      </c>
      <c r="AM172">
        <v>1109055221101</v>
      </c>
      <c r="AN172">
        <v>1235683610640</v>
      </c>
      <c r="AO172">
        <v>321920195673</v>
      </c>
      <c r="AP172">
        <v>2387647343</v>
      </c>
      <c r="AQ172">
        <v>0</v>
      </c>
      <c r="AR172">
        <v>1591798776</v>
      </c>
      <c r="AS172">
        <v>2387647343</v>
      </c>
      <c r="AT172">
        <v>3979446119</v>
      </c>
      <c r="AU172">
        <v>39794122</v>
      </c>
      <c r="AV172">
        <v>0</v>
      </c>
      <c r="AW172">
        <v>26529979</v>
      </c>
      <c r="AX172">
        <v>39794122</v>
      </c>
      <c r="AY172">
        <v>66324101</v>
      </c>
      <c r="AZ172">
        <v>30.927099999999999</v>
      </c>
      <c r="BA172">
        <v>16.8886</v>
      </c>
      <c r="BB172">
        <v>5489.85</v>
      </c>
      <c r="BC172">
        <v>4038.71</v>
      </c>
      <c r="BD172">
        <v>14193</v>
      </c>
      <c r="BE172">
        <v>1151</v>
      </c>
      <c r="BF172">
        <f t="shared" si="35"/>
        <v>59.857130836069445</v>
      </c>
      <c r="BG172" s="31">
        <f t="shared" si="36"/>
        <v>23.008413548951388</v>
      </c>
      <c r="BH172">
        <f t="shared" si="37"/>
        <v>31</v>
      </c>
      <c r="BI172">
        <f t="shared" si="38"/>
        <v>309958</v>
      </c>
      <c r="BJ172">
        <f t="shared" si="39"/>
        <v>11073104</v>
      </c>
      <c r="BK172">
        <f t="shared" si="40"/>
        <v>124384942</v>
      </c>
      <c r="BL172">
        <f t="shared" si="41"/>
        <v>21269821</v>
      </c>
      <c r="BM172">
        <f t="shared" si="42"/>
        <v>0</v>
      </c>
      <c r="BN172" t="str">
        <f t="shared" si="33"/>
        <v>u=40%, k=2x10^8</v>
      </c>
      <c r="BO172" t="str">
        <f t="shared" si="34"/>
        <v>u=40%, k=2x10^8, collaborative</v>
      </c>
      <c r="BP172">
        <f t="shared" si="43"/>
        <v>4.3026949854722218</v>
      </c>
      <c r="BQ172">
        <f t="shared" si="45"/>
        <v>0.1872530953263889</v>
      </c>
      <c r="BR172">
        <f t="shared" si="46"/>
        <v>7.7017723687569442</v>
      </c>
      <c r="BS172">
        <f t="shared" si="47"/>
        <v>8.5811361850000001</v>
      </c>
      <c r="BT172">
        <f t="shared" si="48"/>
        <v>2.2355569143958336</v>
      </c>
      <c r="BU172">
        <f t="shared" si="44"/>
        <v>36.848717287118063</v>
      </c>
    </row>
    <row r="173" spans="1:73">
      <c r="A173" t="s">
        <v>269</v>
      </c>
      <c r="B173" t="s">
        <v>158</v>
      </c>
      <c r="C173">
        <v>72</v>
      </c>
      <c r="D173" t="s">
        <v>56</v>
      </c>
      <c r="E173" t="s">
        <v>53</v>
      </c>
      <c r="F173" t="s">
        <v>54</v>
      </c>
      <c r="G173">
        <v>60000</v>
      </c>
      <c r="H173">
        <v>20</v>
      </c>
      <c r="I173">
        <v>20</v>
      </c>
      <c r="J173">
        <v>0</v>
      </c>
      <c r="K173">
        <v>1</v>
      </c>
      <c r="L173">
        <v>200000000</v>
      </c>
      <c r="M173">
        <v>190</v>
      </c>
      <c r="N173">
        <v>190</v>
      </c>
      <c r="O173">
        <v>190</v>
      </c>
      <c r="P173">
        <v>0</v>
      </c>
      <c r="Q173" t="s">
        <v>55</v>
      </c>
      <c r="R173">
        <v>1.00005064299046E+16</v>
      </c>
      <c r="S173">
        <v>100000129</v>
      </c>
      <c r="T173">
        <v>1.00005064299046E+16</v>
      </c>
      <c r="U173">
        <v>100000129</v>
      </c>
      <c r="V173" t="s">
        <v>63</v>
      </c>
      <c r="W173">
        <v>7</v>
      </c>
      <c r="X173">
        <v>14652096</v>
      </c>
      <c r="Y173">
        <v>117575485</v>
      </c>
      <c r="Z173">
        <v>132227581</v>
      </c>
      <c r="AA173">
        <v>100000129</v>
      </c>
      <c r="AB173">
        <v>9.0244800000000005</v>
      </c>
      <c r="AC173">
        <v>0.85051900000000002</v>
      </c>
      <c r="AD173">
        <v>4.0758599999999996</v>
      </c>
      <c r="AE173">
        <v>3056791296</v>
      </c>
      <c r="AF173" t="s">
        <v>673</v>
      </c>
      <c r="AG173" t="s">
        <v>674</v>
      </c>
      <c r="AH173">
        <v>1049371</v>
      </c>
      <c r="AI173">
        <v>24246</v>
      </c>
      <c r="AJ173">
        <v>11372769681230</v>
      </c>
      <c r="AK173">
        <v>798987521990</v>
      </c>
      <c r="AL173">
        <v>43442532178</v>
      </c>
      <c r="AM173">
        <v>1544374424306</v>
      </c>
      <c r="AN173">
        <v>1827555857131</v>
      </c>
      <c r="AO173">
        <v>440400779819</v>
      </c>
      <c r="AP173">
        <v>2960153222</v>
      </c>
      <c r="AQ173">
        <v>0</v>
      </c>
      <c r="AR173">
        <v>1973509406</v>
      </c>
      <c r="AS173">
        <v>2960153222</v>
      </c>
      <c r="AT173">
        <v>4933662628</v>
      </c>
      <c r="AU173">
        <v>49335887</v>
      </c>
      <c r="AV173">
        <v>0</v>
      </c>
      <c r="AW173">
        <v>32891823</v>
      </c>
      <c r="AX173">
        <v>49335887</v>
      </c>
      <c r="AY173">
        <v>82227710</v>
      </c>
      <c r="AZ173">
        <v>31.314399999999999</v>
      </c>
      <c r="BA173">
        <v>17.481300000000001</v>
      </c>
      <c r="BB173">
        <v>5760.27</v>
      </c>
      <c r="BC173">
        <v>4254.84</v>
      </c>
      <c r="BD173">
        <v>14445</v>
      </c>
      <c r="BE173">
        <v>1214</v>
      </c>
      <c r="BF173">
        <f t="shared" si="35"/>
        <v>59.85668253278947</v>
      </c>
      <c r="BG173" s="31">
        <f t="shared" si="36"/>
        <v>24.498742712757895</v>
      </c>
      <c r="BH173">
        <f t="shared" si="37"/>
        <v>39</v>
      </c>
      <c r="BI173">
        <f t="shared" si="38"/>
        <v>389923</v>
      </c>
      <c r="BJ173">
        <f t="shared" si="39"/>
        <v>13419297</v>
      </c>
      <c r="BK173">
        <f t="shared" si="40"/>
        <v>152794356</v>
      </c>
      <c r="BL173">
        <f t="shared" si="41"/>
        <v>26282892</v>
      </c>
      <c r="BM173">
        <f t="shared" si="42"/>
        <v>0</v>
      </c>
      <c r="BN173" t="str">
        <f t="shared" si="33"/>
        <v>u=40%, k=2x10^8</v>
      </c>
      <c r="BO173" t="str">
        <f t="shared" si="34"/>
        <v>u=40%, k=2x10^8, collaborative</v>
      </c>
      <c r="BP173">
        <f t="shared" si="43"/>
        <v>4.2051974841578952</v>
      </c>
      <c r="BQ173">
        <f t="shared" si="45"/>
        <v>0.2286449062</v>
      </c>
      <c r="BR173">
        <f t="shared" si="46"/>
        <v>8.1282864437157905</v>
      </c>
      <c r="BS173">
        <f t="shared" si="47"/>
        <v>9.6187150375315795</v>
      </c>
      <c r="BT173">
        <f t="shared" si="48"/>
        <v>2.3178988411526316</v>
      </c>
      <c r="BU173">
        <f t="shared" si="44"/>
        <v>35.357939820031575</v>
      </c>
    </row>
    <row r="174" spans="1:73">
      <c r="A174" t="s">
        <v>270</v>
      </c>
      <c r="B174" t="s">
        <v>158</v>
      </c>
      <c r="C174">
        <v>72</v>
      </c>
      <c r="D174" t="s">
        <v>56</v>
      </c>
      <c r="E174" t="s">
        <v>53</v>
      </c>
      <c r="F174" t="s">
        <v>54</v>
      </c>
      <c r="G174">
        <v>60000</v>
      </c>
      <c r="H174">
        <v>20</v>
      </c>
      <c r="I174">
        <v>20</v>
      </c>
      <c r="J174">
        <v>0</v>
      </c>
      <c r="K174">
        <v>1</v>
      </c>
      <c r="L174">
        <v>2000000000</v>
      </c>
      <c r="M174">
        <v>24</v>
      </c>
      <c r="N174">
        <v>24</v>
      </c>
      <c r="O174">
        <v>24</v>
      </c>
      <c r="P174">
        <v>0</v>
      </c>
      <c r="Q174" t="s">
        <v>55</v>
      </c>
      <c r="R174">
        <v>9.9997294326676595E+17</v>
      </c>
      <c r="S174">
        <v>1000001008</v>
      </c>
      <c r="T174">
        <v>9.9997294326676595E+17</v>
      </c>
      <c r="U174">
        <v>1000001008</v>
      </c>
      <c r="V174" t="s">
        <v>63</v>
      </c>
      <c r="W174">
        <v>7</v>
      </c>
      <c r="X174">
        <v>128048048</v>
      </c>
      <c r="Y174">
        <v>1170628575</v>
      </c>
      <c r="Z174">
        <v>1298676623</v>
      </c>
      <c r="AA174">
        <v>1000001008</v>
      </c>
      <c r="AB174">
        <v>10.142099999999999</v>
      </c>
      <c r="AC174">
        <v>0.85424299999999997</v>
      </c>
      <c r="AD174">
        <v>4.0929000000000002</v>
      </c>
      <c r="AE174">
        <v>29038635632</v>
      </c>
      <c r="AF174" t="s">
        <v>675</v>
      </c>
      <c r="AG174" t="s">
        <v>676</v>
      </c>
      <c r="AH174">
        <v>3</v>
      </c>
      <c r="AI174">
        <v>334356</v>
      </c>
      <c r="AJ174">
        <v>1436560370091</v>
      </c>
      <c r="AK174">
        <v>16970001411</v>
      </c>
      <c r="AL174">
        <v>3090</v>
      </c>
      <c r="AM174">
        <v>22962536719</v>
      </c>
      <c r="AN174">
        <v>21359439576</v>
      </c>
      <c r="AO174">
        <v>3722323234</v>
      </c>
      <c r="AP174">
        <v>533966470</v>
      </c>
      <c r="AQ174">
        <v>0</v>
      </c>
      <c r="AR174">
        <v>355948809</v>
      </c>
      <c r="AS174">
        <v>533966470</v>
      </c>
      <c r="AT174">
        <v>889915279</v>
      </c>
      <c r="AU174">
        <v>8899441</v>
      </c>
      <c r="AV174">
        <v>0</v>
      </c>
      <c r="AW174">
        <v>5932480</v>
      </c>
      <c r="AX174">
        <v>8899441</v>
      </c>
      <c r="AY174">
        <v>14831921</v>
      </c>
      <c r="AZ174">
        <v>26.061800000000002</v>
      </c>
      <c r="BA174">
        <v>15.3353</v>
      </c>
      <c r="BB174">
        <v>4411.12</v>
      </c>
      <c r="BC174">
        <v>3495.93</v>
      </c>
      <c r="BD174">
        <v>62803</v>
      </c>
      <c r="BE174">
        <v>16198</v>
      </c>
      <c r="BF174">
        <f t="shared" si="35"/>
        <v>59.856682087125002</v>
      </c>
      <c r="BG174" s="31">
        <f t="shared" si="36"/>
        <v>2.7089293345833334</v>
      </c>
      <c r="BH174">
        <f t="shared" si="37"/>
        <v>0</v>
      </c>
      <c r="BI174">
        <f t="shared" si="38"/>
        <v>0</v>
      </c>
      <c r="BJ174">
        <f t="shared" si="39"/>
        <v>103852</v>
      </c>
      <c r="BK174">
        <f t="shared" si="40"/>
        <v>20784198</v>
      </c>
      <c r="BL174">
        <f t="shared" si="41"/>
        <v>6913291</v>
      </c>
      <c r="BM174">
        <f t="shared" si="42"/>
        <v>0</v>
      </c>
      <c r="BN174" t="str">
        <f t="shared" si="33"/>
        <v>u=40%, k=2x10^9</v>
      </c>
      <c r="BO174" t="str">
        <f t="shared" si="34"/>
        <v>u=40%, k=2x10^9, collaborative</v>
      </c>
      <c r="BP174">
        <f t="shared" si="43"/>
        <v>0.70708339212499993</v>
      </c>
      <c r="BQ174">
        <f t="shared" si="45"/>
        <v>1.2875000000000001E-7</v>
      </c>
      <c r="BR174">
        <f t="shared" si="46"/>
        <v>0.95677236329166659</v>
      </c>
      <c r="BS174">
        <f t="shared" si="47"/>
        <v>0.88997664899999995</v>
      </c>
      <c r="BT174">
        <f t="shared" si="48"/>
        <v>0.15509680141666668</v>
      </c>
      <c r="BU174">
        <f t="shared" si="44"/>
        <v>57.14775275254167</v>
      </c>
    </row>
    <row r="175" spans="1:73">
      <c r="A175" t="s">
        <v>271</v>
      </c>
      <c r="B175" t="s">
        <v>158</v>
      </c>
      <c r="C175">
        <v>72</v>
      </c>
      <c r="D175" t="s">
        <v>56</v>
      </c>
      <c r="E175" t="s">
        <v>53</v>
      </c>
      <c r="F175" t="s">
        <v>54</v>
      </c>
      <c r="G175">
        <v>60000</v>
      </c>
      <c r="H175">
        <v>20</v>
      </c>
      <c r="I175">
        <v>20</v>
      </c>
      <c r="J175">
        <v>0</v>
      </c>
      <c r="K175">
        <v>1</v>
      </c>
      <c r="L175">
        <v>2000000000</v>
      </c>
      <c r="M175">
        <v>48</v>
      </c>
      <c r="N175">
        <v>48</v>
      </c>
      <c r="O175">
        <v>48</v>
      </c>
      <c r="P175">
        <v>0</v>
      </c>
      <c r="Q175" t="s">
        <v>55</v>
      </c>
      <c r="R175">
        <v>1.00000071481119E+18</v>
      </c>
      <c r="S175">
        <v>999984581</v>
      </c>
      <c r="T175">
        <v>1.00000071481119E+18</v>
      </c>
      <c r="U175">
        <v>999984581</v>
      </c>
      <c r="V175" t="s">
        <v>63</v>
      </c>
      <c r="W175">
        <v>7</v>
      </c>
      <c r="X175">
        <v>87214517</v>
      </c>
      <c r="Y175">
        <v>1084293756</v>
      </c>
      <c r="Z175">
        <v>1171508273</v>
      </c>
      <c r="AA175">
        <v>999984581</v>
      </c>
      <c r="AB175">
        <v>13.432499999999999</v>
      </c>
      <c r="AC175">
        <v>0.92224499999999998</v>
      </c>
      <c r="AD175">
        <v>4.0055199999999997</v>
      </c>
      <c r="AE175">
        <v>24326099824</v>
      </c>
      <c r="AF175" t="s">
        <v>677</v>
      </c>
      <c r="AG175" t="s">
        <v>678</v>
      </c>
      <c r="AH175">
        <v>10657</v>
      </c>
      <c r="AI175">
        <v>115582</v>
      </c>
      <c r="AJ175">
        <v>2873131699047</v>
      </c>
      <c r="AK175">
        <v>176947265242</v>
      </c>
      <c r="AL175">
        <v>175816543</v>
      </c>
      <c r="AM175">
        <v>268668941281</v>
      </c>
      <c r="AN175">
        <v>123344714501</v>
      </c>
      <c r="AO175">
        <v>89186465180</v>
      </c>
      <c r="AP175">
        <v>766667975</v>
      </c>
      <c r="AQ175">
        <v>0</v>
      </c>
      <c r="AR175">
        <v>511077222</v>
      </c>
      <c r="AS175">
        <v>766667975</v>
      </c>
      <c r="AT175">
        <v>1277745197</v>
      </c>
      <c r="AU175">
        <v>12777799</v>
      </c>
      <c r="AV175">
        <v>0</v>
      </c>
      <c r="AW175">
        <v>8517953</v>
      </c>
      <c r="AX175">
        <v>12777799</v>
      </c>
      <c r="AY175">
        <v>21295753</v>
      </c>
      <c r="AZ175">
        <v>31.860099999999999</v>
      </c>
      <c r="BA175">
        <v>19.169</v>
      </c>
      <c r="BB175">
        <v>6079.43</v>
      </c>
      <c r="BC175">
        <v>4913.5200000000004</v>
      </c>
      <c r="BD175">
        <v>85068</v>
      </c>
      <c r="BE175">
        <v>12059</v>
      </c>
      <c r="BF175">
        <f t="shared" si="35"/>
        <v>59.856910396812502</v>
      </c>
      <c r="BG175" s="31">
        <f t="shared" si="36"/>
        <v>13.715066723895832</v>
      </c>
      <c r="BH175">
        <f t="shared" si="37"/>
        <v>1</v>
      </c>
      <c r="BI175">
        <f t="shared" si="38"/>
        <v>26331</v>
      </c>
      <c r="BJ175">
        <f t="shared" si="39"/>
        <v>2536355</v>
      </c>
      <c r="BK175">
        <f t="shared" si="40"/>
        <v>34436377</v>
      </c>
      <c r="BL175">
        <f t="shared" si="41"/>
        <v>9619099</v>
      </c>
      <c r="BM175">
        <f t="shared" si="42"/>
        <v>0</v>
      </c>
      <c r="BN175" t="str">
        <f t="shared" si="33"/>
        <v>u=40%, k=2x10^9</v>
      </c>
      <c r="BO175" t="str">
        <f t="shared" si="34"/>
        <v>u=40%, k=2x10^9, collaborative</v>
      </c>
      <c r="BP175">
        <f t="shared" si="43"/>
        <v>3.6864013592083329</v>
      </c>
      <c r="BQ175">
        <f t="shared" si="45"/>
        <v>3.6628446458333332E-3</v>
      </c>
      <c r="BR175">
        <f t="shared" si="46"/>
        <v>5.5972696100208337</v>
      </c>
      <c r="BS175">
        <f t="shared" si="47"/>
        <v>2.5696815521041665</v>
      </c>
      <c r="BT175">
        <f t="shared" si="48"/>
        <v>1.8580513579166666</v>
      </c>
      <c r="BU175">
        <f t="shared" si="44"/>
        <v>46.141843672916671</v>
      </c>
    </row>
    <row r="176" spans="1:73">
      <c r="A176" t="s">
        <v>272</v>
      </c>
      <c r="B176" t="s">
        <v>158</v>
      </c>
      <c r="C176">
        <v>72</v>
      </c>
      <c r="D176" t="s">
        <v>56</v>
      </c>
      <c r="E176" t="s">
        <v>53</v>
      </c>
      <c r="F176" t="s">
        <v>54</v>
      </c>
      <c r="G176">
        <v>60000</v>
      </c>
      <c r="H176">
        <v>20</v>
      </c>
      <c r="I176">
        <v>20</v>
      </c>
      <c r="J176">
        <v>0</v>
      </c>
      <c r="K176">
        <v>1</v>
      </c>
      <c r="L176">
        <v>2000000000</v>
      </c>
      <c r="M176">
        <v>96</v>
      </c>
      <c r="N176">
        <v>96</v>
      </c>
      <c r="O176">
        <v>96</v>
      </c>
      <c r="P176">
        <v>0</v>
      </c>
      <c r="Q176" t="s">
        <v>55</v>
      </c>
      <c r="R176">
        <v>1.00002532356726E+18</v>
      </c>
      <c r="S176">
        <v>1000008277</v>
      </c>
      <c r="T176">
        <v>1.00002532356726E+18</v>
      </c>
      <c r="U176">
        <v>1000008277</v>
      </c>
      <c r="V176" t="s">
        <v>63</v>
      </c>
      <c r="W176">
        <v>7</v>
      </c>
      <c r="X176">
        <v>84465058</v>
      </c>
      <c r="Y176">
        <v>1078812842</v>
      </c>
      <c r="Z176">
        <v>1163277900</v>
      </c>
      <c r="AA176">
        <v>1000008277</v>
      </c>
      <c r="AB176">
        <v>13.7723</v>
      </c>
      <c r="AC176">
        <v>0.92695300000000003</v>
      </c>
      <c r="AD176">
        <v>4</v>
      </c>
      <c r="AE176">
        <v>24018210096</v>
      </c>
      <c r="AF176" t="s">
        <v>679</v>
      </c>
      <c r="AG176" t="s">
        <v>680</v>
      </c>
      <c r="AH176">
        <v>55056</v>
      </c>
      <c r="AI176">
        <v>53484</v>
      </c>
      <c r="AJ176">
        <v>5952687147645</v>
      </c>
      <c r="AK176">
        <v>375786534521</v>
      </c>
      <c r="AL176">
        <v>6014871092</v>
      </c>
      <c r="AM176">
        <v>924718936273</v>
      </c>
      <c r="AN176">
        <v>373630234119</v>
      </c>
      <c r="AO176">
        <v>200708799284</v>
      </c>
      <c r="AP176">
        <v>1500122949</v>
      </c>
      <c r="AQ176">
        <v>0</v>
      </c>
      <c r="AR176">
        <v>1000023685</v>
      </c>
      <c r="AS176">
        <v>1500122949</v>
      </c>
      <c r="AT176">
        <v>2500146634</v>
      </c>
      <c r="AU176">
        <v>25002049</v>
      </c>
      <c r="AV176">
        <v>0</v>
      </c>
      <c r="AW176">
        <v>16667061</v>
      </c>
      <c r="AX176">
        <v>25002049</v>
      </c>
      <c r="AY176">
        <v>41669110</v>
      </c>
      <c r="AZ176">
        <v>33.191099999999999</v>
      </c>
      <c r="BA176">
        <v>20.957699999999999</v>
      </c>
      <c r="BB176">
        <v>5935.31</v>
      </c>
      <c r="BC176">
        <v>4687.4399999999996</v>
      </c>
      <c r="BD176">
        <v>87575</v>
      </c>
      <c r="BE176">
        <v>9561</v>
      </c>
      <c r="BF176">
        <f t="shared" si="35"/>
        <v>62.007157787968744</v>
      </c>
      <c r="BG176" s="31">
        <f t="shared" si="36"/>
        <v>19.592285159260417</v>
      </c>
      <c r="BH176">
        <f t="shared" si="37"/>
        <v>2</v>
      </c>
      <c r="BI176">
        <f t="shared" si="38"/>
        <v>61911</v>
      </c>
      <c r="BJ176">
        <f t="shared" si="39"/>
        <v>4627270</v>
      </c>
      <c r="BK176">
        <f t="shared" si="40"/>
        <v>67771827</v>
      </c>
      <c r="BL176">
        <f t="shared" si="41"/>
        <v>19004401</v>
      </c>
      <c r="BM176">
        <f t="shared" si="42"/>
        <v>0</v>
      </c>
      <c r="BN176" t="str">
        <f t="shared" si="33"/>
        <v>u=40%, k=2x10^9</v>
      </c>
      <c r="BO176" t="str">
        <f t="shared" si="34"/>
        <v>u=40%, k=2x10^9, collaborative</v>
      </c>
      <c r="BP176">
        <f t="shared" si="43"/>
        <v>3.9144430679270834</v>
      </c>
      <c r="BQ176">
        <f t="shared" si="45"/>
        <v>6.2654907208333332E-2</v>
      </c>
      <c r="BR176">
        <f t="shared" si="46"/>
        <v>9.6324889195104166</v>
      </c>
      <c r="BS176">
        <f t="shared" si="47"/>
        <v>3.8919816054062504</v>
      </c>
      <c r="BT176">
        <f t="shared" si="48"/>
        <v>2.0907166592083333</v>
      </c>
      <c r="BU176">
        <f t="shared" si="44"/>
        <v>42.414872628708324</v>
      </c>
    </row>
    <row r="177" spans="1:73">
      <c r="A177" t="s">
        <v>273</v>
      </c>
      <c r="B177" t="s">
        <v>158</v>
      </c>
      <c r="C177">
        <v>72</v>
      </c>
      <c r="D177" t="s">
        <v>56</v>
      </c>
      <c r="E177" t="s">
        <v>53</v>
      </c>
      <c r="F177" t="s">
        <v>54</v>
      </c>
      <c r="G177">
        <v>60000</v>
      </c>
      <c r="H177">
        <v>20</v>
      </c>
      <c r="I177">
        <v>20</v>
      </c>
      <c r="J177">
        <v>0</v>
      </c>
      <c r="K177">
        <v>1</v>
      </c>
      <c r="L177">
        <v>2000000000</v>
      </c>
      <c r="M177">
        <v>144</v>
      </c>
      <c r="N177">
        <v>144</v>
      </c>
      <c r="O177">
        <v>144</v>
      </c>
      <c r="P177">
        <v>0</v>
      </c>
      <c r="Q177" t="s">
        <v>55</v>
      </c>
      <c r="R177">
        <v>9.9998490872156403E+17</v>
      </c>
      <c r="S177">
        <v>999994258</v>
      </c>
      <c r="T177">
        <v>9.9998490872156403E+17</v>
      </c>
      <c r="U177">
        <v>999994258</v>
      </c>
      <c r="V177" t="s">
        <v>63</v>
      </c>
      <c r="W177">
        <v>7</v>
      </c>
      <c r="X177">
        <v>105900457</v>
      </c>
      <c r="Y177">
        <v>1124379972</v>
      </c>
      <c r="Z177">
        <v>1230280429</v>
      </c>
      <c r="AA177">
        <v>999994258</v>
      </c>
      <c r="AB177">
        <v>11.6173</v>
      </c>
      <c r="AC177">
        <v>0.889374</v>
      </c>
      <c r="AD177">
        <v>4.04575</v>
      </c>
      <c r="AE177">
        <v>26493680080</v>
      </c>
      <c r="AF177" t="s">
        <v>681</v>
      </c>
      <c r="AG177" t="s">
        <v>682</v>
      </c>
      <c r="AH177">
        <v>96151</v>
      </c>
      <c r="AI177">
        <v>34272</v>
      </c>
      <c r="AJ177">
        <v>8619596813032</v>
      </c>
      <c r="AK177">
        <v>473418261726</v>
      </c>
      <c r="AL177">
        <v>4995589512</v>
      </c>
      <c r="AM177">
        <v>1183608917960</v>
      </c>
      <c r="AN177">
        <v>558695292522</v>
      </c>
      <c r="AO177">
        <v>249983803715</v>
      </c>
      <c r="AP177">
        <v>2216933928</v>
      </c>
      <c r="AQ177">
        <v>0</v>
      </c>
      <c r="AR177">
        <v>1477972260</v>
      </c>
      <c r="AS177">
        <v>2216933928</v>
      </c>
      <c r="AT177">
        <v>3694906188</v>
      </c>
      <c r="AU177">
        <v>36948898</v>
      </c>
      <c r="AV177">
        <v>0</v>
      </c>
      <c r="AW177">
        <v>24632871</v>
      </c>
      <c r="AX177">
        <v>36948898</v>
      </c>
      <c r="AY177">
        <v>61581769</v>
      </c>
      <c r="AZ177">
        <v>32.031700000000001</v>
      </c>
      <c r="BA177">
        <v>20.577200000000001</v>
      </c>
      <c r="BB177">
        <v>5896.33</v>
      </c>
      <c r="BC177">
        <v>4678.53</v>
      </c>
      <c r="BD177">
        <v>120316</v>
      </c>
      <c r="BE177">
        <v>9384</v>
      </c>
      <c r="BF177">
        <f t="shared" si="35"/>
        <v>59.858311201611109</v>
      </c>
      <c r="BG177" s="31">
        <f t="shared" si="36"/>
        <v>17.157651843298609</v>
      </c>
      <c r="BH177">
        <f t="shared" si="37"/>
        <v>2</v>
      </c>
      <c r="BI177">
        <f t="shared" si="38"/>
        <v>74524</v>
      </c>
      <c r="BJ177">
        <f t="shared" si="39"/>
        <v>6381058</v>
      </c>
      <c r="BK177">
        <f t="shared" si="40"/>
        <v>100174181</v>
      </c>
      <c r="BL177">
        <f t="shared" si="41"/>
        <v>28196539</v>
      </c>
      <c r="BM177">
        <f t="shared" si="42"/>
        <v>0</v>
      </c>
      <c r="BN177" t="str">
        <f t="shared" si="33"/>
        <v>u=40%, k=2x10^9</v>
      </c>
      <c r="BO177" t="str">
        <f t="shared" si="34"/>
        <v>u=40%, k=2x10^9, collaborative</v>
      </c>
      <c r="BP177">
        <f t="shared" si="43"/>
        <v>3.2876268175416667</v>
      </c>
      <c r="BQ177">
        <f t="shared" si="45"/>
        <v>3.4691593833333333E-2</v>
      </c>
      <c r="BR177">
        <f t="shared" si="46"/>
        <v>8.2195063747222221</v>
      </c>
      <c r="BS177">
        <f t="shared" si="47"/>
        <v>3.8798284202916671</v>
      </c>
      <c r="BT177">
        <f t="shared" si="48"/>
        <v>1.7359986369097222</v>
      </c>
      <c r="BU177">
        <f t="shared" si="44"/>
        <v>42.700659358312492</v>
      </c>
    </row>
    <row r="178" spans="1:73">
      <c r="A178" t="s">
        <v>274</v>
      </c>
      <c r="B178" t="s">
        <v>158</v>
      </c>
      <c r="C178">
        <v>72</v>
      </c>
      <c r="D178" t="s">
        <v>56</v>
      </c>
      <c r="E178" t="s">
        <v>53</v>
      </c>
      <c r="F178" t="s">
        <v>54</v>
      </c>
      <c r="G178">
        <v>60000</v>
      </c>
      <c r="H178">
        <v>20</v>
      </c>
      <c r="I178">
        <v>20</v>
      </c>
      <c r="J178">
        <v>0</v>
      </c>
      <c r="K178">
        <v>1</v>
      </c>
      <c r="L178">
        <v>2000000000</v>
      </c>
      <c r="M178">
        <v>190</v>
      </c>
      <c r="N178">
        <v>190</v>
      </c>
      <c r="O178">
        <v>190</v>
      </c>
      <c r="P178">
        <v>0</v>
      </c>
      <c r="Q178" t="s">
        <v>55</v>
      </c>
      <c r="R178">
        <v>9.9997371529294502E+17</v>
      </c>
      <c r="S178">
        <v>999983032</v>
      </c>
      <c r="T178">
        <v>9.9997371529294502E+17</v>
      </c>
      <c r="U178">
        <v>999983032</v>
      </c>
      <c r="V178" t="s">
        <v>63</v>
      </c>
      <c r="W178">
        <v>7</v>
      </c>
      <c r="X178">
        <v>122530369</v>
      </c>
      <c r="Y178">
        <v>1157537902</v>
      </c>
      <c r="Z178">
        <v>1280068271</v>
      </c>
      <c r="AA178">
        <v>999983032</v>
      </c>
      <c r="AB178">
        <v>10.446899999999999</v>
      </c>
      <c r="AC178">
        <v>0.86388799999999999</v>
      </c>
      <c r="AD178">
        <v>4.0801499999999997</v>
      </c>
      <c r="AE178">
        <v>28367504512</v>
      </c>
      <c r="AF178" t="s">
        <v>683</v>
      </c>
      <c r="AG178" t="s">
        <v>684</v>
      </c>
      <c r="AH178">
        <v>154993</v>
      </c>
      <c r="AI178">
        <v>22702</v>
      </c>
      <c r="AJ178">
        <v>11372873422790</v>
      </c>
      <c r="AK178">
        <v>608255984628</v>
      </c>
      <c r="AL178">
        <v>10936272542</v>
      </c>
      <c r="AM178">
        <v>2014421770463</v>
      </c>
      <c r="AN178">
        <v>858388373686</v>
      </c>
      <c r="AO178">
        <v>483108555143</v>
      </c>
      <c r="AP178">
        <v>2583785725</v>
      </c>
      <c r="AQ178">
        <v>0</v>
      </c>
      <c r="AR178">
        <v>1722514879</v>
      </c>
      <c r="AS178">
        <v>2583785725</v>
      </c>
      <c r="AT178">
        <v>4306300604</v>
      </c>
      <c r="AU178">
        <v>43063095</v>
      </c>
      <c r="AV178">
        <v>0</v>
      </c>
      <c r="AW178">
        <v>28708581</v>
      </c>
      <c r="AX178">
        <v>43063095</v>
      </c>
      <c r="AY178">
        <v>71771676</v>
      </c>
      <c r="AZ178">
        <v>33.029000000000003</v>
      </c>
      <c r="BA178">
        <v>21.4343</v>
      </c>
      <c r="BB178">
        <v>6298.7</v>
      </c>
      <c r="BC178">
        <v>5007.93</v>
      </c>
      <c r="BD178">
        <v>120798</v>
      </c>
      <c r="BE178">
        <v>9222</v>
      </c>
      <c r="BF178">
        <f t="shared" si="35"/>
        <v>59.857228541000005</v>
      </c>
      <c r="BG178" s="31">
        <f t="shared" si="36"/>
        <v>20.921636612957894</v>
      </c>
      <c r="BH178">
        <f t="shared" si="37"/>
        <v>3</v>
      </c>
      <c r="BI178">
        <f t="shared" si="38"/>
        <v>94763</v>
      </c>
      <c r="BJ178">
        <f t="shared" si="39"/>
        <v>6447940</v>
      </c>
      <c r="BK178">
        <f t="shared" si="40"/>
        <v>107725423</v>
      </c>
      <c r="BL178">
        <f t="shared" si="41"/>
        <v>31999637</v>
      </c>
      <c r="BM178">
        <f t="shared" si="42"/>
        <v>0</v>
      </c>
      <c r="BN178" t="str">
        <f t="shared" si="33"/>
        <v>u=40%, k=2x10^9</v>
      </c>
      <c r="BO178" t="str">
        <f t="shared" si="34"/>
        <v>u=40%, k=2x10^9, collaborative</v>
      </c>
      <c r="BP178">
        <f t="shared" si="43"/>
        <v>3.2013472875157891</v>
      </c>
      <c r="BQ178">
        <f t="shared" si="45"/>
        <v>5.7559329168421047E-2</v>
      </c>
      <c r="BR178">
        <f t="shared" si="46"/>
        <v>10.602219844542105</v>
      </c>
      <c r="BS178">
        <f t="shared" si="47"/>
        <v>4.5178335457157894</v>
      </c>
      <c r="BT178">
        <f t="shared" si="48"/>
        <v>2.5426766060157893</v>
      </c>
      <c r="BU178">
        <f t="shared" si="44"/>
        <v>38.935591928042115</v>
      </c>
    </row>
    <row r="179" spans="1:73">
      <c r="A179" t="s">
        <v>275</v>
      </c>
      <c r="B179" t="s">
        <v>136</v>
      </c>
      <c r="C179">
        <v>72</v>
      </c>
      <c r="D179" t="s">
        <v>56</v>
      </c>
      <c r="E179" t="s">
        <v>53</v>
      </c>
      <c r="F179" t="s">
        <v>54</v>
      </c>
      <c r="G179">
        <v>60000</v>
      </c>
      <c r="H179">
        <v>0.5</v>
      </c>
      <c r="I179">
        <v>0.5</v>
      </c>
      <c r="J179">
        <v>0</v>
      </c>
      <c r="K179">
        <v>1</v>
      </c>
      <c r="L179">
        <v>2000000</v>
      </c>
      <c r="M179">
        <v>24</v>
      </c>
      <c r="N179">
        <v>24</v>
      </c>
      <c r="O179">
        <v>24</v>
      </c>
      <c r="P179">
        <v>0</v>
      </c>
      <c r="Q179" t="s">
        <v>55</v>
      </c>
      <c r="R179">
        <v>1000703501345</v>
      </c>
      <c r="S179">
        <v>1000495</v>
      </c>
      <c r="T179">
        <v>1000703501345</v>
      </c>
      <c r="U179">
        <v>1000495</v>
      </c>
      <c r="V179" t="s">
        <v>63</v>
      </c>
      <c r="W179">
        <v>6</v>
      </c>
      <c r="X179">
        <v>81968</v>
      </c>
      <c r="Y179">
        <v>1133664</v>
      </c>
      <c r="Z179">
        <v>1215632</v>
      </c>
      <c r="AA179">
        <v>1000495</v>
      </c>
      <c r="AB179">
        <v>14.8306</v>
      </c>
      <c r="AC179">
        <v>0.88253199999999998</v>
      </c>
      <c r="AD179">
        <v>3.10581</v>
      </c>
      <c r="AE179">
        <v>24782944</v>
      </c>
      <c r="AF179" t="s">
        <v>685</v>
      </c>
      <c r="AG179" t="s">
        <v>686</v>
      </c>
      <c r="AI179">
        <v>1688288</v>
      </c>
      <c r="AJ179">
        <v>1436560810131</v>
      </c>
      <c r="AK179">
        <v>4002148031</v>
      </c>
      <c r="AL179">
        <v>85516035611</v>
      </c>
      <c r="AM179">
        <v>6043943795</v>
      </c>
      <c r="AN179">
        <v>5218424968</v>
      </c>
      <c r="AO179">
        <v>2208708108</v>
      </c>
      <c r="AP179">
        <v>4528370260</v>
      </c>
      <c r="AQ179">
        <v>0</v>
      </c>
      <c r="AR179">
        <v>45736918</v>
      </c>
      <c r="AS179">
        <v>4528370260</v>
      </c>
      <c r="AT179">
        <v>4574107178</v>
      </c>
      <c r="AU179">
        <v>75472837</v>
      </c>
      <c r="AV179">
        <v>0</v>
      </c>
      <c r="AW179">
        <v>762281</v>
      </c>
      <c r="AX179">
        <v>75472837</v>
      </c>
      <c r="AY179">
        <v>76235119</v>
      </c>
      <c r="AZ179">
        <v>8.4232099999999992</v>
      </c>
      <c r="BA179">
        <v>9.8000199999999996E-2</v>
      </c>
      <c r="BB179">
        <v>876.76499999999999</v>
      </c>
      <c r="BC179">
        <v>258.99200000000002</v>
      </c>
      <c r="BD179">
        <v>1428</v>
      </c>
      <c r="BE179">
        <v>27</v>
      </c>
      <c r="BF179">
        <f t="shared" si="35"/>
        <v>59.856700422124995</v>
      </c>
      <c r="BG179" s="31">
        <f t="shared" si="36"/>
        <v>4.2912191880416666</v>
      </c>
      <c r="BH179">
        <f t="shared" si="37"/>
        <v>91</v>
      </c>
      <c r="BI179">
        <f t="shared" si="38"/>
        <v>81664</v>
      </c>
      <c r="BJ179">
        <f t="shared" si="39"/>
        <v>1177443</v>
      </c>
      <c r="BK179">
        <f t="shared" si="40"/>
        <v>1324521</v>
      </c>
      <c r="BL179">
        <f t="shared" si="41"/>
        <v>0</v>
      </c>
      <c r="BM179">
        <f t="shared" si="42"/>
        <v>0</v>
      </c>
      <c r="BN179" t="str">
        <f t="shared" si="33"/>
        <v>u=1%, k=2x10^6</v>
      </c>
      <c r="BO179" t="str">
        <f t="shared" si="34"/>
        <v>u=1%, k=2x10^6, sequential</v>
      </c>
      <c r="BP179">
        <f t="shared" si="43"/>
        <v>0.16675616795833334</v>
      </c>
      <c r="BQ179">
        <f t="shared" si="45"/>
        <v>3.5631681504583335</v>
      </c>
      <c r="BR179">
        <f t="shared" si="46"/>
        <v>0.25183099145833332</v>
      </c>
      <c r="BS179">
        <f t="shared" si="47"/>
        <v>0.21743437366666665</v>
      </c>
      <c r="BT179">
        <f t="shared" si="48"/>
        <v>9.2029504500000012E-2</v>
      </c>
      <c r="BU179">
        <f t="shared" si="44"/>
        <v>55.565481234083329</v>
      </c>
    </row>
    <row r="180" spans="1:73">
      <c r="A180" t="s">
        <v>276</v>
      </c>
      <c r="B180" t="s">
        <v>136</v>
      </c>
      <c r="C180">
        <v>72</v>
      </c>
      <c r="D180" t="s">
        <v>56</v>
      </c>
      <c r="E180" t="s">
        <v>53</v>
      </c>
      <c r="F180" t="s">
        <v>54</v>
      </c>
      <c r="G180">
        <v>60000</v>
      </c>
      <c r="H180">
        <v>0.5</v>
      </c>
      <c r="I180">
        <v>0.5</v>
      </c>
      <c r="J180">
        <v>0</v>
      </c>
      <c r="K180">
        <v>1</v>
      </c>
      <c r="L180">
        <v>2000000</v>
      </c>
      <c r="M180">
        <v>48</v>
      </c>
      <c r="N180">
        <v>48</v>
      </c>
      <c r="O180">
        <v>48</v>
      </c>
      <c r="P180">
        <v>0</v>
      </c>
      <c r="Q180" t="s">
        <v>55</v>
      </c>
      <c r="R180">
        <v>1000010037591</v>
      </c>
      <c r="S180">
        <v>1000725</v>
      </c>
      <c r="T180">
        <v>1000010037591</v>
      </c>
      <c r="U180">
        <v>1000725</v>
      </c>
      <c r="V180" t="s">
        <v>63</v>
      </c>
      <c r="W180">
        <v>6</v>
      </c>
      <c r="X180">
        <v>33047</v>
      </c>
      <c r="Y180">
        <v>1032777</v>
      </c>
      <c r="Z180">
        <v>1065824</v>
      </c>
      <c r="AA180">
        <v>1000725</v>
      </c>
      <c r="AB180">
        <v>32.251800000000003</v>
      </c>
      <c r="AC180">
        <v>0.96896499999999997</v>
      </c>
      <c r="AD180">
        <v>3.0000200000000001</v>
      </c>
      <c r="AE180">
        <v>19168176</v>
      </c>
      <c r="AF180" t="s">
        <v>687</v>
      </c>
      <c r="AG180" t="s">
        <v>688</v>
      </c>
      <c r="AI180">
        <v>598344</v>
      </c>
      <c r="AJ180">
        <v>2874052395500</v>
      </c>
      <c r="AK180">
        <v>9498039739</v>
      </c>
      <c r="AL180">
        <v>354046821933</v>
      </c>
      <c r="AM180">
        <v>12786173007</v>
      </c>
      <c r="AN180">
        <v>10451805987</v>
      </c>
      <c r="AO180">
        <v>4878613383</v>
      </c>
      <c r="AP180">
        <v>6531810899</v>
      </c>
      <c r="AQ180">
        <v>0</v>
      </c>
      <c r="AR180">
        <v>65989884</v>
      </c>
      <c r="AS180">
        <v>6531810899</v>
      </c>
      <c r="AT180">
        <v>6597800783</v>
      </c>
      <c r="AU180">
        <v>108863514</v>
      </c>
      <c r="AV180">
        <v>0</v>
      </c>
      <c r="AW180">
        <v>1099831</v>
      </c>
      <c r="AX180">
        <v>108863514</v>
      </c>
      <c r="AY180">
        <v>109963346</v>
      </c>
      <c r="AZ180">
        <v>8.2380899999999997</v>
      </c>
      <c r="BA180">
        <v>0.103048</v>
      </c>
      <c r="BB180">
        <v>1209.1500000000001</v>
      </c>
      <c r="BC180">
        <v>361.96600000000001</v>
      </c>
      <c r="BD180">
        <v>1610</v>
      </c>
      <c r="BE180">
        <v>70</v>
      </c>
      <c r="BF180">
        <f t="shared" si="35"/>
        <v>59.876091572916664</v>
      </c>
      <c r="BG180" s="31">
        <f t="shared" si="36"/>
        <v>8.1596136260208336</v>
      </c>
      <c r="BH180">
        <f t="shared" si="37"/>
        <v>132</v>
      </c>
      <c r="BI180">
        <f t="shared" si="38"/>
        <v>130257</v>
      </c>
      <c r="BJ180">
        <f t="shared" si="39"/>
        <v>1236725</v>
      </c>
      <c r="BK180">
        <f t="shared" si="40"/>
        <v>1795443</v>
      </c>
      <c r="BL180">
        <f t="shared" si="41"/>
        <v>0</v>
      </c>
      <c r="BM180">
        <f t="shared" si="42"/>
        <v>0</v>
      </c>
      <c r="BN180" t="str">
        <f t="shared" si="33"/>
        <v>u=1%, k=2x10^6</v>
      </c>
      <c r="BO180" t="str">
        <f t="shared" si="34"/>
        <v>u=1%, k=2x10^6, sequential</v>
      </c>
      <c r="BP180">
        <f t="shared" si="43"/>
        <v>0.19787582789583333</v>
      </c>
      <c r="BQ180">
        <f t="shared" si="45"/>
        <v>7.3759754569374998</v>
      </c>
      <c r="BR180">
        <f t="shared" si="46"/>
        <v>0.26637860431249999</v>
      </c>
      <c r="BS180">
        <f t="shared" si="47"/>
        <v>0.21774595806249999</v>
      </c>
      <c r="BT180">
        <f t="shared" si="48"/>
        <v>0.10163777881250001</v>
      </c>
      <c r="BU180">
        <f t="shared" si="44"/>
        <v>51.716477946895836</v>
      </c>
    </row>
    <row r="181" spans="1:73">
      <c r="A181" t="s">
        <v>277</v>
      </c>
      <c r="B181" t="s">
        <v>136</v>
      </c>
      <c r="C181">
        <v>72</v>
      </c>
      <c r="D181" t="s">
        <v>56</v>
      </c>
      <c r="E181" t="s">
        <v>53</v>
      </c>
      <c r="F181" t="s">
        <v>54</v>
      </c>
      <c r="G181">
        <v>60000</v>
      </c>
      <c r="H181">
        <v>0.5</v>
      </c>
      <c r="I181">
        <v>0.5</v>
      </c>
      <c r="J181">
        <v>0</v>
      </c>
      <c r="K181">
        <v>1</v>
      </c>
      <c r="L181">
        <v>2000000</v>
      </c>
      <c r="M181">
        <v>96</v>
      </c>
      <c r="N181">
        <v>96</v>
      </c>
      <c r="O181">
        <v>96</v>
      </c>
      <c r="P181">
        <v>0</v>
      </c>
      <c r="Q181" t="s">
        <v>55</v>
      </c>
      <c r="R181">
        <v>998668226835</v>
      </c>
      <c r="S181">
        <v>998736</v>
      </c>
      <c r="T181">
        <v>998668226835</v>
      </c>
      <c r="U181">
        <v>998736</v>
      </c>
      <c r="V181" t="s">
        <v>63</v>
      </c>
      <c r="W181">
        <v>6</v>
      </c>
      <c r="X181">
        <v>33029</v>
      </c>
      <c r="Y181">
        <v>1030783</v>
      </c>
      <c r="Z181">
        <v>1063812</v>
      </c>
      <c r="AA181">
        <v>998736</v>
      </c>
      <c r="AB181">
        <v>32.208399999999997</v>
      </c>
      <c r="AC181">
        <v>0.96891000000000005</v>
      </c>
      <c r="AD181">
        <v>3.0000499999999999</v>
      </c>
      <c r="AE181">
        <v>19134832</v>
      </c>
      <c r="AF181" t="s">
        <v>689</v>
      </c>
      <c r="AG181" t="s">
        <v>690</v>
      </c>
      <c r="AI181">
        <v>254324</v>
      </c>
      <c r="AJ181">
        <v>5748995745709</v>
      </c>
      <c r="AK181">
        <v>29224993579</v>
      </c>
      <c r="AL181">
        <v>1280963257777</v>
      </c>
      <c r="AM181">
        <v>28291419399</v>
      </c>
      <c r="AN181">
        <v>16912284532</v>
      </c>
      <c r="AO181">
        <v>8566081239</v>
      </c>
      <c r="AP181">
        <v>11031747425</v>
      </c>
      <c r="AQ181">
        <v>0</v>
      </c>
      <c r="AR181">
        <v>111446416</v>
      </c>
      <c r="AS181">
        <v>11031747425</v>
      </c>
      <c r="AT181">
        <v>11143193841</v>
      </c>
      <c r="AU181">
        <v>183862457</v>
      </c>
      <c r="AV181">
        <v>0</v>
      </c>
      <c r="AW181">
        <v>1857440</v>
      </c>
      <c r="AX181">
        <v>183862457</v>
      </c>
      <c r="AY181">
        <v>185719897</v>
      </c>
      <c r="AZ181">
        <v>8.2331299999999992</v>
      </c>
      <c r="BA181">
        <v>0.23496800000000001</v>
      </c>
      <c r="BB181">
        <v>1431.48</v>
      </c>
      <c r="BC181">
        <v>385</v>
      </c>
      <c r="BD181">
        <v>2108</v>
      </c>
      <c r="BE181">
        <v>130</v>
      </c>
      <c r="BF181">
        <f t="shared" si="35"/>
        <v>59.885372351135423</v>
      </c>
      <c r="BG181" s="31">
        <f t="shared" si="36"/>
        <v>14.207896213812498</v>
      </c>
      <c r="BH181">
        <f t="shared" si="37"/>
        <v>223</v>
      </c>
      <c r="BI181">
        <f t="shared" si="38"/>
        <v>348874</v>
      </c>
      <c r="BJ181">
        <f t="shared" si="39"/>
        <v>607055</v>
      </c>
      <c r="BK181">
        <f t="shared" si="40"/>
        <v>2576393</v>
      </c>
      <c r="BL181">
        <f t="shared" si="41"/>
        <v>0</v>
      </c>
      <c r="BM181">
        <f t="shared" si="42"/>
        <v>0</v>
      </c>
      <c r="BN181" t="str">
        <f t="shared" si="33"/>
        <v>u=1%, k=2x10^6</v>
      </c>
      <c r="BO181" t="str">
        <f t="shared" si="34"/>
        <v>u=1%, k=2x10^6, sequential</v>
      </c>
      <c r="BP181">
        <f t="shared" si="43"/>
        <v>0.30442701644791664</v>
      </c>
      <c r="BQ181">
        <f t="shared" si="45"/>
        <v>13.343367268510418</v>
      </c>
      <c r="BR181">
        <f t="shared" si="46"/>
        <v>0.29470228540624999</v>
      </c>
      <c r="BS181">
        <f t="shared" si="47"/>
        <v>0.17616963054166668</v>
      </c>
      <c r="BT181">
        <f t="shared" si="48"/>
        <v>8.9230012906250003E-2</v>
      </c>
      <c r="BU181">
        <f t="shared" si="44"/>
        <v>45.67747613732292</v>
      </c>
    </row>
    <row r="182" spans="1:73">
      <c r="A182" t="s">
        <v>278</v>
      </c>
      <c r="B182" t="s">
        <v>136</v>
      </c>
      <c r="C182">
        <v>72</v>
      </c>
      <c r="D182" t="s">
        <v>56</v>
      </c>
      <c r="E182" t="s">
        <v>53</v>
      </c>
      <c r="F182" t="s">
        <v>54</v>
      </c>
      <c r="G182">
        <v>60000</v>
      </c>
      <c r="H182">
        <v>0.5</v>
      </c>
      <c r="I182">
        <v>0.5</v>
      </c>
      <c r="J182">
        <v>0</v>
      </c>
      <c r="K182">
        <v>1</v>
      </c>
      <c r="L182">
        <v>2000000</v>
      </c>
      <c r="M182">
        <v>144</v>
      </c>
      <c r="N182">
        <v>144</v>
      </c>
      <c r="O182">
        <v>144</v>
      </c>
      <c r="P182">
        <v>0</v>
      </c>
      <c r="Q182" t="s">
        <v>55</v>
      </c>
      <c r="R182">
        <v>999296160101</v>
      </c>
      <c r="S182">
        <v>999502</v>
      </c>
      <c r="T182">
        <v>999296160101</v>
      </c>
      <c r="U182">
        <v>999502</v>
      </c>
      <c r="V182" t="s">
        <v>63</v>
      </c>
      <c r="W182">
        <v>6</v>
      </c>
      <c r="X182">
        <v>33042</v>
      </c>
      <c r="Y182">
        <v>1031577</v>
      </c>
      <c r="Z182">
        <v>1064619</v>
      </c>
      <c r="AA182">
        <v>999502</v>
      </c>
      <c r="AB182">
        <v>32.220199999999998</v>
      </c>
      <c r="AC182">
        <v>0.96890699999999996</v>
      </c>
      <c r="AD182">
        <v>3.0000800000000001</v>
      </c>
      <c r="AE182">
        <v>19148576</v>
      </c>
      <c r="AF182" t="s">
        <v>691</v>
      </c>
      <c r="AG182" t="s">
        <v>692</v>
      </c>
      <c r="AI182">
        <v>147648</v>
      </c>
      <c r="AJ182">
        <v>8620525102994</v>
      </c>
      <c r="AK182">
        <v>52416336219</v>
      </c>
      <c r="AL182">
        <v>2622890191720</v>
      </c>
      <c r="AM182">
        <v>50755993949</v>
      </c>
      <c r="AN182">
        <v>22113050053</v>
      </c>
      <c r="AO182">
        <v>14554813779</v>
      </c>
      <c r="AP182">
        <v>14294055855</v>
      </c>
      <c r="AQ182">
        <v>0</v>
      </c>
      <c r="AR182">
        <v>144370054</v>
      </c>
      <c r="AS182">
        <v>14294055855</v>
      </c>
      <c r="AT182">
        <v>14438425909</v>
      </c>
      <c r="AU182">
        <v>238234264</v>
      </c>
      <c r="AV182">
        <v>0</v>
      </c>
      <c r="AW182">
        <v>2406167</v>
      </c>
      <c r="AX182">
        <v>238234264</v>
      </c>
      <c r="AY182">
        <v>240640431</v>
      </c>
      <c r="AZ182">
        <v>8.5021699999999996</v>
      </c>
      <c r="BA182">
        <v>0.33723399999999998</v>
      </c>
      <c r="BB182">
        <v>1635.18</v>
      </c>
      <c r="BC182">
        <v>403.34399999999999</v>
      </c>
      <c r="BD182">
        <v>2716</v>
      </c>
      <c r="BE182">
        <v>238</v>
      </c>
      <c r="BF182">
        <f t="shared" si="35"/>
        <v>59.864757659680549</v>
      </c>
      <c r="BG182" s="31">
        <f t="shared" si="36"/>
        <v>19.185627678611112</v>
      </c>
      <c r="BH182">
        <f t="shared" si="37"/>
        <v>289</v>
      </c>
      <c r="BI182">
        <f t="shared" si="38"/>
        <v>841487</v>
      </c>
      <c r="BJ182">
        <f t="shared" si="39"/>
        <v>152292</v>
      </c>
      <c r="BK182">
        <f t="shared" si="40"/>
        <v>2344702</v>
      </c>
      <c r="BL182">
        <f t="shared" si="41"/>
        <v>0</v>
      </c>
      <c r="BM182">
        <f t="shared" si="42"/>
        <v>0</v>
      </c>
      <c r="BN182" t="str">
        <f t="shared" si="33"/>
        <v>u=1%, k=2x10^6</v>
      </c>
      <c r="BO182" t="str">
        <f t="shared" si="34"/>
        <v>u=1%, k=2x10^6, sequential</v>
      </c>
      <c r="BP182">
        <f t="shared" si="43"/>
        <v>0.36400233485416666</v>
      </c>
      <c r="BQ182">
        <f t="shared" si="45"/>
        <v>18.214515220277779</v>
      </c>
      <c r="BR182">
        <f t="shared" si="46"/>
        <v>0.35247218020138887</v>
      </c>
      <c r="BS182">
        <f t="shared" si="47"/>
        <v>0.15356284759027777</v>
      </c>
      <c r="BT182">
        <f t="shared" si="48"/>
        <v>0.10107509568750001</v>
      </c>
      <c r="BU182">
        <f t="shared" si="44"/>
        <v>40.679129981069437</v>
      </c>
    </row>
    <row r="183" spans="1:73">
      <c r="A183" t="s">
        <v>279</v>
      </c>
      <c r="B183" t="s">
        <v>136</v>
      </c>
      <c r="C183">
        <v>72</v>
      </c>
      <c r="D183" t="s">
        <v>56</v>
      </c>
      <c r="E183" t="s">
        <v>53</v>
      </c>
      <c r="F183" t="s">
        <v>54</v>
      </c>
      <c r="G183">
        <v>60000</v>
      </c>
      <c r="H183">
        <v>0.5</v>
      </c>
      <c r="I183">
        <v>0.5</v>
      </c>
      <c r="J183">
        <v>0</v>
      </c>
      <c r="K183">
        <v>1</v>
      </c>
      <c r="L183">
        <v>2000000</v>
      </c>
      <c r="M183">
        <v>190</v>
      </c>
      <c r="N183">
        <v>190</v>
      </c>
      <c r="O183">
        <v>190</v>
      </c>
      <c r="P183">
        <v>0</v>
      </c>
      <c r="Q183" t="s">
        <v>55</v>
      </c>
      <c r="R183">
        <v>998783573408</v>
      </c>
      <c r="S183">
        <v>998835</v>
      </c>
      <c r="T183">
        <v>998783573408</v>
      </c>
      <c r="U183">
        <v>998835</v>
      </c>
      <c r="V183" t="s">
        <v>63</v>
      </c>
      <c r="W183">
        <v>6</v>
      </c>
      <c r="X183">
        <v>54606</v>
      </c>
      <c r="Y183">
        <v>1075087</v>
      </c>
      <c r="Z183">
        <v>1129693</v>
      </c>
      <c r="AA183">
        <v>998835</v>
      </c>
      <c r="AB183">
        <v>20.688099999999999</v>
      </c>
      <c r="AC183">
        <v>0.92907399999999996</v>
      </c>
      <c r="AD183">
        <v>3.0453600000000001</v>
      </c>
      <c r="AE183">
        <v>21592672</v>
      </c>
      <c r="AF183" t="s">
        <v>693</v>
      </c>
      <c r="AG183" t="s">
        <v>694</v>
      </c>
      <c r="AI183">
        <v>122634</v>
      </c>
      <c r="AJ183">
        <v>11372775521799</v>
      </c>
      <c r="AK183">
        <v>63278997326</v>
      </c>
      <c r="AL183">
        <v>3885128902442</v>
      </c>
      <c r="AM183">
        <v>55225257640</v>
      </c>
      <c r="AN183">
        <v>28129016099</v>
      </c>
      <c r="AO183">
        <v>15704499744</v>
      </c>
      <c r="AP183">
        <v>17686910582</v>
      </c>
      <c r="AQ183">
        <v>0</v>
      </c>
      <c r="AR183">
        <v>178667552</v>
      </c>
      <c r="AS183">
        <v>17686910582</v>
      </c>
      <c r="AT183">
        <v>17865578134</v>
      </c>
      <c r="AU183">
        <v>294781843</v>
      </c>
      <c r="AV183">
        <v>0</v>
      </c>
      <c r="AW183">
        <v>2977792</v>
      </c>
      <c r="AX183">
        <v>294781843</v>
      </c>
      <c r="AY183">
        <v>297759635</v>
      </c>
      <c r="AZ183">
        <v>8.5445100000000007</v>
      </c>
      <c r="BA183">
        <v>0.39118900000000001</v>
      </c>
      <c r="BB183">
        <v>1748.11</v>
      </c>
      <c r="BC183">
        <v>412.846</v>
      </c>
      <c r="BD183">
        <v>2644</v>
      </c>
      <c r="BE183">
        <v>223</v>
      </c>
      <c r="BF183">
        <f t="shared" si="35"/>
        <v>59.856713272626315</v>
      </c>
      <c r="BG183" s="31">
        <f t="shared" si="36"/>
        <v>21.302456175005265</v>
      </c>
      <c r="BH183">
        <f t="shared" si="37"/>
        <v>357</v>
      </c>
      <c r="BI183">
        <f t="shared" si="38"/>
        <v>838852</v>
      </c>
      <c r="BJ183">
        <f t="shared" si="39"/>
        <v>406494</v>
      </c>
      <c r="BK183">
        <f t="shared" si="40"/>
        <v>3356618</v>
      </c>
      <c r="BL183">
        <f t="shared" si="41"/>
        <v>0</v>
      </c>
      <c r="BM183">
        <f t="shared" si="42"/>
        <v>0</v>
      </c>
      <c r="BN183" t="str">
        <f t="shared" ref="BN183:BN228" si="49">"u="&amp;(H183+I183)&amp;"%, k=2x10^"&amp;LOG10(L183/2)</f>
        <v>u=1%, k=2x10^6</v>
      </c>
      <c r="BO183" t="str">
        <f t="shared" ref="BO183:BO228" si="50">BN183&amp;", "&amp;IF(getFieldDelim(B183,"_",4)="enabled","collaborative","sequential")</f>
        <v>u=1%, k=2x10^6, sequential</v>
      </c>
      <c r="BP183">
        <f t="shared" si="43"/>
        <v>0.33304735434736843</v>
      </c>
      <c r="BQ183">
        <f t="shared" si="45"/>
        <v>20.448046854957894</v>
      </c>
      <c r="BR183">
        <f t="shared" si="46"/>
        <v>0.29065925073684212</v>
      </c>
      <c r="BS183">
        <f t="shared" si="47"/>
        <v>0.1480474531526316</v>
      </c>
      <c r="BT183">
        <f t="shared" si="48"/>
        <v>8.265526181052632E-2</v>
      </c>
      <c r="BU183">
        <f t="shared" si="44"/>
        <v>38.554257097621054</v>
      </c>
    </row>
    <row r="184" spans="1:73">
      <c r="A184" t="s">
        <v>280</v>
      </c>
      <c r="B184" t="s">
        <v>136</v>
      </c>
      <c r="C184">
        <v>72</v>
      </c>
      <c r="D184" t="s">
        <v>56</v>
      </c>
      <c r="E184" t="s">
        <v>53</v>
      </c>
      <c r="F184" t="s">
        <v>54</v>
      </c>
      <c r="G184">
        <v>60000</v>
      </c>
      <c r="H184">
        <v>0.5</v>
      </c>
      <c r="I184">
        <v>0.5</v>
      </c>
      <c r="J184">
        <v>0</v>
      </c>
      <c r="K184">
        <v>1</v>
      </c>
      <c r="L184">
        <v>20000000</v>
      </c>
      <c r="M184">
        <v>24</v>
      </c>
      <c r="N184">
        <v>24</v>
      </c>
      <c r="O184">
        <v>24</v>
      </c>
      <c r="P184">
        <v>0</v>
      </c>
      <c r="Q184" t="s">
        <v>55</v>
      </c>
      <c r="R184">
        <v>99998037398802</v>
      </c>
      <c r="S184">
        <v>10001212</v>
      </c>
      <c r="T184">
        <v>99998037398802</v>
      </c>
      <c r="U184">
        <v>10001212</v>
      </c>
      <c r="V184" t="s">
        <v>63</v>
      </c>
      <c r="W184">
        <v>7</v>
      </c>
      <c r="X184">
        <v>1625790</v>
      </c>
      <c r="Y184">
        <v>11443549</v>
      </c>
      <c r="Z184">
        <v>13069339</v>
      </c>
      <c r="AA184">
        <v>10001212</v>
      </c>
      <c r="AB184">
        <v>8.0387599999999999</v>
      </c>
      <c r="AC184">
        <v>0.87396099999999999</v>
      </c>
      <c r="AD184">
        <v>4</v>
      </c>
      <c r="AE184">
        <v>313159968</v>
      </c>
      <c r="AF184" t="s">
        <v>695</v>
      </c>
      <c r="AG184" t="s">
        <v>696</v>
      </c>
      <c r="AI184">
        <v>718232</v>
      </c>
      <c r="AJ184">
        <v>1450973420309</v>
      </c>
      <c r="AK184">
        <v>5464746689</v>
      </c>
      <c r="AL184">
        <v>83754341820</v>
      </c>
      <c r="AM184">
        <v>7780581405</v>
      </c>
      <c r="AN184">
        <v>5047488759</v>
      </c>
      <c r="AO184">
        <v>2088748554</v>
      </c>
      <c r="AP184">
        <v>1980477927</v>
      </c>
      <c r="AQ184">
        <v>0</v>
      </c>
      <c r="AR184">
        <v>20004257</v>
      </c>
      <c r="AS184">
        <v>1980477927</v>
      </c>
      <c r="AT184">
        <v>2000482184</v>
      </c>
      <c r="AU184">
        <v>33007965</v>
      </c>
      <c r="AV184">
        <v>0</v>
      </c>
      <c r="AW184">
        <v>333404</v>
      </c>
      <c r="AX184">
        <v>33007965</v>
      </c>
      <c r="AY184">
        <v>33341369</v>
      </c>
      <c r="AZ184">
        <v>16.1158</v>
      </c>
      <c r="BA184">
        <v>5.89682</v>
      </c>
      <c r="BB184">
        <v>2025.35</v>
      </c>
      <c r="BC184">
        <v>1226.31</v>
      </c>
      <c r="BD184">
        <v>2674</v>
      </c>
      <c r="BE184">
        <v>154</v>
      </c>
      <c r="BF184">
        <f t="shared" ref="BF184:BF228" si="51">AJ184/1000000000/$N184</f>
        <v>60.457225846208331</v>
      </c>
      <c r="BG184" s="31">
        <f t="shared" ref="BG184:BG228" si="52">SUM(AK184:AO184)/1000000000/$N184</f>
        <v>4.3389961344583332</v>
      </c>
      <c r="BH184">
        <f t="shared" ref="BH184:BH245" si="53">getFieldL($AG184,0)</f>
        <v>4</v>
      </c>
      <c r="BI184">
        <f t="shared" ref="BI184:BI245" si="54">getFieldL($AG184,1)</f>
        <v>11189</v>
      </c>
      <c r="BJ184">
        <f t="shared" ref="BJ184:BJ245" si="55">getFieldL($AG184,2)</f>
        <v>320574</v>
      </c>
      <c r="BK184">
        <f t="shared" ref="BK184:BK245" si="56">getFieldL($AG184,3)</f>
        <v>2927630</v>
      </c>
      <c r="BL184">
        <f t="shared" ref="BL184:BL245" si="57">getFieldL($AG184,4)</f>
        <v>9720</v>
      </c>
      <c r="BM184">
        <f t="shared" ref="BM184:BM245" si="58">getFieldL($AG184,5)</f>
        <v>0</v>
      </c>
      <c r="BN184" t="str">
        <f t="shared" si="49"/>
        <v>u=1%, k=2x10^7</v>
      </c>
      <c r="BO184" t="str">
        <f t="shared" si="50"/>
        <v>u=1%, k=2x10^7, sequential</v>
      </c>
      <c r="BP184">
        <f t="shared" ref="BP184:BP228" si="59">AK184/1000000000/$N184</f>
        <v>0.22769777870833333</v>
      </c>
      <c r="BQ184">
        <f t="shared" si="45"/>
        <v>3.4897642424999997</v>
      </c>
      <c r="BR184">
        <f t="shared" si="46"/>
        <v>0.324190891875</v>
      </c>
      <c r="BS184">
        <f t="shared" si="47"/>
        <v>0.21031203162500001</v>
      </c>
      <c r="BT184">
        <f t="shared" si="48"/>
        <v>8.7031189750000001E-2</v>
      </c>
      <c r="BU184">
        <f t="shared" ref="BU184:BU228" si="60">BF184-SUM(BP184:BT184)</f>
        <v>56.118229711749997</v>
      </c>
    </row>
    <row r="185" spans="1:73">
      <c r="A185" t="s">
        <v>281</v>
      </c>
      <c r="B185" t="s">
        <v>136</v>
      </c>
      <c r="C185">
        <v>72</v>
      </c>
      <c r="D185" t="s">
        <v>56</v>
      </c>
      <c r="E185" t="s">
        <v>53</v>
      </c>
      <c r="F185" t="s">
        <v>54</v>
      </c>
      <c r="G185">
        <v>60000</v>
      </c>
      <c r="H185">
        <v>0.5</v>
      </c>
      <c r="I185">
        <v>0.5</v>
      </c>
      <c r="J185">
        <v>0</v>
      </c>
      <c r="K185">
        <v>1</v>
      </c>
      <c r="L185">
        <v>20000000</v>
      </c>
      <c r="M185">
        <v>48</v>
      </c>
      <c r="N185">
        <v>48</v>
      </c>
      <c r="O185">
        <v>48</v>
      </c>
      <c r="P185">
        <v>0</v>
      </c>
      <c r="Q185" t="s">
        <v>55</v>
      </c>
      <c r="R185">
        <v>100002809577319</v>
      </c>
      <c r="S185">
        <v>9999961</v>
      </c>
      <c r="T185">
        <v>100002809577319</v>
      </c>
      <c r="U185">
        <v>9999961</v>
      </c>
      <c r="V185" t="s">
        <v>63</v>
      </c>
      <c r="W185">
        <v>7</v>
      </c>
      <c r="X185">
        <v>1907707</v>
      </c>
      <c r="Y185">
        <v>12037281</v>
      </c>
      <c r="Z185">
        <v>13944988</v>
      </c>
      <c r="AA185">
        <v>9999961</v>
      </c>
      <c r="AB185">
        <v>7.3098200000000002</v>
      </c>
      <c r="AC185">
        <v>0.83074899999999996</v>
      </c>
      <c r="AD185">
        <v>4.0563500000000001</v>
      </c>
      <c r="AE185">
        <v>345249856</v>
      </c>
      <c r="AF185" t="s">
        <v>697</v>
      </c>
      <c r="AG185" t="s">
        <v>698</v>
      </c>
      <c r="AI185">
        <v>284458</v>
      </c>
      <c r="AJ185">
        <v>2873121950713</v>
      </c>
      <c r="AK185">
        <v>10933606855</v>
      </c>
      <c r="AL185">
        <v>292011495768</v>
      </c>
      <c r="AM185">
        <v>16558595189</v>
      </c>
      <c r="AN185">
        <v>11717470512</v>
      </c>
      <c r="AO185">
        <v>4578529566</v>
      </c>
      <c r="AP185">
        <v>3259202001</v>
      </c>
      <c r="AQ185">
        <v>0</v>
      </c>
      <c r="AR185">
        <v>32924634</v>
      </c>
      <c r="AS185">
        <v>3259202001</v>
      </c>
      <c r="AT185">
        <v>3292126635</v>
      </c>
      <c r="AU185">
        <v>54320033</v>
      </c>
      <c r="AV185">
        <v>0</v>
      </c>
      <c r="AW185">
        <v>548743</v>
      </c>
      <c r="AX185">
        <v>54320033</v>
      </c>
      <c r="AY185">
        <v>54868777</v>
      </c>
      <c r="AZ185">
        <v>16.008099999999999</v>
      </c>
      <c r="BA185">
        <v>5.9725599999999996</v>
      </c>
      <c r="BB185">
        <v>2433.81</v>
      </c>
      <c r="BC185">
        <v>1489.46</v>
      </c>
      <c r="BD185">
        <v>2773</v>
      </c>
      <c r="BE185">
        <v>182</v>
      </c>
      <c r="BF185">
        <f t="shared" si="51"/>
        <v>59.856707306520832</v>
      </c>
      <c r="BG185" s="31">
        <f t="shared" si="52"/>
        <v>6.9958270393750004</v>
      </c>
      <c r="BH185">
        <f t="shared" si="53"/>
        <v>6</v>
      </c>
      <c r="BI185">
        <f t="shared" si="54"/>
        <v>18638</v>
      </c>
      <c r="BJ185">
        <f t="shared" si="55"/>
        <v>415420</v>
      </c>
      <c r="BK185">
        <f t="shared" si="56"/>
        <v>4679330</v>
      </c>
      <c r="BL185">
        <f t="shared" si="57"/>
        <v>14978</v>
      </c>
      <c r="BM185">
        <f t="shared" si="58"/>
        <v>0</v>
      </c>
      <c r="BN185" t="str">
        <f t="shared" si="49"/>
        <v>u=1%, k=2x10^7</v>
      </c>
      <c r="BO185" t="str">
        <f t="shared" si="50"/>
        <v>u=1%, k=2x10^7, sequential</v>
      </c>
      <c r="BP185">
        <f t="shared" si="59"/>
        <v>0.22778347614583336</v>
      </c>
      <c r="BQ185">
        <f t="shared" si="45"/>
        <v>6.0835728284999995</v>
      </c>
      <c r="BR185">
        <f t="shared" si="46"/>
        <v>0.34497073310416665</v>
      </c>
      <c r="BS185">
        <f t="shared" si="47"/>
        <v>0.24411396900000001</v>
      </c>
      <c r="BT185">
        <f t="shared" si="48"/>
        <v>9.5386032625000006E-2</v>
      </c>
      <c r="BU185">
        <f t="shared" si="60"/>
        <v>52.860880267145831</v>
      </c>
    </row>
    <row r="186" spans="1:73">
      <c r="A186" t="s">
        <v>282</v>
      </c>
      <c r="B186" t="s">
        <v>136</v>
      </c>
      <c r="C186">
        <v>72</v>
      </c>
      <c r="D186" t="s">
        <v>56</v>
      </c>
      <c r="E186" t="s">
        <v>53</v>
      </c>
      <c r="F186" t="s">
        <v>54</v>
      </c>
      <c r="G186">
        <v>60000</v>
      </c>
      <c r="H186">
        <v>0.5</v>
      </c>
      <c r="I186">
        <v>0.5</v>
      </c>
      <c r="J186">
        <v>0</v>
      </c>
      <c r="K186">
        <v>1</v>
      </c>
      <c r="L186">
        <v>20000000</v>
      </c>
      <c r="M186">
        <v>96</v>
      </c>
      <c r="N186">
        <v>96</v>
      </c>
      <c r="O186">
        <v>96</v>
      </c>
      <c r="P186">
        <v>0</v>
      </c>
      <c r="Q186" t="s">
        <v>55</v>
      </c>
      <c r="R186">
        <v>99996928582910</v>
      </c>
      <c r="S186">
        <v>10000233</v>
      </c>
      <c r="T186">
        <v>99996928582910</v>
      </c>
      <c r="U186">
        <v>10000233</v>
      </c>
      <c r="V186" t="s">
        <v>63</v>
      </c>
      <c r="W186">
        <v>7</v>
      </c>
      <c r="X186">
        <v>1905795</v>
      </c>
      <c r="Y186">
        <v>12035211</v>
      </c>
      <c r="Z186">
        <v>13941006</v>
      </c>
      <c r="AA186">
        <v>10000233</v>
      </c>
      <c r="AB186">
        <v>7.3150599999999999</v>
      </c>
      <c r="AC186">
        <v>0.83091499999999996</v>
      </c>
      <c r="AD186">
        <v>4.0558100000000001</v>
      </c>
      <c r="AE186">
        <v>345066496</v>
      </c>
      <c r="AF186" t="s">
        <v>699</v>
      </c>
      <c r="AG186" t="s">
        <v>700</v>
      </c>
      <c r="AI186">
        <v>134772</v>
      </c>
      <c r="AJ186">
        <v>5746247611142</v>
      </c>
      <c r="AK186">
        <v>22682397368</v>
      </c>
      <c r="AL186">
        <v>1186655800182</v>
      </c>
      <c r="AM186">
        <v>32662381912</v>
      </c>
      <c r="AN186">
        <v>34822567827</v>
      </c>
      <c r="AO186">
        <v>9308153374</v>
      </c>
      <c r="AP186">
        <v>6250504968</v>
      </c>
      <c r="AQ186">
        <v>0</v>
      </c>
      <c r="AR186">
        <v>63135281</v>
      </c>
      <c r="AS186">
        <v>6250504968</v>
      </c>
      <c r="AT186">
        <v>6313640249</v>
      </c>
      <c r="AU186">
        <v>104175082</v>
      </c>
      <c r="AV186">
        <v>0</v>
      </c>
      <c r="AW186">
        <v>1052254</v>
      </c>
      <c r="AX186">
        <v>104175082</v>
      </c>
      <c r="AY186">
        <v>105227337</v>
      </c>
      <c r="AZ186">
        <v>15.9918</v>
      </c>
      <c r="BA186">
        <v>6.3800100000000004</v>
      </c>
      <c r="BB186">
        <v>2525.9299999999998</v>
      </c>
      <c r="BC186">
        <v>1245.9000000000001</v>
      </c>
      <c r="BD186">
        <v>3287</v>
      </c>
      <c r="BE186">
        <v>240</v>
      </c>
      <c r="BF186">
        <f t="shared" si="51"/>
        <v>59.856745949395837</v>
      </c>
      <c r="BG186" s="31">
        <f t="shared" si="52"/>
        <v>13.397201048572917</v>
      </c>
      <c r="BH186">
        <f t="shared" si="53"/>
        <v>12</v>
      </c>
      <c r="BI186">
        <f t="shared" si="54"/>
        <v>37950</v>
      </c>
      <c r="BJ186">
        <f t="shared" si="55"/>
        <v>567526</v>
      </c>
      <c r="BK186">
        <f t="shared" si="56"/>
        <v>8678441</v>
      </c>
      <c r="BL186">
        <f t="shared" si="57"/>
        <v>25229</v>
      </c>
      <c r="BM186">
        <f t="shared" si="58"/>
        <v>0</v>
      </c>
      <c r="BN186" t="str">
        <f t="shared" si="49"/>
        <v>u=1%, k=2x10^7</v>
      </c>
      <c r="BO186" t="str">
        <f t="shared" si="50"/>
        <v>u=1%, k=2x10^7, sequential</v>
      </c>
      <c r="BP186">
        <f t="shared" si="59"/>
        <v>0.23627497258333333</v>
      </c>
      <c r="BQ186">
        <f t="shared" si="45"/>
        <v>12.360997918562498</v>
      </c>
      <c r="BR186">
        <f t="shared" si="46"/>
        <v>0.34023314491666667</v>
      </c>
      <c r="BS186">
        <f t="shared" si="47"/>
        <v>0.36273508153125</v>
      </c>
      <c r="BT186">
        <f t="shared" si="48"/>
        <v>9.6959930979166664E-2</v>
      </c>
      <c r="BU186">
        <f t="shared" si="60"/>
        <v>46.45954490082292</v>
      </c>
    </row>
    <row r="187" spans="1:73">
      <c r="A187" t="s">
        <v>283</v>
      </c>
      <c r="B187" t="s">
        <v>136</v>
      </c>
      <c r="C187">
        <v>72</v>
      </c>
      <c r="D187" t="s">
        <v>56</v>
      </c>
      <c r="E187" t="s">
        <v>53</v>
      </c>
      <c r="F187" t="s">
        <v>54</v>
      </c>
      <c r="G187">
        <v>60000</v>
      </c>
      <c r="H187">
        <v>0.5</v>
      </c>
      <c r="I187">
        <v>0.5</v>
      </c>
      <c r="J187">
        <v>0</v>
      </c>
      <c r="K187">
        <v>1</v>
      </c>
      <c r="L187">
        <v>20000000</v>
      </c>
      <c r="M187">
        <v>144</v>
      </c>
      <c r="N187">
        <v>144</v>
      </c>
      <c r="O187">
        <v>144</v>
      </c>
      <c r="P187">
        <v>0</v>
      </c>
      <c r="Q187" t="s">
        <v>55</v>
      </c>
      <c r="R187">
        <v>100068297680872</v>
      </c>
      <c r="S187">
        <v>10003957</v>
      </c>
      <c r="T187">
        <v>100068297680872</v>
      </c>
      <c r="U187">
        <v>10003957</v>
      </c>
      <c r="V187" t="s">
        <v>63</v>
      </c>
      <c r="W187">
        <v>7</v>
      </c>
      <c r="X187">
        <v>1886940</v>
      </c>
      <c r="Y187">
        <v>11989613</v>
      </c>
      <c r="Z187">
        <v>13876553</v>
      </c>
      <c r="AA187">
        <v>10003957</v>
      </c>
      <c r="AB187">
        <v>7.3540000000000001</v>
      </c>
      <c r="AC187">
        <v>0.83438500000000004</v>
      </c>
      <c r="AD187">
        <v>4.0523199999999999</v>
      </c>
      <c r="AE187">
        <v>342808752</v>
      </c>
      <c r="AF187" t="s">
        <v>701</v>
      </c>
      <c r="AG187" t="s">
        <v>702</v>
      </c>
      <c r="AI187">
        <v>79854</v>
      </c>
      <c r="AJ187">
        <v>8620083206372</v>
      </c>
      <c r="AK187">
        <v>30355326548</v>
      </c>
      <c r="AL187">
        <v>2562720023847</v>
      </c>
      <c r="AM187">
        <v>41175630006</v>
      </c>
      <c r="AN187">
        <v>80764791319</v>
      </c>
      <c r="AO187">
        <v>12800618938</v>
      </c>
      <c r="AP187">
        <v>8130503054</v>
      </c>
      <c r="AQ187">
        <v>0</v>
      </c>
      <c r="AR187">
        <v>82121259</v>
      </c>
      <c r="AS187">
        <v>8130503054</v>
      </c>
      <c r="AT187">
        <v>8212624313</v>
      </c>
      <c r="AU187">
        <v>135508384</v>
      </c>
      <c r="AV187">
        <v>0</v>
      </c>
      <c r="AW187">
        <v>1368687</v>
      </c>
      <c r="AX187">
        <v>135508384</v>
      </c>
      <c r="AY187">
        <v>136877071</v>
      </c>
      <c r="AZ187">
        <v>16.032599999999999</v>
      </c>
      <c r="BA187">
        <v>6.5103299999999997</v>
      </c>
      <c r="BB187">
        <v>2896.89</v>
      </c>
      <c r="BC187">
        <v>1252.57</v>
      </c>
      <c r="BD187">
        <v>3562</v>
      </c>
      <c r="BE187">
        <v>328</v>
      </c>
      <c r="BF187">
        <f t="shared" si="51"/>
        <v>59.861688933138893</v>
      </c>
      <c r="BG187" s="31">
        <f t="shared" si="52"/>
        <v>18.943169379569444</v>
      </c>
      <c r="BH187">
        <f t="shared" si="53"/>
        <v>16</v>
      </c>
      <c r="BI187">
        <f t="shared" si="54"/>
        <v>50608</v>
      </c>
      <c r="BJ187">
        <f t="shared" si="55"/>
        <v>424863</v>
      </c>
      <c r="BK187">
        <f t="shared" si="56"/>
        <v>10963775</v>
      </c>
      <c r="BL187">
        <f t="shared" si="57"/>
        <v>27471</v>
      </c>
      <c r="BM187">
        <f t="shared" si="58"/>
        <v>0</v>
      </c>
      <c r="BN187" t="str">
        <f t="shared" si="49"/>
        <v>u=1%, k=2x10^7</v>
      </c>
      <c r="BO187" t="str">
        <f t="shared" si="50"/>
        <v>u=1%, k=2x10^7, sequential</v>
      </c>
      <c r="BP187">
        <f t="shared" si="59"/>
        <v>0.21080087880555556</v>
      </c>
      <c r="BQ187">
        <f t="shared" si="45"/>
        <v>17.796666832270834</v>
      </c>
      <c r="BR187">
        <f t="shared" si="46"/>
        <v>0.28594187504166668</v>
      </c>
      <c r="BS187">
        <f t="shared" si="47"/>
        <v>0.56086660638194441</v>
      </c>
      <c r="BT187">
        <f t="shared" si="48"/>
        <v>8.8893187069444435E-2</v>
      </c>
      <c r="BU187">
        <f t="shared" si="60"/>
        <v>40.918519553569453</v>
      </c>
    </row>
    <row r="188" spans="1:73">
      <c r="A188" t="s">
        <v>284</v>
      </c>
      <c r="B188" t="s">
        <v>136</v>
      </c>
      <c r="C188">
        <v>72</v>
      </c>
      <c r="D188" t="s">
        <v>56</v>
      </c>
      <c r="E188" t="s">
        <v>53</v>
      </c>
      <c r="F188" t="s">
        <v>54</v>
      </c>
      <c r="G188">
        <v>60000</v>
      </c>
      <c r="H188">
        <v>0.5</v>
      </c>
      <c r="I188">
        <v>0.5</v>
      </c>
      <c r="J188">
        <v>0</v>
      </c>
      <c r="K188">
        <v>1</v>
      </c>
      <c r="L188">
        <v>20000000</v>
      </c>
      <c r="M188">
        <v>190</v>
      </c>
      <c r="N188">
        <v>190</v>
      </c>
      <c r="O188">
        <v>190</v>
      </c>
      <c r="P188">
        <v>0</v>
      </c>
      <c r="Q188" t="s">
        <v>55</v>
      </c>
      <c r="R188">
        <v>99952787103360</v>
      </c>
      <c r="S188">
        <v>9994730</v>
      </c>
      <c r="T188">
        <v>99952787103360</v>
      </c>
      <c r="U188">
        <v>9994730</v>
      </c>
      <c r="V188" t="s">
        <v>63</v>
      </c>
      <c r="W188">
        <v>7</v>
      </c>
      <c r="X188">
        <v>1625315</v>
      </c>
      <c r="Y188">
        <v>11436684</v>
      </c>
      <c r="Z188">
        <v>13061999</v>
      </c>
      <c r="AA188">
        <v>9994730</v>
      </c>
      <c r="AB188">
        <v>8.0366</v>
      </c>
      <c r="AC188">
        <v>0.873919</v>
      </c>
      <c r="AD188">
        <v>4.0000099999999996</v>
      </c>
      <c r="AE188">
        <v>313012128</v>
      </c>
      <c r="AF188" t="s">
        <v>703</v>
      </c>
      <c r="AG188" t="s">
        <v>704</v>
      </c>
      <c r="AI188">
        <v>60572</v>
      </c>
      <c r="AJ188">
        <v>11493331086986</v>
      </c>
      <c r="AK188">
        <v>39691354215</v>
      </c>
      <c r="AL188">
        <v>4114750883263</v>
      </c>
      <c r="AM188">
        <v>50812740289</v>
      </c>
      <c r="AN188">
        <v>107027321363</v>
      </c>
      <c r="AO188">
        <v>16018212313</v>
      </c>
      <c r="AP188">
        <v>9897666802</v>
      </c>
      <c r="AQ188">
        <v>0</v>
      </c>
      <c r="AR188">
        <v>99982139</v>
      </c>
      <c r="AS188">
        <v>9897666802</v>
      </c>
      <c r="AT188">
        <v>9997648941</v>
      </c>
      <c r="AU188">
        <v>164961113</v>
      </c>
      <c r="AV188">
        <v>0</v>
      </c>
      <c r="AW188">
        <v>1666368</v>
      </c>
      <c r="AX188">
        <v>164961113</v>
      </c>
      <c r="AY188">
        <v>166627482</v>
      </c>
      <c r="AZ188">
        <v>16.0701</v>
      </c>
      <c r="BA188">
        <v>6.5972</v>
      </c>
      <c r="BB188">
        <v>3170.3</v>
      </c>
      <c r="BC188">
        <v>1247.8800000000001</v>
      </c>
      <c r="BD188">
        <v>4003</v>
      </c>
      <c r="BE188">
        <v>433</v>
      </c>
      <c r="BF188">
        <f t="shared" si="51"/>
        <v>60.491216247294737</v>
      </c>
      <c r="BG188" s="31">
        <f t="shared" si="52"/>
        <v>22.780529007594737</v>
      </c>
      <c r="BH188">
        <f t="shared" si="53"/>
        <v>20</v>
      </c>
      <c r="BI188">
        <f t="shared" si="54"/>
        <v>63251</v>
      </c>
      <c r="BJ188">
        <f t="shared" si="55"/>
        <v>533329</v>
      </c>
      <c r="BK188">
        <f t="shared" si="56"/>
        <v>13380770</v>
      </c>
      <c r="BL188">
        <f t="shared" si="57"/>
        <v>33670</v>
      </c>
      <c r="BM188">
        <f t="shared" si="58"/>
        <v>0</v>
      </c>
      <c r="BN188" t="str">
        <f t="shared" si="49"/>
        <v>u=1%, k=2x10^7</v>
      </c>
      <c r="BO188" t="str">
        <f t="shared" si="50"/>
        <v>u=1%, k=2x10^7, sequential</v>
      </c>
      <c r="BP188">
        <f t="shared" si="59"/>
        <v>0.20890186428947366</v>
      </c>
      <c r="BQ188">
        <f t="shared" si="45"/>
        <v>21.656583596121052</v>
      </c>
      <c r="BR188">
        <f t="shared" si="46"/>
        <v>0.26743547520526312</v>
      </c>
      <c r="BS188">
        <f t="shared" si="47"/>
        <v>0.56330169138421049</v>
      </c>
      <c r="BT188">
        <f t="shared" si="48"/>
        <v>8.4306380594736843E-2</v>
      </c>
      <c r="BU188">
        <f t="shared" si="60"/>
        <v>37.7106872397</v>
      </c>
    </row>
    <row r="189" spans="1:73">
      <c r="A189" t="s">
        <v>285</v>
      </c>
      <c r="B189" t="s">
        <v>136</v>
      </c>
      <c r="C189">
        <v>72</v>
      </c>
      <c r="D189" t="s">
        <v>56</v>
      </c>
      <c r="E189" t="s">
        <v>53</v>
      </c>
      <c r="F189" t="s">
        <v>54</v>
      </c>
      <c r="G189">
        <v>60000</v>
      </c>
      <c r="H189">
        <v>0.5</v>
      </c>
      <c r="I189">
        <v>0.5</v>
      </c>
      <c r="J189">
        <v>0</v>
      </c>
      <c r="K189">
        <v>1</v>
      </c>
      <c r="L189">
        <v>200000000</v>
      </c>
      <c r="M189">
        <v>24</v>
      </c>
      <c r="N189">
        <v>24</v>
      </c>
      <c r="O189">
        <v>24</v>
      </c>
      <c r="P189">
        <v>0</v>
      </c>
      <c r="Q189" t="s">
        <v>55</v>
      </c>
      <c r="R189">
        <v>1.00003175247437E+16</v>
      </c>
      <c r="S189">
        <v>100005123</v>
      </c>
      <c r="T189">
        <v>1.00003175247437E+16</v>
      </c>
      <c r="U189">
        <v>100005123</v>
      </c>
      <c r="V189" t="s">
        <v>63</v>
      </c>
      <c r="W189">
        <v>7</v>
      </c>
      <c r="X189">
        <v>14111887</v>
      </c>
      <c r="Y189">
        <v>116379729</v>
      </c>
      <c r="Z189">
        <v>130491616</v>
      </c>
      <c r="AA189">
        <v>100005123</v>
      </c>
      <c r="AB189">
        <v>9.2469300000000008</v>
      </c>
      <c r="AC189">
        <v>0.85929999999999995</v>
      </c>
      <c r="AD189">
        <v>4.0642399999999999</v>
      </c>
      <c r="AE189">
        <v>2993546848</v>
      </c>
      <c r="AF189" t="s">
        <v>705</v>
      </c>
      <c r="AG189" t="s">
        <v>705</v>
      </c>
      <c r="AI189">
        <v>628856</v>
      </c>
      <c r="AJ189">
        <v>1436563778573</v>
      </c>
      <c r="AK189">
        <v>287479230</v>
      </c>
      <c r="AM189">
        <v>805069912</v>
      </c>
      <c r="AN189">
        <v>1705260932</v>
      </c>
      <c r="AO189">
        <v>107764160</v>
      </c>
      <c r="AP189">
        <v>1690643339</v>
      </c>
      <c r="AQ189">
        <v>0</v>
      </c>
      <c r="AR189">
        <v>17081091</v>
      </c>
      <c r="AS189">
        <v>1690643339</v>
      </c>
      <c r="AT189">
        <v>1707724430</v>
      </c>
      <c r="AU189">
        <v>28177388</v>
      </c>
      <c r="AV189">
        <v>0</v>
      </c>
      <c r="AW189">
        <v>284684</v>
      </c>
      <c r="AX189">
        <v>28177388</v>
      </c>
      <c r="AY189">
        <v>28462073</v>
      </c>
      <c r="AZ189">
        <v>18.911200000000001</v>
      </c>
      <c r="BA189">
        <v>8.2686600000000006</v>
      </c>
      <c r="BB189">
        <v>2351.2800000000002</v>
      </c>
      <c r="BC189">
        <v>1754.08</v>
      </c>
      <c r="BD189">
        <v>7482</v>
      </c>
      <c r="BE189">
        <v>1561</v>
      </c>
      <c r="BF189">
        <f t="shared" si="51"/>
        <v>59.856824107208332</v>
      </c>
      <c r="BG189" s="31">
        <f t="shared" si="52"/>
        <v>0.12106559308333333</v>
      </c>
      <c r="BH189">
        <f t="shared" si="53"/>
        <v>0</v>
      </c>
      <c r="BI189">
        <f t="shared" si="54"/>
        <v>0</v>
      </c>
      <c r="BJ189">
        <f t="shared" si="55"/>
        <v>8</v>
      </c>
      <c r="BK189">
        <f t="shared" si="56"/>
        <v>596624</v>
      </c>
      <c r="BL189">
        <f t="shared" si="57"/>
        <v>199665</v>
      </c>
      <c r="BM189">
        <f t="shared" si="58"/>
        <v>0</v>
      </c>
      <c r="BN189" t="str">
        <f t="shared" si="49"/>
        <v>u=1%, k=2x10^8</v>
      </c>
      <c r="BO189" t="str">
        <f t="shared" si="50"/>
        <v>u=1%, k=2x10^8, sequential</v>
      </c>
      <c r="BP189">
        <f t="shared" si="59"/>
        <v>1.1978301249999998E-2</v>
      </c>
      <c r="BQ189">
        <f t="shared" si="45"/>
        <v>0</v>
      </c>
      <c r="BR189">
        <f t="shared" si="46"/>
        <v>3.3544579666666664E-2</v>
      </c>
      <c r="BS189">
        <f t="shared" si="47"/>
        <v>7.1052538833333331E-2</v>
      </c>
      <c r="BT189">
        <f t="shared" si="48"/>
        <v>4.4901733333333332E-3</v>
      </c>
      <c r="BU189">
        <f t="shared" si="60"/>
        <v>59.735758514124996</v>
      </c>
    </row>
    <row r="190" spans="1:73">
      <c r="A190" t="s">
        <v>286</v>
      </c>
      <c r="B190" t="s">
        <v>136</v>
      </c>
      <c r="C190">
        <v>72</v>
      </c>
      <c r="D190" t="s">
        <v>56</v>
      </c>
      <c r="E190" t="s">
        <v>53</v>
      </c>
      <c r="F190" t="s">
        <v>54</v>
      </c>
      <c r="G190">
        <v>60000</v>
      </c>
      <c r="H190">
        <v>0.5</v>
      </c>
      <c r="I190">
        <v>0.5</v>
      </c>
      <c r="J190">
        <v>0</v>
      </c>
      <c r="K190">
        <v>1</v>
      </c>
      <c r="L190">
        <v>200000000</v>
      </c>
      <c r="M190">
        <v>48</v>
      </c>
      <c r="N190">
        <v>48</v>
      </c>
      <c r="O190">
        <v>48</v>
      </c>
      <c r="P190">
        <v>0</v>
      </c>
      <c r="Q190" t="s">
        <v>55</v>
      </c>
      <c r="R190">
        <v>1.00000183918981E+16</v>
      </c>
      <c r="S190">
        <v>99999380</v>
      </c>
      <c r="T190">
        <v>1.00000183918981E+16</v>
      </c>
      <c r="U190">
        <v>99999380</v>
      </c>
      <c r="V190" t="s">
        <v>63</v>
      </c>
      <c r="W190">
        <v>7</v>
      </c>
      <c r="X190">
        <v>14921896</v>
      </c>
      <c r="Y190">
        <v>118197840</v>
      </c>
      <c r="Z190">
        <v>133119736</v>
      </c>
      <c r="AA190">
        <v>99999380</v>
      </c>
      <c r="AB190">
        <v>8.9210999999999991</v>
      </c>
      <c r="AC190">
        <v>0.84603399999999995</v>
      </c>
      <c r="AD190">
        <v>4.0817300000000003</v>
      </c>
      <c r="AE190">
        <v>3089171952</v>
      </c>
      <c r="AF190" t="s">
        <v>706</v>
      </c>
      <c r="AG190" t="s">
        <v>707</v>
      </c>
      <c r="AI190">
        <v>270816</v>
      </c>
      <c r="AJ190">
        <v>2873127046791</v>
      </c>
      <c r="AK190">
        <v>1435991868</v>
      </c>
      <c r="AM190">
        <v>3482496456</v>
      </c>
      <c r="AN190">
        <v>5469634465</v>
      </c>
      <c r="AO190">
        <v>593784676</v>
      </c>
      <c r="AP190">
        <v>2969573421</v>
      </c>
      <c r="AQ190">
        <v>0</v>
      </c>
      <c r="AR190">
        <v>29981981</v>
      </c>
      <c r="AS190">
        <v>2969573421</v>
      </c>
      <c r="AT190">
        <v>2999555402</v>
      </c>
      <c r="AU190">
        <v>49492890</v>
      </c>
      <c r="AV190">
        <v>0</v>
      </c>
      <c r="AW190">
        <v>499699</v>
      </c>
      <c r="AX190">
        <v>49492890</v>
      </c>
      <c r="AY190">
        <v>49992590</v>
      </c>
      <c r="AZ190">
        <v>19.038599999999999</v>
      </c>
      <c r="BA190">
        <v>8.3797499999999996</v>
      </c>
      <c r="BB190">
        <v>2675.26</v>
      </c>
      <c r="BC190">
        <v>1991.16</v>
      </c>
      <c r="BD190">
        <v>7808</v>
      </c>
      <c r="BE190">
        <v>1260</v>
      </c>
      <c r="BF190">
        <f t="shared" si="51"/>
        <v>59.856813474812498</v>
      </c>
      <c r="BG190" s="31">
        <f t="shared" si="52"/>
        <v>0.22878973885416667</v>
      </c>
      <c r="BH190">
        <f t="shared" si="53"/>
        <v>0</v>
      </c>
      <c r="BI190">
        <f t="shared" si="54"/>
        <v>0</v>
      </c>
      <c r="BJ190">
        <f t="shared" si="55"/>
        <v>14019</v>
      </c>
      <c r="BK190">
        <f t="shared" si="56"/>
        <v>2009137</v>
      </c>
      <c r="BL190">
        <f t="shared" si="57"/>
        <v>418828</v>
      </c>
      <c r="BM190">
        <f t="shared" si="58"/>
        <v>0</v>
      </c>
      <c r="BN190" t="str">
        <f t="shared" si="49"/>
        <v>u=1%, k=2x10^8</v>
      </c>
      <c r="BO190" t="str">
        <f t="shared" si="50"/>
        <v>u=1%, k=2x10^8, sequential</v>
      </c>
      <c r="BP190">
        <f t="shared" si="59"/>
        <v>2.9916497249999997E-2</v>
      </c>
      <c r="BQ190">
        <f t="shared" si="45"/>
        <v>0</v>
      </c>
      <c r="BR190">
        <f t="shared" si="46"/>
        <v>7.25520095E-2</v>
      </c>
      <c r="BS190">
        <f t="shared" si="47"/>
        <v>0.11395071802083334</v>
      </c>
      <c r="BT190">
        <f t="shared" si="48"/>
        <v>1.2370514083333332E-2</v>
      </c>
      <c r="BU190">
        <f t="shared" si="60"/>
        <v>59.62802373595833</v>
      </c>
    </row>
    <row r="191" spans="1:73">
      <c r="A191" t="s">
        <v>287</v>
      </c>
      <c r="B191" t="s">
        <v>136</v>
      </c>
      <c r="C191">
        <v>72</v>
      </c>
      <c r="D191" t="s">
        <v>56</v>
      </c>
      <c r="E191" t="s">
        <v>53</v>
      </c>
      <c r="F191" t="s">
        <v>54</v>
      </c>
      <c r="G191">
        <v>60000</v>
      </c>
      <c r="H191">
        <v>0.5</v>
      </c>
      <c r="I191">
        <v>0.5</v>
      </c>
      <c r="J191">
        <v>0</v>
      </c>
      <c r="K191">
        <v>1</v>
      </c>
      <c r="L191">
        <v>200000000</v>
      </c>
      <c r="M191">
        <v>96</v>
      </c>
      <c r="N191">
        <v>96</v>
      </c>
      <c r="O191">
        <v>96</v>
      </c>
      <c r="P191">
        <v>0</v>
      </c>
      <c r="Q191" t="s">
        <v>55</v>
      </c>
      <c r="R191">
        <v>1.00010199528146E+16</v>
      </c>
      <c r="S191">
        <v>100003948</v>
      </c>
      <c r="T191">
        <v>1.00010199528146E+16</v>
      </c>
      <c r="U191">
        <v>100003948</v>
      </c>
      <c r="V191" t="s">
        <v>63</v>
      </c>
      <c r="W191">
        <v>7</v>
      </c>
      <c r="X191">
        <v>11239633</v>
      </c>
      <c r="Y191">
        <v>110462313</v>
      </c>
      <c r="Z191">
        <v>121701946</v>
      </c>
      <c r="AA191">
        <v>100003948</v>
      </c>
      <c r="AB191">
        <v>10.8279</v>
      </c>
      <c r="AC191">
        <v>0.90532199999999996</v>
      </c>
      <c r="AD191">
        <v>4.0045900000000003</v>
      </c>
      <c r="AE191">
        <v>2666583376</v>
      </c>
      <c r="AF191" t="s">
        <v>708</v>
      </c>
      <c r="AG191" t="s">
        <v>709</v>
      </c>
      <c r="AI191">
        <v>106584</v>
      </c>
      <c r="AJ191">
        <v>5770914760918</v>
      </c>
      <c r="AK191">
        <v>19236939635</v>
      </c>
      <c r="AL191">
        <v>789293581570</v>
      </c>
      <c r="AM191">
        <v>27599740931</v>
      </c>
      <c r="AN191">
        <v>60332088518</v>
      </c>
      <c r="AO191">
        <v>7931999134</v>
      </c>
      <c r="AP191">
        <v>5041018781</v>
      </c>
      <c r="AQ191">
        <v>0</v>
      </c>
      <c r="AR191">
        <v>50919193</v>
      </c>
      <c r="AS191">
        <v>5041018781</v>
      </c>
      <c r="AT191">
        <v>5091937974</v>
      </c>
      <c r="AU191">
        <v>84016979</v>
      </c>
      <c r="AV191">
        <v>0</v>
      </c>
      <c r="AW191">
        <v>848653</v>
      </c>
      <c r="AX191">
        <v>84016979</v>
      </c>
      <c r="AY191">
        <v>84865632</v>
      </c>
      <c r="AZ191">
        <v>19.494700000000002</v>
      </c>
      <c r="BA191">
        <v>9.3469099999999994</v>
      </c>
      <c r="BB191">
        <v>3135.7</v>
      </c>
      <c r="BC191">
        <v>1955.38</v>
      </c>
      <c r="BD191">
        <v>13101</v>
      </c>
      <c r="BE191">
        <v>1109</v>
      </c>
      <c r="BF191">
        <f t="shared" si="51"/>
        <v>60.113695426229164</v>
      </c>
      <c r="BG191" s="31">
        <f t="shared" si="52"/>
        <v>9.4207744769583339</v>
      </c>
      <c r="BH191">
        <f t="shared" si="53"/>
        <v>1</v>
      </c>
      <c r="BI191">
        <f t="shared" si="54"/>
        <v>9900</v>
      </c>
      <c r="BJ191">
        <f t="shared" si="55"/>
        <v>394678</v>
      </c>
      <c r="BK191">
        <f t="shared" si="56"/>
        <v>3999759</v>
      </c>
      <c r="BL191">
        <f t="shared" si="57"/>
        <v>672688</v>
      </c>
      <c r="BM191">
        <f t="shared" si="58"/>
        <v>0</v>
      </c>
      <c r="BN191" t="str">
        <f t="shared" si="49"/>
        <v>u=1%, k=2x10^8</v>
      </c>
      <c r="BO191" t="str">
        <f t="shared" si="50"/>
        <v>u=1%, k=2x10^8, sequential</v>
      </c>
      <c r="BP191">
        <f t="shared" si="59"/>
        <v>0.20038478786458333</v>
      </c>
      <c r="BQ191">
        <f t="shared" si="45"/>
        <v>8.2218081413541668</v>
      </c>
      <c r="BR191">
        <f t="shared" si="46"/>
        <v>0.28749730136458335</v>
      </c>
      <c r="BS191">
        <f t="shared" si="47"/>
        <v>0.62845925539583336</v>
      </c>
      <c r="BT191">
        <f t="shared" si="48"/>
        <v>8.262499097916666E-2</v>
      </c>
      <c r="BU191">
        <f t="shared" si="60"/>
        <v>50.692920949270828</v>
      </c>
    </row>
    <row r="192" spans="1:73">
      <c r="A192" t="s">
        <v>288</v>
      </c>
      <c r="B192" t="s">
        <v>136</v>
      </c>
      <c r="C192">
        <v>72</v>
      </c>
      <c r="D192" t="s">
        <v>56</v>
      </c>
      <c r="E192" t="s">
        <v>53</v>
      </c>
      <c r="F192" t="s">
        <v>54</v>
      </c>
      <c r="G192">
        <v>60000</v>
      </c>
      <c r="H192">
        <v>0.5</v>
      </c>
      <c r="I192">
        <v>0.5</v>
      </c>
      <c r="J192">
        <v>0</v>
      </c>
      <c r="K192">
        <v>1</v>
      </c>
      <c r="L192">
        <v>200000000</v>
      </c>
      <c r="M192">
        <v>144</v>
      </c>
      <c r="N192">
        <v>144</v>
      </c>
      <c r="O192">
        <v>144</v>
      </c>
      <c r="P192">
        <v>0</v>
      </c>
      <c r="Q192" t="s">
        <v>55</v>
      </c>
      <c r="R192">
        <v>1.00008410168939E+16</v>
      </c>
      <c r="S192">
        <v>100005929</v>
      </c>
      <c r="T192">
        <v>1.00008410168939E+16</v>
      </c>
      <c r="U192">
        <v>100005929</v>
      </c>
      <c r="V192" t="s">
        <v>63</v>
      </c>
      <c r="W192">
        <v>7</v>
      </c>
      <c r="X192">
        <v>14758787</v>
      </c>
      <c r="Y192">
        <v>117822531</v>
      </c>
      <c r="Z192">
        <v>132581318</v>
      </c>
      <c r="AA192">
        <v>100005929</v>
      </c>
      <c r="AB192">
        <v>8.9832099999999997</v>
      </c>
      <c r="AC192">
        <v>0.84878399999999998</v>
      </c>
      <c r="AD192">
        <v>4.0781700000000001</v>
      </c>
      <c r="AE192">
        <v>3069529600</v>
      </c>
      <c r="AF192" t="s">
        <v>710</v>
      </c>
      <c r="AG192" t="s">
        <v>711</v>
      </c>
      <c r="AI192">
        <v>73156</v>
      </c>
      <c r="AJ192">
        <v>8636609338540</v>
      </c>
      <c r="AK192">
        <v>20679467648</v>
      </c>
      <c r="AL192">
        <v>1236553238808</v>
      </c>
      <c r="AM192">
        <v>31232930243</v>
      </c>
      <c r="AN192">
        <v>77972420597</v>
      </c>
      <c r="AO192">
        <v>9018368161</v>
      </c>
      <c r="AP192">
        <v>7466208373</v>
      </c>
      <c r="AQ192">
        <v>0</v>
      </c>
      <c r="AR192">
        <v>75417807</v>
      </c>
      <c r="AS192">
        <v>7466208373</v>
      </c>
      <c r="AT192">
        <v>7541626180</v>
      </c>
      <c r="AU192">
        <v>124436806</v>
      </c>
      <c r="AV192">
        <v>0</v>
      </c>
      <c r="AW192">
        <v>1256963</v>
      </c>
      <c r="AX192">
        <v>124436806</v>
      </c>
      <c r="AY192">
        <v>125693769</v>
      </c>
      <c r="AZ192">
        <v>19.284600000000001</v>
      </c>
      <c r="BA192">
        <v>9.4473699999999994</v>
      </c>
      <c r="BB192">
        <v>3152.74</v>
      </c>
      <c r="BC192">
        <v>1941.38</v>
      </c>
      <c r="BD192">
        <v>13552</v>
      </c>
      <c r="BE192">
        <v>1055</v>
      </c>
      <c r="BF192">
        <f t="shared" si="51"/>
        <v>59.976453739861114</v>
      </c>
      <c r="BG192" s="31">
        <f t="shared" si="52"/>
        <v>9.5517807323402781</v>
      </c>
      <c r="BH192">
        <f t="shared" si="53"/>
        <v>1</v>
      </c>
      <c r="BI192">
        <f t="shared" si="54"/>
        <v>9998</v>
      </c>
      <c r="BJ192">
        <f t="shared" si="55"/>
        <v>352225</v>
      </c>
      <c r="BK192">
        <f t="shared" si="56"/>
        <v>5338301</v>
      </c>
      <c r="BL192">
        <f t="shared" si="57"/>
        <v>1009188</v>
      </c>
      <c r="BM192">
        <f t="shared" si="58"/>
        <v>0</v>
      </c>
      <c r="BN192" t="str">
        <f t="shared" si="49"/>
        <v>u=1%, k=2x10^8</v>
      </c>
      <c r="BO192" t="str">
        <f t="shared" si="50"/>
        <v>u=1%, k=2x10^8, sequential</v>
      </c>
      <c r="BP192">
        <f t="shared" si="59"/>
        <v>0.14360741422222223</v>
      </c>
      <c r="BQ192">
        <f t="shared" si="45"/>
        <v>8.5871752695000012</v>
      </c>
      <c r="BR192">
        <f t="shared" si="46"/>
        <v>0.2168953489097222</v>
      </c>
      <c r="BS192">
        <f t="shared" si="47"/>
        <v>0.54147514303472222</v>
      </c>
      <c r="BT192">
        <f t="shared" si="48"/>
        <v>6.2627556673611112E-2</v>
      </c>
      <c r="BU192">
        <f t="shared" si="60"/>
        <v>50.424673007520838</v>
      </c>
    </row>
    <row r="193" spans="1:73">
      <c r="A193" t="s">
        <v>289</v>
      </c>
      <c r="B193" t="s">
        <v>136</v>
      </c>
      <c r="C193">
        <v>72</v>
      </c>
      <c r="D193" t="s">
        <v>56</v>
      </c>
      <c r="E193" t="s">
        <v>53</v>
      </c>
      <c r="F193" t="s">
        <v>54</v>
      </c>
      <c r="G193">
        <v>60000</v>
      </c>
      <c r="H193">
        <v>0.5</v>
      </c>
      <c r="I193">
        <v>0.5</v>
      </c>
      <c r="J193">
        <v>0</v>
      </c>
      <c r="K193">
        <v>1</v>
      </c>
      <c r="L193">
        <v>200000000</v>
      </c>
      <c r="M193">
        <v>190</v>
      </c>
      <c r="N193">
        <v>190</v>
      </c>
      <c r="O193">
        <v>190</v>
      </c>
      <c r="P193">
        <v>0</v>
      </c>
      <c r="Q193" t="s">
        <v>55</v>
      </c>
      <c r="R193">
        <v>1.00002100578223E+16</v>
      </c>
      <c r="S193">
        <v>99996396</v>
      </c>
      <c r="T193">
        <v>1.00002100578223E+16</v>
      </c>
      <c r="U193">
        <v>99996396</v>
      </c>
      <c r="V193" t="s">
        <v>63</v>
      </c>
      <c r="W193">
        <v>7</v>
      </c>
      <c r="X193">
        <v>12472149</v>
      </c>
      <c r="Y193">
        <v>112968050</v>
      </c>
      <c r="Z193">
        <v>125440199</v>
      </c>
      <c r="AA193">
        <v>99996396</v>
      </c>
      <c r="AB193">
        <v>10.057600000000001</v>
      </c>
      <c r="AC193">
        <v>0.88517400000000002</v>
      </c>
      <c r="AD193">
        <v>4.0283499999999997</v>
      </c>
      <c r="AE193">
        <v>2806595872</v>
      </c>
      <c r="AF193" t="s">
        <v>712</v>
      </c>
      <c r="AG193" t="s">
        <v>713</v>
      </c>
      <c r="AI193">
        <v>57004</v>
      </c>
      <c r="AJ193">
        <v>11410925383787</v>
      </c>
      <c r="AK193">
        <v>31436072660</v>
      </c>
      <c r="AL193">
        <v>1652235682264</v>
      </c>
      <c r="AM193">
        <v>45746405202</v>
      </c>
      <c r="AN193">
        <v>345301385114</v>
      </c>
      <c r="AO193">
        <v>12625426399</v>
      </c>
      <c r="AP193">
        <v>9489731605</v>
      </c>
      <c r="AQ193">
        <v>0</v>
      </c>
      <c r="AR193">
        <v>95850672</v>
      </c>
      <c r="AS193">
        <v>9489731605</v>
      </c>
      <c r="AT193">
        <v>9585582277</v>
      </c>
      <c r="AU193">
        <v>158162193</v>
      </c>
      <c r="AV193">
        <v>0</v>
      </c>
      <c r="AW193">
        <v>1597511</v>
      </c>
      <c r="AX193">
        <v>158162193</v>
      </c>
      <c r="AY193">
        <v>159759704</v>
      </c>
      <c r="AZ193">
        <v>19.357399999999998</v>
      </c>
      <c r="BA193">
        <v>9.6334499999999998</v>
      </c>
      <c r="BB193">
        <v>3217.44</v>
      </c>
      <c r="BC193">
        <v>1967.54</v>
      </c>
      <c r="BD193">
        <v>13576</v>
      </c>
      <c r="BE193">
        <v>1095</v>
      </c>
      <c r="BF193">
        <f t="shared" si="51"/>
        <v>60.057502019931583</v>
      </c>
      <c r="BG193" s="31">
        <f t="shared" si="52"/>
        <v>10.986026166521054</v>
      </c>
      <c r="BH193">
        <f t="shared" si="53"/>
        <v>1</v>
      </c>
      <c r="BI193">
        <f t="shared" si="54"/>
        <v>16412</v>
      </c>
      <c r="BJ193">
        <f t="shared" si="55"/>
        <v>676486</v>
      </c>
      <c r="BK193">
        <f t="shared" si="56"/>
        <v>7716229</v>
      </c>
      <c r="BL193">
        <f t="shared" si="57"/>
        <v>1307596</v>
      </c>
      <c r="BM193">
        <f t="shared" si="58"/>
        <v>0</v>
      </c>
      <c r="BN193" t="str">
        <f t="shared" si="49"/>
        <v>u=1%, k=2x10^8</v>
      </c>
      <c r="BO193" t="str">
        <f t="shared" si="50"/>
        <v>u=1%, k=2x10^8, sequential</v>
      </c>
      <c r="BP193">
        <f t="shared" si="59"/>
        <v>0.16545301400000001</v>
      </c>
      <c r="BQ193">
        <f t="shared" si="45"/>
        <v>8.6959772750736839</v>
      </c>
      <c r="BR193">
        <f t="shared" si="46"/>
        <v>0.24077055369473682</v>
      </c>
      <c r="BS193">
        <f t="shared" si="47"/>
        <v>1.817375711126316</v>
      </c>
      <c r="BT193">
        <f t="shared" si="48"/>
        <v>6.6449612626315796E-2</v>
      </c>
      <c r="BU193">
        <f t="shared" si="60"/>
        <v>49.071475853410533</v>
      </c>
    </row>
    <row r="194" spans="1:73">
      <c r="A194" t="s">
        <v>290</v>
      </c>
      <c r="B194" t="s">
        <v>136</v>
      </c>
      <c r="C194">
        <v>72</v>
      </c>
      <c r="D194" t="s">
        <v>56</v>
      </c>
      <c r="E194" t="s">
        <v>53</v>
      </c>
      <c r="F194" t="s">
        <v>54</v>
      </c>
      <c r="G194">
        <v>60000</v>
      </c>
      <c r="H194">
        <v>0.5</v>
      </c>
      <c r="I194">
        <v>0.5</v>
      </c>
      <c r="J194">
        <v>0</v>
      </c>
      <c r="K194">
        <v>1</v>
      </c>
      <c r="L194">
        <v>2000000000</v>
      </c>
      <c r="M194">
        <v>24</v>
      </c>
      <c r="N194">
        <v>24</v>
      </c>
      <c r="O194">
        <v>24</v>
      </c>
      <c r="P194">
        <v>0</v>
      </c>
      <c r="Q194" t="s">
        <v>55</v>
      </c>
      <c r="R194">
        <v>1.0000125133863601E+18</v>
      </c>
      <c r="S194">
        <v>1000002379</v>
      </c>
      <c r="T194">
        <v>1.0000125133863601E+18</v>
      </c>
      <c r="U194">
        <v>1000002379</v>
      </c>
      <c r="V194" t="s">
        <v>63</v>
      </c>
      <c r="W194">
        <v>7</v>
      </c>
      <c r="X194">
        <v>87194628</v>
      </c>
      <c r="Y194">
        <v>1084271124</v>
      </c>
      <c r="Z194">
        <v>1171465752</v>
      </c>
      <c r="AA194">
        <v>1000002379</v>
      </c>
      <c r="AB194">
        <v>13.4351</v>
      </c>
      <c r="AC194">
        <v>0.92228100000000002</v>
      </c>
      <c r="AD194">
        <v>4.0054800000000004</v>
      </c>
      <c r="AE194">
        <v>24324146976</v>
      </c>
      <c r="AF194" t="s">
        <v>714</v>
      </c>
      <c r="AG194" t="s">
        <v>714</v>
      </c>
      <c r="AI194">
        <v>404418</v>
      </c>
      <c r="AJ194">
        <v>1436562634966</v>
      </c>
      <c r="AK194">
        <v>5327017</v>
      </c>
      <c r="AM194">
        <v>23786808</v>
      </c>
      <c r="AN194">
        <v>788896450</v>
      </c>
      <c r="AO194">
        <v>1730849</v>
      </c>
      <c r="AP194">
        <v>1090195123</v>
      </c>
      <c r="AQ194">
        <v>0</v>
      </c>
      <c r="AR194">
        <v>11013778</v>
      </c>
      <c r="AS194">
        <v>1090195123</v>
      </c>
      <c r="AT194">
        <v>1101208901</v>
      </c>
      <c r="AU194">
        <v>18169918</v>
      </c>
      <c r="AV194">
        <v>0</v>
      </c>
      <c r="AW194">
        <v>183562</v>
      </c>
      <c r="AX194">
        <v>18169918</v>
      </c>
      <c r="AY194">
        <v>18353481</v>
      </c>
      <c r="AZ194">
        <v>22.0486</v>
      </c>
      <c r="BA194">
        <v>12.8926</v>
      </c>
      <c r="BB194">
        <v>3645.13</v>
      </c>
      <c r="BC194">
        <v>2915.95</v>
      </c>
      <c r="BD194">
        <v>59443</v>
      </c>
      <c r="BE194">
        <v>16200</v>
      </c>
      <c r="BF194">
        <f t="shared" si="51"/>
        <v>59.856776456916663</v>
      </c>
      <c r="BG194" s="31">
        <f t="shared" si="52"/>
        <v>3.4155880166666666E-2</v>
      </c>
      <c r="BH194">
        <f t="shared" si="53"/>
        <v>0</v>
      </c>
      <c r="BI194">
        <f t="shared" si="54"/>
        <v>0</v>
      </c>
      <c r="BJ194">
        <f t="shared" si="55"/>
        <v>0</v>
      </c>
      <c r="BK194">
        <f t="shared" si="56"/>
        <v>1379</v>
      </c>
      <c r="BL194">
        <f t="shared" si="57"/>
        <v>14643</v>
      </c>
      <c r="BM194">
        <f t="shared" si="58"/>
        <v>0</v>
      </c>
      <c r="BN194" t="str">
        <f t="shared" si="49"/>
        <v>u=1%, k=2x10^9</v>
      </c>
      <c r="BO194" t="str">
        <f t="shared" si="50"/>
        <v>u=1%, k=2x10^9, sequential</v>
      </c>
      <c r="BP194">
        <f t="shared" si="59"/>
        <v>2.2195904166666665E-4</v>
      </c>
      <c r="BQ194">
        <f t="shared" si="45"/>
        <v>0</v>
      </c>
      <c r="BR194">
        <f t="shared" si="46"/>
        <v>9.9111699999999991E-4</v>
      </c>
      <c r="BS194">
        <f t="shared" si="47"/>
        <v>3.2870685416666663E-2</v>
      </c>
      <c r="BT194">
        <f t="shared" si="48"/>
        <v>7.2118708333333329E-5</v>
      </c>
      <c r="BU194">
        <f t="shared" si="60"/>
        <v>59.822620576749998</v>
      </c>
    </row>
    <row r="195" spans="1:73">
      <c r="A195" t="s">
        <v>291</v>
      </c>
      <c r="B195" t="s">
        <v>136</v>
      </c>
      <c r="C195">
        <v>72</v>
      </c>
      <c r="D195" t="s">
        <v>56</v>
      </c>
      <c r="E195" t="s">
        <v>53</v>
      </c>
      <c r="F195" t="s">
        <v>54</v>
      </c>
      <c r="G195">
        <v>60000</v>
      </c>
      <c r="H195">
        <v>0.5</v>
      </c>
      <c r="I195">
        <v>0.5</v>
      </c>
      <c r="J195">
        <v>0</v>
      </c>
      <c r="K195">
        <v>1</v>
      </c>
      <c r="L195">
        <v>2000000000</v>
      </c>
      <c r="M195">
        <v>48</v>
      </c>
      <c r="N195">
        <v>48</v>
      </c>
      <c r="O195">
        <v>48</v>
      </c>
      <c r="P195">
        <v>0</v>
      </c>
      <c r="Q195" t="s">
        <v>55</v>
      </c>
      <c r="R195">
        <v>9.99984509925088E+17</v>
      </c>
      <c r="S195">
        <v>999994828</v>
      </c>
      <c r="T195">
        <v>9.99984509925088E+17</v>
      </c>
      <c r="U195">
        <v>999994828</v>
      </c>
      <c r="V195" t="s">
        <v>63</v>
      </c>
      <c r="W195">
        <v>7</v>
      </c>
      <c r="X195">
        <v>89406675</v>
      </c>
      <c r="Y195">
        <v>1088713627</v>
      </c>
      <c r="Z195">
        <v>1178120302</v>
      </c>
      <c r="AA195">
        <v>999994828</v>
      </c>
      <c r="AB195">
        <v>13.177099999999999</v>
      </c>
      <c r="AC195">
        <v>0.91851000000000005</v>
      </c>
      <c r="AD195">
        <v>4.0099600000000004</v>
      </c>
      <c r="AE195">
        <v>24572719808</v>
      </c>
      <c r="AF195" t="s">
        <v>715</v>
      </c>
      <c r="AG195" t="s">
        <v>715</v>
      </c>
      <c r="AI195">
        <v>180902</v>
      </c>
      <c r="AJ195">
        <v>2873124905342</v>
      </c>
      <c r="AK195">
        <v>29713205</v>
      </c>
      <c r="AM195">
        <v>106784572</v>
      </c>
      <c r="AN195">
        <v>3202824398</v>
      </c>
      <c r="AO195">
        <v>11597892</v>
      </c>
      <c r="AP195">
        <v>1991426550</v>
      </c>
      <c r="AQ195">
        <v>0</v>
      </c>
      <c r="AR195">
        <v>20123541</v>
      </c>
      <c r="AS195">
        <v>1991426550</v>
      </c>
      <c r="AT195">
        <v>2011550091</v>
      </c>
      <c r="AU195">
        <v>33190442</v>
      </c>
      <c r="AV195">
        <v>0</v>
      </c>
      <c r="AW195">
        <v>335392</v>
      </c>
      <c r="AX195">
        <v>33190442</v>
      </c>
      <c r="AY195">
        <v>33525834</v>
      </c>
      <c r="AZ195">
        <v>21.992999999999999</v>
      </c>
      <c r="BA195">
        <v>12.9156</v>
      </c>
      <c r="BB195">
        <v>3990.74</v>
      </c>
      <c r="BC195">
        <v>3321.61</v>
      </c>
      <c r="BD195">
        <v>59813</v>
      </c>
      <c r="BE195">
        <v>12894</v>
      </c>
      <c r="BF195">
        <f t="shared" si="51"/>
        <v>59.85676886129167</v>
      </c>
      <c r="BG195" s="31">
        <f t="shared" si="52"/>
        <v>6.9810834729166674E-2</v>
      </c>
      <c r="BH195">
        <f t="shared" si="53"/>
        <v>0</v>
      </c>
      <c r="BI195">
        <f t="shared" si="54"/>
        <v>0</v>
      </c>
      <c r="BJ195">
        <f t="shared" si="55"/>
        <v>0</v>
      </c>
      <c r="BK195">
        <f t="shared" si="56"/>
        <v>7865</v>
      </c>
      <c r="BL195">
        <f t="shared" si="57"/>
        <v>48800</v>
      </c>
      <c r="BM195">
        <f t="shared" si="58"/>
        <v>0</v>
      </c>
      <c r="BN195" t="str">
        <f t="shared" si="49"/>
        <v>u=1%, k=2x10^9</v>
      </c>
      <c r="BO195" t="str">
        <f t="shared" si="50"/>
        <v>u=1%, k=2x10^9, sequential</v>
      </c>
      <c r="BP195">
        <f t="shared" si="59"/>
        <v>6.1902510416666666E-4</v>
      </c>
      <c r="BQ195">
        <f t="shared" si="45"/>
        <v>0</v>
      </c>
      <c r="BR195">
        <f t="shared" si="46"/>
        <v>2.2246785833333334E-3</v>
      </c>
      <c r="BS195">
        <f t="shared" si="47"/>
        <v>6.6725508291666666E-2</v>
      </c>
      <c r="BT195">
        <f t="shared" si="48"/>
        <v>2.4162275E-4</v>
      </c>
      <c r="BU195">
        <f t="shared" si="60"/>
        <v>59.786958026562502</v>
      </c>
    </row>
    <row r="196" spans="1:73">
      <c r="A196" t="s">
        <v>292</v>
      </c>
      <c r="B196" t="s">
        <v>136</v>
      </c>
      <c r="C196">
        <v>72</v>
      </c>
      <c r="D196" t="s">
        <v>56</v>
      </c>
      <c r="E196" t="s">
        <v>53</v>
      </c>
      <c r="F196" t="s">
        <v>54</v>
      </c>
      <c r="G196">
        <v>60000</v>
      </c>
      <c r="H196">
        <v>0.5</v>
      </c>
      <c r="I196">
        <v>0.5</v>
      </c>
      <c r="J196">
        <v>0</v>
      </c>
      <c r="K196">
        <v>1</v>
      </c>
      <c r="L196">
        <v>2000000000</v>
      </c>
      <c r="M196">
        <v>96</v>
      </c>
      <c r="N196">
        <v>96</v>
      </c>
      <c r="O196">
        <v>96</v>
      </c>
      <c r="P196">
        <v>0</v>
      </c>
      <c r="Q196" t="s">
        <v>55</v>
      </c>
      <c r="R196">
        <v>1.00002709603194E+18</v>
      </c>
      <c r="S196">
        <v>999999798</v>
      </c>
      <c r="T196">
        <v>1.00002709603194E+18</v>
      </c>
      <c r="U196">
        <v>999999798</v>
      </c>
      <c r="V196" t="s">
        <v>63</v>
      </c>
      <c r="W196">
        <v>7</v>
      </c>
      <c r="X196">
        <v>95155570</v>
      </c>
      <c r="Y196">
        <v>1100314020</v>
      </c>
      <c r="Z196">
        <v>1195469590</v>
      </c>
      <c r="AA196">
        <v>999999798</v>
      </c>
      <c r="AB196">
        <v>12.5633</v>
      </c>
      <c r="AC196">
        <v>0.90883100000000006</v>
      </c>
      <c r="AD196">
        <v>4.0217099999999997</v>
      </c>
      <c r="AE196">
        <v>25220973232</v>
      </c>
      <c r="AF196" t="s">
        <v>716</v>
      </c>
      <c r="AG196" t="s">
        <v>716</v>
      </c>
      <c r="AI196">
        <v>99260</v>
      </c>
      <c r="AJ196">
        <v>5746249845873</v>
      </c>
      <c r="AK196">
        <v>194841645</v>
      </c>
      <c r="AM196">
        <v>631185297</v>
      </c>
      <c r="AN196">
        <v>9058497818</v>
      </c>
      <c r="AO196">
        <v>95275090</v>
      </c>
      <c r="AP196">
        <v>4421461525</v>
      </c>
      <c r="AQ196">
        <v>0</v>
      </c>
      <c r="AR196">
        <v>44668502</v>
      </c>
      <c r="AS196">
        <v>4421461525</v>
      </c>
      <c r="AT196">
        <v>4466130027</v>
      </c>
      <c r="AU196">
        <v>73691025</v>
      </c>
      <c r="AV196">
        <v>0</v>
      </c>
      <c r="AW196">
        <v>744475</v>
      </c>
      <c r="AX196">
        <v>73691025</v>
      </c>
      <c r="AY196">
        <v>74435500</v>
      </c>
      <c r="AZ196">
        <v>22.039000000000001</v>
      </c>
      <c r="BA196">
        <v>13.757</v>
      </c>
      <c r="BB196">
        <v>3591.51</v>
      </c>
      <c r="BC196">
        <v>2872.63</v>
      </c>
      <c r="BD196">
        <v>60709</v>
      </c>
      <c r="BE196">
        <v>9665</v>
      </c>
      <c r="BF196">
        <f t="shared" si="51"/>
        <v>59.856769227843749</v>
      </c>
      <c r="BG196" s="31">
        <f t="shared" si="52"/>
        <v>0.1039562484375</v>
      </c>
      <c r="BH196">
        <f t="shared" si="53"/>
        <v>0</v>
      </c>
      <c r="BI196">
        <f t="shared" si="54"/>
        <v>0</v>
      </c>
      <c r="BJ196">
        <f t="shared" si="55"/>
        <v>0</v>
      </c>
      <c r="BK196">
        <f t="shared" si="56"/>
        <v>86401</v>
      </c>
      <c r="BL196">
        <f t="shared" si="57"/>
        <v>228222</v>
      </c>
      <c r="BM196">
        <f t="shared" si="58"/>
        <v>0</v>
      </c>
      <c r="BN196" t="str">
        <f t="shared" si="49"/>
        <v>u=1%, k=2x10^9</v>
      </c>
      <c r="BO196" t="str">
        <f t="shared" si="50"/>
        <v>u=1%, k=2x10^9, sequential</v>
      </c>
      <c r="BP196">
        <f t="shared" si="59"/>
        <v>2.0296004687500001E-3</v>
      </c>
      <c r="BQ196">
        <f t="shared" si="45"/>
        <v>0</v>
      </c>
      <c r="BR196">
        <f t="shared" si="46"/>
        <v>6.5748468437500001E-3</v>
      </c>
      <c r="BS196">
        <f t="shared" si="47"/>
        <v>9.4359352270833322E-2</v>
      </c>
      <c r="BT196">
        <f t="shared" si="48"/>
        <v>9.9244885416666681E-4</v>
      </c>
      <c r="BU196">
        <f t="shared" si="60"/>
        <v>59.752812979406251</v>
      </c>
    </row>
    <row r="197" spans="1:73">
      <c r="A197" t="s">
        <v>293</v>
      </c>
      <c r="B197" t="s">
        <v>136</v>
      </c>
      <c r="C197">
        <v>72</v>
      </c>
      <c r="D197" t="s">
        <v>56</v>
      </c>
      <c r="E197" t="s">
        <v>53</v>
      </c>
      <c r="F197" t="s">
        <v>54</v>
      </c>
      <c r="G197">
        <v>60000</v>
      </c>
      <c r="H197">
        <v>0.5</v>
      </c>
      <c r="I197">
        <v>0.5</v>
      </c>
      <c r="J197">
        <v>0</v>
      </c>
      <c r="K197">
        <v>1</v>
      </c>
      <c r="L197">
        <v>2000000000</v>
      </c>
      <c r="M197">
        <v>144</v>
      </c>
      <c r="N197">
        <v>144</v>
      </c>
      <c r="O197">
        <v>144</v>
      </c>
      <c r="P197">
        <v>0</v>
      </c>
      <c r="Q197" t="s">
        <v>55</v>
      </c>
      <c r="R197">
        <v>9.9998735903638195E+17</v>
      </c>
      <c r="S197">
        <v>1000000057</v>
      </c>
      <c r="T197">
        <v>9.9998735903638195E+17</v>
      </c>
      <c r="U197">
        <v>1000000057</v>
      </c>
      <c r="V197" t="s">
        <v>63</v>
      </c>
      <c r="W197">
        <v>7</v>
      </c>
      <c r="X197">
        <v>100011550</v>
      </c>
      <c r="Y197">
        <v>1110185305</v>
      </c>
      <c r="Z197">
        <v>1210196855</v>
      </c>
      <c r="AA197">
        <v>1000000057</v>
      </c>
      <c r="AB197">
        <v>12.1006</v>
      </c>
      <c r="AC197">
        <v>0.90075099999999997</v>
      </c>
      <c r="AD197">
        <v>4.0317699999999999</v>
      </c>
      <c r="AE197">
        <v>25771218384</v>
      </c>
      <c r="AF197" t="s">
        <v>717</v>
      </c>
      <c r="AG197" t="s">
        <v>717</v>
      </c>
      <c r="AI197">
        <v>65778</v>
      </c>
      <c r="AJ197">
        <v>8619374734283</v>
      </c>
      <c r="AK197">
        <v>521694253</v>
      </c>
      <c r="AM197">
        <v>1560523398</v>
      </c>
      <c r="AN197">
        <v>13203657290</v>
      </c>
      <c r="AO197">
        <v>305139992</v>
      </c>
      <c r="AP197">
        <v>6620847414</v>
      </c>
      <c r="AQ197">
        <v>0</v>
      </c>
      <c r="AR197">
        <v>66885628</v>
      </c>
      <c r="AS197">
        <v>6620847414</v>
      </c>
      <c r="AT197">
        <v>6687733042</v>
      </c>
      <c r="AU197">
        <v>110347456</v>
      </c>
      <c r="AV197">
        <v>0</v>
      </c>
      <c r="AW197">
        <v>1114760</v>
      </c>
      <c r="AX197">
        <v>110347456</v>
      </c>
      <c r="AY197">
        <v>111462217</v>
      </c>
      <c r="AZ197">
        <v>22.098199999999999</v>
      </c>
      <c r="BA197">
        <v>13.981</v>
      </c>
      <c r="BB197">
        <v>3596.75</v>
      </c>
      <c r="BC197">
        <v>2863.22</v>
      </c>
      <c r="BD197">
        <v>61560</v>
      </c>
      <c r="BE197">
        <v>9531</v>
      </c>
      <c r="BF197">
        <f t="shared" si="51"/>
        <v>59.856768988076382</v>
      </c>
      <c r="BG197" s="31">
        <f t="shared" si="52"/>
        <v>0.10827093703472222</v>
      </c>
      <c r="BH197">
        <f t="shared" si="53"/>
        <v>0</v>
      </c>
      <c r="BI197">
        <f t="shared" si="54"/>
        <v>0</v>
      </c>
      <c r="BJ197">
        <f t="shared" si="55"/>
        <v>0</v>
      </c>
      <c r="BK197">
        <f t="shared" si="56"/>
        <v>281093</v>
      </c>
      <c r="BL197">
        <f t="shared" si="57"/>
        <v>489323</v>
      </c>
      <c r="BM197">
        <f t="shared" si="58"/>
        <v>0</v>
      </c>
      <c r="BN197" t="str">
        <f t="shared" si="49"/>
        <v>u=1%, k=2x10^9</v>
      </c>
      <c r="BO197" t="str">
        <f t="shared" si="50"/>
        <v>u=1%, k=2x10^9, sequential</v>
      </c>
      <c r="BP197">
        <f t="shared" si="59"/>
        <v>3.6228767569444448E-3</v>
      </c>
      <c r="BQ197">
        <f t="shared" si="45"/>
        <v>0</v>
      </c>
      <c r="BR197">
        <f t="shared" si="46"/>
        <v>1.0836968041666666E-2</v>
      </c>
      <c r="BS197">
        <f t="shared" si="47"/>
        <v>9.1692064513888893E-2</v>
      </c>
      <c r="BT197">
        <f t="shared" si="48"/>
        <v>2.1190277222222225E-3</v>
      </c>
      <c r="BU197">
        <f t="shared" si="60"/>
        <v>59.748498051041658</v>
      </c>
    </row>
    <row r="198" spans="1:73">
      <c r="A198" t="s">
        <v>294</v>
      </c>
      <c r="B198" t="s">
        <v>136</v>
      </c>
      <c r="C198">
        <v>72</v>
      </c>
      <c r="D198" t="s">
        <v>56</v>
      </c>
      <c r="E198" t="s">
        <v>53</v>
      </c>
      <c r="F198" t="s">
        <v>54</v>
      </c>
      <c r="G198">
        <v>60000</v>
      </c>
      <c r="H198">
        <v>0.5</v>
      </c>
      <c r="I198">
        <v>0.5</v>
      </c>
      <c r="J198">
        <v>0</v>
      </c>
      <c r="K198">
        <v>1</v>
      </c>
      <c r="L198">
        <v>2000000000</v>
      </c>
      <c r="M198">
        <v>190</v>
      </c>
      <c r="N198">
        <v>190</v>
      </c>
      <c r="O198">
        <v>190</v>
      </c>
      <c r="P198">
        <v>0</v>
      </c>
      <c r="Q198" t="s">
        <v>55</v>
      </c>
      <c r="R198">
        <v>1.00000246542355E+18</v>
      </c>
      <c r="S198">
        <v>999999939</v>
      </c>
      <c r="T198">
        <v>1.00000246542355E+18</v>
      </c>
      <c r="U198">
        <v>999999939</v>
      </c>
      <c r="V198" t="s">
        <v>63</v>
      </c>
      <c r="W198">
        <v>7</v>
      </c>
      <c r="X198">
        <v>104140478</v>
      </c>
      <c r="Y198">
        <v>1118643515</v>
      </c>
      <c r="Z198">
        <v>1222783993</v>
      </c>
      <c r="AA198">
        <v>999999939</v>
      </c>
      <c r="AB198">
        <v>11.7417</v>
      </c>
      <c r="AC198">
        <v>0.89393999999999996</v>
      </c>
      <c r="AD198">
        <v>4.0404299999999997</v>
      </c>
      <c r="AE198">
        <v>26241121152</v>
      </c>
      <c r="AF198" t="s">
        <v>718</v>
      </c>
      <c r="AG198" t="s">
        <v>718</v>
      </c>
      <c r="AI198">
        <v>51146</v>
      </c>
      <c r="AJ198">
        <v>11372785250338</v>
      </c>
      <c r="AK198">
        <v>1018007693</v>
      </c>
      <c r="AM198">
        <v>2991204716</v>
      </c>
      <c r="AN198">
        <v>15126376007</v>
      </c>
      <c r="AO198">
        <v>611443637</v>
      </c>
      <c r="AP198">
        <v>8643655635</v>
      </c>
      <c r="AQ198">
        <v>0</v>
      </c>
      <c r="AR198">
        <v>87314546</v>
      </c>
      <c r="AS198">
        <v>8643655635</v>
      </c>
      <c r="AT198">
        <v>8730970181</v>
      </c>
      <c r="AU198">
        <v>144060927</v>
      </c>
      <c r="AV198">
        <v>0</v>
      </c>
      <c r="AW198">
        <v>1455242</v>
      </c>
      <c r="AX198">
        <v>144060927</v>
      </c>
      <c r="AY198">
        <v>145516169</v>
      </c>
      <c r="AZ198">
        <v>22.182400000000001</v>
      </c>
      <c r="BA198">
        <v>14.1213</v>
      </c>
      <c r="BB198">
        <v>3633.42</v>
      </c>
      <c r="BC198">
        <v>2898.63</v>
      </c>
      <c r="BD198">
        <v>62234</v>
      </c>
      <c r="BE198">
        <v>9252</v>
      </c>
      <c r="BF198">
        <f t="shared" si="51"/>
        <v>59.856764475463159</v>
      </c>
      <c r="BG198" s="31">
        <f t="shared" si="52"/>
        <v>0.10393174764736843</v>
      </c>
      <c r="BH198">
        <f t="shared" si="53"/>
        <v>0</v>
      </c>
      <c r="BI198">
        <f t="shared" si="54"/>
        <v>0</v>
      </c>
      <c r="BJ198">
        <f t="shared" si="55"/>
        <v>0</v>
      </c>
      <c r="BK198">
        <f t="shared" si="56"/>
        <v>604488</v>
      </c>
      <c r="BL198">
        <f t="shared" si="57"/>
        <v>793679</v>
      </c>
      <c r="BM198">
        <f t="shared" si="58"/>
        <v>0</v>
      </c>
      <c r="BN198" t="str">
        <f t="shared" si="49"/>
        <v>u=1%, k=2x10^9</v>
      </c>
      <c r="BO198" t="str">
        <f t="shared" si="50"/>
        <v>u=1%, k=2x10^9, sequential</v>
      </c>
      <c r="BP198">
        <f t="shared" si="59"/>
        <v>5.3579352263157893E-3</v>
      </c>
      <c r="BQ198">
        <f t="shared" si="45"/>
        <v>0</v>
      </c>
      <c r="BR198">
        <f t="shared" si="46"/>
        <v>1.5743182715789474E-2</v>
      </c>
      <c r="BS198">
        <f t="shared" si="47"/>
        <v>7.9612505299999997E-2</v>
      </c>
      <c r="BT198">
        <f t="shared" si="48"/>
        <v>3.2181244052631583E-3</v>
      </c>
      <c r="BU198">
        <f t="shared" si="60"/>
        <v>59.752832727815793</v>
      </c>
    </row>
    <row r="199" spans="1:73">
      <c r="A199" t="s">
        <v>295</v>
      </c>
      <c r="B199" t="s">
        <v>136</v>
      </c>
      <c r="C199">
        <v>72</v>
      </c>
      <c r="D199" t="s">
        <v>56</v>
      </c>
      <c r="E199" t="s">
        <v>53</v>
      </c>
      <c r="F199" t="s">
        <v>54</v>
      </c>
      <c r="G199">
        <v>60000</v>
      </c>
      <c r="H199">
        <v>5</v>
      </c>
      <c r="I199">
        <v>5</v>
      </c>
      <c r="J199">
        <v>0</v>
      </c>
      <c r="K199">
        <v>1</v>
      </c>
      <c r="L199">
        <v>2000000</v>
      </c>
      <c r="M199">
        <v>24</v>
      </c>
      <c r="N199">
        <v>24</v>
      </c>
      <c r="O199">
        <v>24</v>
      </c>
      <c r="P199">
        <v>0</v>
      </c>
      <c r="Q199" t="s">
        <v>55</v>
      </c>
      <c r="R199">
        <v>998971524667</v>
      </c>
      <c r="S199">
        <v>998830</v>
      </c>
      <c r="T199">
        <v>998971524667</v>
      </c>
      <c r="U199">
        <v>998830</v>
      </c>
      <c r="V199" t="s">
        <v>63</v>
      </c>
      <c r="W199">
        <v>6</v>
      </c>
      <c r="X199">
        <v>33009</v>
      </c>
      <c r="Y199">
        <v>1030843</v>
      </c>
      <c r="Z199">
        <v>1063852</v>
      </c>
      <c r="AA199">
        <v>998830</v>
      </c>
      <c r="AB199">
        <v>32.229100000000003</v>
      </c>
      <c r="AC199">
        <v>0.96894499999999995</v>
      </c>
      <c r="AD199">
        <v>3.0000100000000001</v>
      </c>
      <c r="AE199">
        <v>19134192</v>
      </c>
      <c r="AF199" t="s">
        <v>719</v>
      </c>
      <c r="AG199" t="s">
        <v>720</v>
      </c>
      <c r="AI199">
        <v>1060312</v>
      </c>
      <c r="AJ199">
        <v>1437460367644</v>
      </c>
      <c r="AK199">
        <v>24868143868</v>
      </c>
      <c r="AL199">
        <v>432695319680</v>
      </c>
      <c r="AM199">
        <v>30042175551</v>
      </c>
      <c r="AN199">
        <v>11829204870</v>
      </c>
      <c r="AO199">
        <v>12635340291</v>
      </c>
      <c r="AP199">
        <v>2519673350</v>
      </c>
      <c r="AQ199">
        <v>0</v>
      </c>
      <c r="AR199">
        <v>279963495</v>
      </c>
      <c r="AS199">
        <v>2519673350</v>
      </c>
      <c r="AT199">
        <v>2799636845</v>
      </c>
      <c r="AU199">
        <v>41994555</v>
      </c>
      <c r="AV199">
        <v>0</v>
      </c>
      <c r="AW199">
        <v>4666058</v>
      </c>
      <c r="AX199">
        <v>41994555</v>
      </c>
      <c r="AY199">
        <v>46660614</v>
      </c>
      <c r="AZ199">
        <v>9.8558800000000009</v>
      </c>
      <c r="BA199">
        <v>0.38563399999999998</v>
      </c>
      <c r="BB199">
        <v>1429.95</v>
      </c>
      <c r="BC199">
        <v>339.33600000000001</v>
      </c>
      <c r="BD199">
        <v>1667</v>
      </c>
      <c r="BE199">
        <v>28</v>
      </c>
      <c r="BF199">
        <f t="shared" si="51"/>
        <v>59.894181985166661</v>
      </c>
      <c r="BG199" s="31">
        <f t="shared" si="52"/>
        <v>21.336257677500001</v>
      </c>
      <c r="BH199">
        <f t="shared" si="53"/>
        <v>560</v>
      </c>
      <c r="BI199">
        <f t="shared" si="54"/>
        <v>502656</v>
      </c>
      <c r="BJ199">
        <f t="shared" si="55"/>
        <v>7233113</v>
      </c>
      <c r="BK199">
        <f t="shared" si="56"/>
        <v>8106703</v>
      </c>
      <c r="BL199">
        <f t="shared" si="57"/>
        <v>0</v>
      </c>
      <c r="BM199">
        <f t="shared" si="58"/>
        <v>0</v>
      </c>
      <c r="BN199" t="str">
        <f t="shared" si="49"/>
        <v>u=10%, k=2x10^6</v>
      </c>
      <c r="BO199" t="str">
        <f t="shared" si="50"/>
        <v>u=10%, k=2x10^6, sequential</v>
      </c>
      <c r="BP199">
        <f t="shared" si="59"/>
        <v>1.0361726611666666</v>
      </c>
      <c r="BQ199">
        <f t="shared" ref="BQ199:BQ228" si="61">AL199/1000000000/$N199</f>
        <v>18.028971653333333</v>
      </c>
      <c r="BR199">
        <f t="shared" ref="BR199:BR228" si="62">AM199/1000000000/$N199</f>
        <v>1.2517573146250001</v>
      </c>
      <c r="BS199">
        <f t="shared" ref="BS199:BS228" si="63">AN199/1000000000/$N199</f>
        <v>0.49288353624999998</v>
      </c>
      <c r="BT199">
        <f t="shared" ref="BT199:BT228" si="64">AO199/1000000000/$N199</f>
        <v>0.52647251212500001</v>
      </c>
      <c r="BU199">
        <f t="shared" si="60"/>
        <v>38.55792430766666</v>
      </c>
    </row>
    <row r="200" spans="1:73">
      <c r="A200" t="s">
        <v>296</v>
      </c>
      <c r="B200" t="s">
        <v>136</v>
      </c>
      <c r="C200">
        <v>72</v>
      </c>
      <c r="D200" t="s">
        <v>56</v>
      </c>
      <c r="E200" t="s">
        <v>53</v>
      </c>
      <c r="F200" t="s">
        <v>54</v>
      </c>
      <c r="G200">
        <v>60000</v>
      </c>
      <c r="H200">
        <v>5</v>
      </c>
      <c r="I200">
        <v>5</v>
      </c>
      <c r="J200">
        <v>0</v>
      </c>
      <c r="K200">
        <v>1</v>
      </c>
      <c r="L200">
        <v>2000000</v>
      </c>
      <c r="M200">
        <v>48</v>
      </c>
      <c r="N200">
        <v>48</v>
      </c>
      <c r="O200">
        <v>48</v>
      </c>
      <c r="P200">
        <v>0</v>
      </c>
      <c r="Q200" t="s">
        <v>55</v>
      </c>
      <c r="R200">
        <v>1000881111638</v>
      </c>
      <c r="S200">
        <v>1000504</v>
      </c>
      <c r="T200">
        <v>1000881111638</v>
      </c>
      <c r="U200">
        <v>1000504</v>
      </c>
      <c r="V200" t="s">
        <v>63</v>
      </c>
      <c r="W200">
        <v>7</v>
      </c>
      <c r="X200">
        <v>64446</v>
      </c>
      <c r="Y200">
        <v>1098010</v>
      </c>
      <c r="Z200">
        <v>1162456</v>
      </c>
      <c r="AA200">
        <v>1000504</v>
      </c>
      <c r="AB200">
        <v>18.037700000000001</v>
      </c>
      <c r="AC200">
        <v>0.91119799999999995</v>
      </c>
      <c r="AD200">
        <v>3.0682100000000001</v>
      </c>
      <c r="AE200">
        <v>22783248</v>
      </c>
      <c r="AF200" t="s">
        <v>721</v>
      </c>
      <c r="AG200" t="s">
        <v>722</v>
      </c>
      <c r="AI200">
        <v>291414</v>
      </c>
      <c r="AJ200">
        <v>2873124624627</v>
      </c>
      <c r="AK200">
        <v>44332789163</v>
      </c>
      <c r="AL200">
        <v>1439157703297</v>
      </c>
      <c r="AM200">
        <v>50263066542</v>
      </c>
      <c r="AN200">
        <v>21735012233</v>
      </c>
      <c r="AO200">
        <v>21479501534</v>
      </c>
      <c r="AP200">
        <v>2774958093</v>
      </c>
      <c r="AQ200">
        <v>0</v>
      </c>
      <c r="AR200">
        <v>308338082</v>
      </c>
      <c r="AS200">
        <v>2774958093</v>
      </c>
      <c r="AT200">
        <v>3083296175</v>
      </c>
      <c r="AU200">
        <v>46249301</v>
      </c>
      <c r="AV200">
        <v>0</v>
      </c>
      <c r="AW200">
        <v>5138968</v>
      </c>
      <c r="AX200">
        <v>46249301</v>
      </c>
      <c r="AY200">
        <v>51388269</v>
      </c>
      <c r="AZ200">
        <v>9.8473500000000005</v>
      </c>
      <c r="BA200">
        <v>0.47528599999999999</v>
      </c>
      <c r="BB200">
        <v>2587.06</v>
      </c>
      <c r="BC200">
        <v>504.93799999999999</v>
      </c>
      <c r="BD200">
        <v>2121</v>
      </c>
      <c r="BE200">
        <v>72</v>
      </c>
      <c r="BF200">
        <f t="shared" si="51"/>
        <v>59.856763013062498</v>
      </c>
      <c r="BG200" s="31">
        <f t="shared" si="52"/>
        <v>32.853501516020835</v>
      </c>
      <c r="BH200">
        <f t="shared" si="53"/>
        <v>616</v>
      </c>
      <c r="BI200">
        <f t="shared" si="54"/>
        <v>608067</v>
      </c>
      <c r="BJ200">
        <f t="shared" si="55"/>
        <v>5779087</v>
      </c>
      <c r="BK200">
        <f t="shared" si="56"/>
        <v>8391044</v>
      </c>
      <c r="BL200">
        <f t="shared" si="57"/>
        <v>0</v>
      </c>
      <c r="BM200">
        <f t="shared" si="58"/>
        <v>0</v>
      </c>
      <c r="BN200" t="str">
        <f t="shared" si="49"/>
        <v>u=10%, k=2x10^6</v>
      </c>
      <c r="BO200" t="str">
        <f t="shared" si="50"/>
        <v>u=10%, k=2x10^6, sequential</v>
      </c>
      <c r="BP200">
        <f t="shared" si="59"/>
        <v>0.92359977422916673</v>
      </c>
      <c r="BQ200">
        <f t="shared" si="61"/>
        <v>29.98245215202083</v>
      </c>
      <c r="BR200">
        <f t="shared" si="62"/>
        <v>1.047147219625</v>
      </c>
      <c r="BS200">
        <f t="shared" si="63"/>
        <v>0.45281275485416667</v>
      </c>
      <c r="BT200">
        <f t="shared" si="64"/>
        <v>0.4474896152916667</v>
      </c>
      <c r="BU200">
        <f t="shared" si="60"/>
        <v>27.00326149704167</v>
      </c>
    </row>
    <row r="201" spans="1:73">
      <c r="A201" t="s">
        <v>297</v>
      </c>
      <c r="B201" t="s">
        <v>136</v>
      </c>
      <c r="C201">
        <v>72</v>
      </c>
      <c r="D201" t="s">
        <v>56</v>
      </c>
      <c r="E201" t="s">
        <v>53</v>
      </c>
      <c r="F201" t="s">
        <v>54</v>
      </c>
      <c r="G201">
        <v>60000</v>
      </c>
      <c r="H201">
        <v>5</v>
      </c>
      <c r="I201">
        <v>5</v>
      </c>
      <c r="J201">
        <v>0</v>
      </c>
      <c r="K201">
        <v>1</v>
      </c>
      <c r="L201">
        <v>2000000</v>
      </c>
      <c r="M201">
        <v>96</v>
      </c>
      <c r="N201">
        <v>96</v>
      </c>
      <c r="O201">
        <v>96</v>
      </c>
      <c r="P201">
        <v>0</v>
      </c>
      <c r="Q201" t="s">
        <v>55</v>
      </c>
      <c r="R201">
        <v>1001081784793</v>
      </c>
      <c r="S201">
        <v>1000715</v>
      </c>
      <c r="T201">
        <v>1001081784793</v>
      </c>
      <c r="U201">
        <v>1000715</v>
      </c>
      <c r="V201" t="s">
        <v>63</v>
      </c>
      <c r="W201">
        <v>6</v>
      </c>
      <c r="X201">
        <v>33064</v>
      </c>
      <c r="Y201">
        <v>1032799</v>
      </c>
      <c r="Z201">
        <v>1065863</v>
      </c>
      <c r="AA201">
        <v>1000715</v>
      </c>
      <c r="AB201">
        <v>32.236400000000003</v>
      </c>
      <c r="AC201">
        <v>0.96893499999999999</v>
      </c>
      <c r="AD201">
        <v>3.0000599999999999</v>
      </c>
      <c r="AE201">
        <v>19169888</v>
      </c>
      <c r="AF201" t="s">
        <v>723</v>
      </c>
      <c r="AG201" t="s">
        <v>724</v>
      </c>
      <c r="AI201">
        <v>85236</v>
      </c>
      <c r="AJ201">
        <v>5752439389833</v>
      </c>
      <c r="AK201">
        <v>105913443844</v>
      </c>
      <c r="AL201">
        <v>3808154334685</v>
      </c>
      <c r="AM201">
        <v>80635989166</v>
      </c>
      <c r="AN201">
        <v>51001491015</v>
      </c>
      <c r="AO201">
        <v>25816638928</v>
      </c>
      <c r="AP201">
        <v>3098614363</v>
      </c>
      <c r="AQ201">
        <v>0</v>
      </c>
      <c r="AR201">
        <v>344310568</v>
      </c>
      <c r="AS201">
        <v>3098614363</v>
      </c>
      <c r="AT201">
        <v>3442924931</v>
      </c>
      <c r="AU201">
        <v>51643572</v>
      </c>
      <c r="AV201">
        <v>0</v>
      </c>
      <c r="AW201">
        <v>5738509</v>
      </c>
      <c r="AX201">
        <v>51643572</v>
      </c>
      <c r="AY201">
        <v>57382082</v>
      </c>
      <c r="AZ201">
        <v>10.374599999999999</v>
      </c>
      <c r="BA201">
        <v>1.4915799999999999</v>
      </c>
      <c r="BB201">
        <v>4645.67</v>
      </c>
      <c r="BC201">
        <v>786.23</v>
      </c>
      <c r="BD201">
        <v>2866</v>
      </c>
      <c r="BE201">
        <v>157</v>
      </c>
      <c r="BF201">
        <f t="shared" si="51"/>
        <v>59.921243644093749</v>
      </c>
      <c r="BG201" s="31">
        <f t="shared" si="52"/>
        <v>42.411686433729166</v>
      </c>
      <c r="BH201">
        <f t="shared" si="53"/>
        <v>689</v>
      </c>
      <c r="BI201">
        <f t="shared" si="54"/>
        <v>1075553</v>
      </c>
      <c r="BJ201">
        <f t="shared" si="55"/>
        <v>1869879</v>
      </c>
      <c r="BK201">
        <f t="shared" si="56"/>
        <v>7955075</v>
      </c>
      <c r="BL201">
        <f t="shared" si="57"/>
        <v>0</v>
      </c>
      <c r="BM201">
        <f t="shared" si="58"/>
        <v>0</v>
      </c>
      <c r="BN201" t="str">
        <f t="shared" si="49"/>
        <v>u=10%, k=2x10^6</v>
      </c>
      <c r="BO201" t="str">
        <f t="shared" si="50"/>
        <v>u=10%, k=2x10^6, sequential</v>
      </c>
      <c r="BP201">
        <f t="shared" si="59"/>
        <v>1.1032650400416666</v>
      </c>
      <c r="BQ201">
        <f t="shared" si="61"/>
        <v>39.668274319635415</v>
      </c>
      <c r="BR201">
        <f t="shared" si="62"/>
        <v>0.83995822047916668</v>
      </c>
      <c r="BS201">
        <f t="shared" si="63"/>
        <v>0.53126553140624999</v>
      </c>
      <c r="BT201">
        <f t="shared" si="64"/>
        <v>0.26892332216666665</v>
      </c>
      <c r="BU201">
        <f t="shared" si="60"/>
        <v>17.509557210364584</v>
      </c>
    </row>
    <row r="202" spans="1:73">
      <c r="A202" t="s">
        <v>298</v>
      </c>
      <c r="B202" t="s">
        <v>136</v>
      </c>
      <c r="C202">
        <v>72</v>
      </c>
      <c r="D202" t="s">
        <v>56</v>
      </c>
      <c r="E202" t="s">
        <v>53</v>
      </c>
      <c r="F202" t="s">
        <v>54</v>
      </c>
      <c r="G202">
        <v>60000</v>
      </c>
      <c r="H202">
        <v>5</v>
      </c>
      <c r="I202">
        <v>5</v>
      </c>
      <c r="J202">
        <v>0</v>
      </c>
      <c r="K202">
        <v>1</v>
      </c>
      <c r="L202">
        <v>2000000</v>
      </c>
      <c r="M202">
        <v>144</v>
      </c>
      <c r="N202">
        <v>144</v>
      </c>
      <c r="O202">
        <v>144</v>
      </c>
      <c r="P202">
        <v>0</v>
      </c>
      <c r="Q202" t="s">
        <v>55</v>
      </c>
      <c r="R202">
        <v>998915447025</v>
      </c>
      <c r="S202">
        <v>999777</v>
      </c>
      <c r="T202">
        <v>998915447025</v>
      </c>
      <c r="U202">
        <v>999777</v>
      </c>
      <c r="V202" t="s">
        <v>63</v>
      </c>
      <c r="W202">
        <v>6</v>
      </c>
      <c r="X202">
        <v>33043</v>
      </c>
      <c r="Y202">
        <v>1031844</v>
      </c>
      <c r="Z202">
        <v>1064887</v>
      </c>
      <c r="AA202">
        <v>999777</v>
      </c>
      <c r="AB202">
        <v>32.2273</v>
      </c>
      <c r="AC202">
        <v>0.96892299999999998</v>
      </c>
      <c r="AD202">
        <v>3.0000800000000001</v>
      </c>
      <c r="AE202">
        <v>19152928</v>
      </c>
      <c r="AF202" t="s">
        <v>725</v>
      </c>
      <c r="AG202" t="s">
        <v>726</v>
      </c>
      <c r="AI202">
        <v>43688</v>
      </c>
      <c r="AJ202">
        <v>8628254818760</v>
      </c>
      <c r="AK202">
        <v>155346699581</v>
      </c>
      <c r="AL202">
        <v>6155551325214</v>
      </c>
      <c r="AM202">
        <v>117056367029</v>
      </c>
      <c r="AN202">
        <v>366757008163</v>
      </c>
      <c r="AO202">
        <v>32208971956</v>
      </c>
      <c r="AP202">
        <v>3034804172</v>
      </c>
      <c r="AQ202">
        <v>0</v>
      </c>
      <c r="AR202">
        <v>337191452</v>
      </c>
      <c r="AS202">
        <v>3034804172</v>
      </c>
      <c r="AT202">
        <v>3371995624</v>
      </c>
      <c r="AU202">
        <v>50580069</v>
      </c>
      <c r="AV202">
        <v>0</v>
      </c>
      <c r="AW202">
        <v>5619857</v>
      </c>
      <c r="AX202">
        <v>50580069</v>
      </c>
      <c r="AY202">
        <v>56199927</v>
      </c>
      <c r="AZ202">
        <v>11.449</v>
      </c>
      <c r="BA202">
        <v>2.42441</v>
      </c>
      <c r="BB202">
        <v>7026.07</v>
      </c>
      <c r="BC202">
        <v>1006.62</v>
      </c>
      <c r="BD202">
        <v>3651</v>
      </c>
      <c r="BE202">
        <v>336</v>
      </c>
      <c r="BF202">
        <f t="shared" si="51"/>
        <v>59.918436241388889</v>
      </c>
      <c r="BG202" s="31">
        <f t="shared" si="52"/>
        <v>47.409169249604162</v>
      </c>
      <c r="BH202">
        <f t="shared" si="53"/>
        <v>675</v>
      </c>
      <c r="BI202">
        <f t="shared" si="54"/>
        <v>1958055</v>
      </c>
      <c r="BJ202">
        <f t="shared" si="55"/>
        <v>353298</v>
      </c>
      <c r="BK202">
        <f t="shared" si="56"/>
        <v>5479221</v>
      </c>
      <c r="BL202">
        <f t="shared" si="57"/>
        <v>0</v>
      </c>
      <c r="BM202">
        <f t="shared" si="58"/>
        <v>0</v>
      </c>
      <c r="BN202" t="str">
        <f t="shared" si="49"/>
        <v>u=10%, k=2x10^6</v>
      </c>
      <c r="BO202" t="str">
        <f t="shared" si="50"/>
        <v>u=10%, k=2x10^6, sequential</v>
      </c>
      <c r="BP202">
        <f t="shared" si="59"/>
        <v>1.0787965248680556</v>
      </c>
      <c r="BQ202">
        <f t="shared" si="61"/>
        <v>42.746884202875002</v>
      </c>
      <c r="BR202">
        <f t="shared" si="62"/>
        <v>0.81289143770138894</v>
      </c>
      <c r="BS202">
        <f t="shared" si="63"/>
        <v>2.5469236677986111</v>
      </c>
      <c r="BT202">
        <f t="shared" si="64"/>
        <v>0.2236734163611111</v>
      </c>
      <c r="BU202">
        <f t="shared" si="60"/>
        <v>12.509266991784727</v>
      </c>
    </row>
    <row r="203" spans="1:73">
      <c r="A203" t="s">
        <v>299</v>
      </c>
      <c r="B203" t="s">
        <v>136</v>
      </c>
      <c r="C203">
        <v>72</v>
      </c>
      <c r="D203" t="s">
        <v>56</v>
      </c>
      <c r="E203" t="s">
        <v>53</v>
      </c>
      <c r="F203" t="s">
        <v>54</v>
      </c>
      <c r="G203">
        <v>60000</v>
      </c>
      <c r="H203">
        <v>5</v>
      </c>
      <c r="I203">
        <v>5</v>
      </c>
      <c r="J203">
        <v>0</v>
      </c>
      <c r="K203">
        <v>1</v>
      </c>
      <c r="L203">
        <v>2000000</v>
      </c>
      <c r="M203">
        <v>190</v>
      </c>
      <c r="N203">
        <v>190</v>
      </c>
      <c r="O203">
        <v>190</v>
      </c>
      <c r="P203">
        <v>0</v>
      </c>
      <c r="Q203" t="s">
        <v>55</v>
      </c>
      <c r="R203">
        <v>999962670999</v>
      </c>
      <c r="S203">
        <v>1000048</v>
      </c>
      <c r="T203">
        <v>999962670999</v>
      </c>
      <c r="U203">
        <v>1000048</v>
      </c>
      <c r="V203" t="s">
        <v>63</v>
      </c>
      <c r="W203">
        <v>6</v>
      </c>
      <c r="X203">
        <v>33082</v>
      </c>
      <c r="Y203">
        <v>1032170</v>
      </c>
      <c r="Z203">
        <v>1065252</v>
      </c>
      <c r="AA203">
        <v>1000048</v>
      </c>
      <c r="AB203">
        <v>32.200400000000002</v>
      </c>
      <c r="AC203">
        <v>0.96887900000000005</v>
      </c>
      <c r="AD203">
        <v>3.0000900000000001</v>
      </c>
      <c r="AE203">
        <v>19161264</v>
      </c>
      <c r="AF203" t="s">
        <v>727</v>
      </c>
      <c r="AG203" t="s">
        <v>728</v>
      </c>
      <c r="AI203">
        <v>37766</v>
      </c>
      <c r="AJ203">
        <v>11384498983660</v>
      </c>
      <c r="AK203">
        <v>202025877310</v>
      </c>
      <c r="AL203">
        <v>7817511189235</v>
      </c>
      <c r="AM203">
        <v>124397565862</v>
      </c>
      <c r="AN203">
        <v>855857350678</v>
      </c>
      <c r="AO203">
        <v>33954444162</v>
      </c>
      <c r="AP203">
        <v>3780065261</v>
      </c>
      <c r="AQ203">
        <v>0</v>
      </c>
      <c r="AR203">
        <v>420043162</v>
      </c>
      <c r="AS203">
        <v>3780065261</v>
      </c>
      <c r="AT203">
        <v>4200108423</v>
      </c>
      <c r="AU203">
        <v>63001087</v>
      </c>
      <c r="AV203">
        <v>0</v>
      </c>
      <c r="AW203">
        <v>7000719</v>
      </c>
      <c r="AX203">
        <v>63001087</v>
      </c>
      <c r="AY203">
        <v>70001807</v>
      </c>
      <c r="AZ203">
        <v>11.529</v>
      </c>
      <c r="BA203">
        <v>2.7733699999999999</v>
      </c>
      <c r="BB203">
        <v>7371.27</v>
      </c>
      <c r="BC203">
        <v>1131.69</v>
      </c>
      <c r="BD203">
        <v>3081</v>
      </c>
      <c r="BE203">
        <v>285</v>
      </c>
      <c r="BF203">
        <f t="shared" si="51"/>
        <v>59.918415703473684</v>
      </c>
      <c r="BG203" s="31">
        <f t="shared" si="52"/>
        <v>47.546033827615794</v>
      </c>
      <c r="BH203">
        <f t="shared" si="53"/>
        <v>841</v>
      </c>
      <c r="BI203">
        <f t="shared" si="54"/>
        <v>1963768</v>
      </c>
      <c r="BJ203">
        <f t="shared" si="55"/>
        <v>955901</v>
      </c>
      <c r="BK203">
        <f t="shared" si="56"/>
        <v>7883237</v>
      </c>
      <c r="BL203">
        <f t="shared" si="57"/>
        <v>0</v>
      </c>
      <c r="BM203">
        <f t="shared" si="58"/>
        <v>0</v>
      </c>
      <c r="BN203" t="str">
        <f t="shared" si="49"/>
        <v>u=10%, k=2x10^6</v>
      </c>
      <c r="BO203" t="str">
        <f t="shared" si="50"/>
        <v>u=10%, k=2x10^6, sequential</v>
      </c>
      <c r="BP203">
        <f t="shared" si="59"/>
        <v>1.0632940911052631</v>
      </c>
      <c r="BQ203">
        <f t="shared" si="61"/>
        <v>41.144795732815787</v>
      </c>
      <c r="BR203">
        <f t="shared" si="62"/>
        <v>0.65472403085263153</v>
      </c>
      <c r="BS203">
        <f t="shared" si="63"/>
        <v>4.504512371989474</v>
      </c>
      <c r="BT203">
        <f t="shared" si="64"/>
        <v>0.1787076008526316</v>
      </c>
      <c r="BU203">
        <f t="shared" si="60"/>
        <v>12.372381875857897</v>
      </c>
    </row>
    <row r="204" spans="1:73">
      <c r="A204" t="s">
        <v>300</v>
      </c>
      <c r="B204" t="s">
        <v>136</v>
      </c>
      <c r="C204">
        <v>72</v>
      </c>
      <c r="D204" t="s">
        <v>56</v>
      </c>
      <c r="E204" t="s">
        <v>53</v>
      </c>
      <c r="F204" t="s">
        <v>54</v>
      </c>
      <c r="G204">
        <v>60000</v>
      </c>
      <c r="H204">
        <v>5</v>
      </c>
      <c r="I204">
        <v>5</v>
      </c>
      <c r="J204">
        <v>0</v>
      </c>
      <c r="K204">
        <v>1</v>
      </c>
      <c r="L204">
        <v>20000000</v>
      </c>
      <c r="M204">
        <v>24</v>
      </c>
      <c r="N204">
        <v>24</v>
      </c>
      <c r="O204">
        <v>24</v>
      </c>
      <c r="P204">
        <v>0</v>
      </c>
      <c r="Q204" t="s">
        <v>55</v>
      </c>
      <c r="R204">
        <v>100005087505812</v>
      </c>
      <c r="S204">
        <v>10001478</v>
      </c>
      <c r="T204">
        <v>100005087505812</v>
      </c>
      <c r="U204">
        <v>10001478</v>
      </c>
      <c r="V204" t="s">
        <v>63</v>
      </c>
      <c r="W204">
        <v>7</v>
      </c>
      <c r="X204">
        <v>1625787</v>
      </c>
      <c r="Y204">
        <v>11443816</v>
      </c>
      <c r="Z204">
        <v>13069603</v>
      </c>
      <c r="AA204">
        <v>10001478</v>
      </c>
      <c r="AB204">
        <v>8.0389400000000002</v>
      </c>
      <c r="AC204">
        <v>0.87396399999999996</v>
      </c>
      <c r="AD204">
        <v>4</v>
      </c>
      <c r="AE204">
        <v>313164000</v>
      </c>
      <c r="AF204" t="s">
        <v>729</v>
      </c>
      <c r="AG204" t="s">
        <v>730</v>
      </c>
      <c r="AI204">
        <v>427206</v>
      </c>
      <c r="AJ204">
        <v>1458382886812</v>
      </c>
      <c r="AK204">
        <v>31755218995</v>
      </c>
      <c r="AL204">
        <v>480454981609</v>
      </c>
      <c r="AM204">
        <v>37724945515</v>
      </c>
      <c r="AN204">
        <v>24289164387</v>
      </c>
      <c r="AO204">
        <v>11726924946</v>
      </c>
      <c r="AP204">
        <v>1079917886</v>
      </c>
      <c r="AQ204">
        <v>0</v>
      </c>
      <c r="AR204">
        <v>119999363</v>
      </c>
      <c r="AS204">
        <v>1079917886</v>
      </c>
      <c r="AT204">
        <v>1199917249</v>
      </c>
      <c r="AU204">
        <v>17998631</v>
      </c>
      <c r="AV204">
        <v>0</v>
      </c>
      <c r="AW204">
        <v>1999989</v>
      </c>
      <c r="AX204">
        <v>17998631</v>
      </c>
      <c r="AY204">
        <v>19998620</v>
      </c>
      <c r="AZ204">
        <v>17.985299999999999</v>
      </c>
      <c r="BA204">
        <v>7.1616</v>
      </c>
      <c r="BB204">
        <v>3375.95</v>
      </c>
      <c r="BC204">
        <v>1440.26</v>
      </c>
      <c r="BD204">
        <v>3394</v>
      </c>
      <c r="BE204">
        <v>180</v>
      </c>
      <c r="BF204">
        <f t="shared" si="51"/>
        <v>60.765953617166666</v>
      </c>
      <c r="BG204" s="31">
        <f t="shared" si="52"/>
        <v>24.414634810500001</v>
      </c>
      <c r="BH204">
        <f t="shared" si="53"/>
        <v>24</v>
      </c>
      <c r="BI204">
        <f t="shared" si="54"/>
        <v>66957</v>
      </c>
      <c r="BJ204">
        <f t="shared" si="55"/>
        <v>1925006</v>
      </c>
      <c r="BK204">
        <f t="shared" si="56"/>
        <v>17556176</v>
      </c>
      <c r="BL204">
        <f t="shared" si="57"/>
        <v>58447</v>
      </c>
      <c r="BM204">
        <f t="shared" si="58"/>
        <v>0</v>
      </c>
      <c r="BN204" t="str">
        <f t="shared" si="49"/>
        <v>u=10%, k=2x10^7</v>
      </c>
      <c r="BO204" t="str">
        <f t="shared" si="50"/>
        <v>u=10%, k=2x10^7, sequential</v>
      </c>
      <c r="BP204">
        <f t="shared" si="59"/>
        <v>1.3231341247916666</v>
      </c>
      <c r="BQ204">
        <f t="shared" si="61"/>
        <v>20.018957567041667</v>
      </c>
      <c r="BR204">
        <f t="shared" si="62"/>
        <v>1.5718727297916668</v>
      </c>
      <c r="BS204">
        <f t="shared" si="63"/>
        <v>1.0120485161249999</v>
      </c>
      <c r="BT204">
        <f t="shared" si="64"/>
        <v>0.48862187275000002</v>
      </c>
      <c r="BU204">
        <f t="shared" si="60"/>
        <v>36.351318806666669</v>
      </c>
    </row>
    <row r="205" spans="1:73">
      <c r="A205" t="s">
        <v>301</v>
      </c>
      <c r="B205" t="s">
        <v>136</v>
      </c>
      <c r="C205">
        <v>72</v>
      </c>
      <c r="D205" t="s">
        <v>56</v>
      </c>
      <c r="E205" t="s">
        <v>53</v>
      </c>
      <c r="F205" t="s">
        <v>54</v>
      </c>
      <c r="G205">
        <v>60000</v>
      </c>
      <c r="H205">
        <v>5</v>
      </c>
      <c r="I205">
        <v>5</v>
      </c>
      <c r="J205">
        <v>0</v>
      </c>
      <c r="K205">
        <v>1</v>
      </c>
      <c r="L205">
        <v>20000000</v>
      </c>
      <c r="M205">
        <v>48</v>
      </c>
      <c r="N205">
        <v>48</v>
      </c>
      <c r="O205">
        <v>48</v>
      </c>
      <c r="P205">
        <v>0</v>
      </c>
      <c r="Q205" t="s">
        <v>55</v>
      </c>
      <c r="R205">
        <v>99996503265938</v>
      </c>
      <c r="S205">
        <v>10001033</v>
      </c>
      <c r="T205">
        <v>99996503265938</v>
      </c>
      <c r="U205">
        <v>10001033</v>
      </c>
      <c r="V205" t="s">
        <v>63</v>
      </c>
      <c r="W205">
        <v>7</v>
      </c>
      <c r="X205">
        <v>1905638</v>
      </c>
      <c r="Y205">
        <v>12036392</v>
      </c>
      <c r="Z205">
        <v>13942030</v>
      </c>
      <c r="AA205">
        <v>10001033</v>
      </c>
      <c r="AB205">
        <v>7.3162000000000003</v>
      </c>
      <c r="AC205">
        <v>0.83089999999999997</v>
      </c>
      <c r="AD205">
        <v>4.0556000000000001</v>
      </c>
      <c r="AE205">
        <v>345075728</v>
      </c>
      <c r="AF205" t="s">
        <v>731</v>
      </c>
      <c r="AG205" t="s">
        <v>732</v>
      </c>
      <c r="AI205">
        <v>133302</v>
      </c>
      <c r="AJ205">
        <v>2873123845761</v>
      </c>
      <c r="AK205">
        <v>51846892619</v>
      </c>
      <c r="AL205">
        <v>1410622494397</v>
      </c>
      <c r="AM205">
        <v>65771191132</v>
      </c>
      <c r="AN205">
        <v>61374501469</v>
      </c>
      <c r="AO205">
        <v>20335701808</v>
      </c>
      <c r="AP205">
        <v>1379664261</v>
      </c>
      <c r="AQ205">
        <v>0</v>
      </c>
      <c r="AR205">
        <v>153283997</v>
      </c>
      <c r="AS205">
        <v>1379664261</v>
      </c>
      <c r="AT205">
        <v>1532948258</v>
      </c>
      <c r="AU205">
        <v>22994404</v>
      </c>
      <c r="AV205">
        <v>0</v>
      </c>
      <c r="AW205">
        <v>2554733</v>
      </c>
      <c r="AX205">
        <v>22994404</v>
      </c>
      <c r="AY205">
        <v>25549137</v>
      </c>
      <c r="AZ205">
        <v>18.1219</v>
      </c>
      <c r="BA205">
        <v>7.3168600000000001</v>
      </c>
      <c r="BB205">
        <v>5198.1000000000004</v>
      </c>
      <c r="BC205">
        <v>1757.97</v>
      </c>
      <c r="BD205">
        <v>3848</v>
      </c>
      <c r="BE205">
        <v>171</v>
      </c>
      <c r="BF205">
        <f t="shared" si="51"/>
        <v>59.856746786687502</v>
      </c>
      <c r="BG205" s="31">
        <f t="shared" si="52"/>
        <v>33.540641279687499</v>
      </c>
      <c r="BH205">
        <f t="shared" si="53"/>
        <v>30</v>
      </c>
      <c r="BI205">
        <f t="shared" si="54"/>
        <v>93192</v>
      </c>
      <c r="BJ205">
        <f t="shared" si="55"/>
        <v>2053486</v>
      </c>
      <c r="BK205">
        <f t="shared" si="56"/>
        <v>21808302</v>
      </c>
      <c r="BL205">
        <f t="shared" si="57"/>
        <v>71093</v>
      </c>
      <c r="BM205">
        <f t="shared" si="58"/>
        <v>0</v>
      </c>
      <c r="BN205" t="str">
        <f t="shared" si="49"/>
        <v>u=10%, k=2x10^7</v>
      </c>
      <c r="BO205" t="str">
        <f t="shared" si="50"/>
        <v>u=10%, k=2x10^7, sequential</v>
      </c>
      <c r="BP205">
        <f t="shared" si="59"/>
        <v>1.0801435962291668</v>
      </c>
      <c r="BQ205">
        <f t="shared" si="61"/>
        <v>29.387968633270834</v>
      </c>
      <c r="BR205">
        <f t="shared" si="62"/>
        <v>1.3702331485833332</v>
      </c>
      <c r="BS205">
        <f t="shared" si="63"/>
        <v>1.2786354472708334</v>
      </c>
      <c r="BT205">
        <f t="shared" si="64"/>
        <v>0.42366045433333333</v>
      </c>
      <c r="BU205">
        <f t="shared" si="60"/>
        <v>26.316105507000003</v>
      </c>
    </row>
    <row r="206" spans="1:73">
      <c r="A206" t="s">
        <v>302</v>
      </c>
      <c r="B206" t="s">
        <v>136</v>
      </c>
      <c r="C206">
        <v>72</v>
      </c>
      <c r="D206" t="s">
        <v>56</v>
      </c>
      <c r="E206" t="s">
        <v>53</v>
      </c>
      <c r="F206" t="s">
        <v>54</v>
      </c>
      <c r="G206">
        <v>60000</v>
      </c>
      <c r="H206">
        <v>5</v>
      </c>
      <c r="I206">
        <v>5</v>
      </c>
      <c r="J206">
        <v>0</v>
      </c>
      <c r="K206">
        <v>1</v>
      </c>
      <c r="L206">
        <v>20000000</v>
      </c>
      <c r="M206">
        <v>96</v>
      </c>
      <c r="N206">
        <v>96</v>
      </c>
      <c r="O206">
        <v>96</v>
      </c>
      <c r="P206">
        <v>0</v>
      </c>
      <c r="Q206" t="s">
        <v>55</v>
      </c>
      <c r="R206">
        <v>100021154699254</v>
      </c>
      <c r="S206">
        <v>10001327</v>
      </c>
      <c r="T206">
        <v>100021154699254</v>
      </c>
      <c r="U206">
        <v>10001327</v>
      </c>
      <c r="V206" t="s">
        <v>63</v>
      </c>
      <c r="W206">
        <v>7</v>
      </c>
      <c r="X206">
        <v>1744275</v>
      </c>
      <c r="Y206">
        <v>11683230</v>
      </c>
      <c r="Z206">
        <v>13427505</v>
      </c>
      <c r="AA206">
        <v>10001327</v>
      </c>
      <c r="AB206">
        <v>7.6980399999999998</v>
      </c>
      <c r="AC206">
        <v>0.85604100000000005</v>
      </c>
      <c r="AD206">
        <v>4.0236999999999998</v>
      </c>
      <c r="AE206">
        <v>326474256</v>
      </c>
      <c r="AF206" t="s">
        <v>733</v>
      </c>
      <c r="AG206" t="s">
        <v>734</v>
      </c>
      <c r="AI206">
        <v>47894</v>
      </c>
      <c r="AJ206">
        <v>5746891342925</v>
      </c>
      <c r="AK206">
        <v>62397368648</v>
      </c>
      <c r="AL206">
        <v>3670116681797</v>
      </c>
      <c r="AM206">
        <v>79208535528</v>
      </c>
      <c r="AN206">
        <v>453259537784</v>
      </c>
      <c r="AO206">
        <v>24631925588</v>
      </c>
      <c r="AP206">
        <v>1625099555</v>
      </c>
      <c r="AQ206">
        <v>0</v>
      </c>
      <c r="AR206">
        <v>180563396</v>
      </c>
      <c r="AS206">
        <v>1625099555</v>
      </c>
      <c r="AT206">
        <v>1805662951</v>
      </c>
      <c r="AU206">
        <v>27084992</v>
      </c>
      <c r="AV206">
        <v>0</v>
      </c>
      <c r="AW206">
        <v>3009389</v>
      </c>
      <c r="AX206">
        <v>27084992</v>
      </c>
      <c r="AY206">
        <v>30094382</v>
      </c>
      <c r="AZ206">
        <v>18.273900000000001</v>
      </c>
      <c r="BA206">
        <v>7.6790399999999996</v>
      </c>
      <c r="BB206">
        <v>8310.9599999999991</v>
      </c>
      <c r="BC206">
        <v>1646.88</v>
      </c>
      <c r="BD206">
        <v>4475</v>
      </c>
      <c r="BE206">
        <v>394</v>
      </c>
      <c r="BF206">
        <f t="shared" si="51"/>
        <v>59.863451488802077</v>
      </c>
      <c r="BG206" s="31">
        <f t="shared" si="52"/>
        <v>44.683479680677088</v>
      </c>
      <c r="BH206">
        <f t="shared" si="53"/>
        <v>36</v>
      </c>
      <c r="BI206">
        <f t="shared" si="54"/>
        <v>113812</v>
      </c>
      <c r="BJ206">
        <f t="shared" si="55"/>
        <v>1660853</v>
      </c>
      <c r="BK206">
        <f t="shared" si="56"/>
        <v>24691182</v>
      </c>
      <c r="BL206">
        <f t="shared" si="57"/>
        <v>72235</v>
      </c>
      <c r="BM206">
        <f t="shared" si="58"/>
        <v>0</v>
      </c>
      <c r="BN206" t="str">
        <f t="shared" si="49"/>
        <v>u=10%, k=2x10^7</v>
      </c>
      <c r="BO206" t="str">
        <f t="shared" si="50"/>
        <v>u=10%, k=2x10^7, sequential</v>
      </c>
      <c r="BP206">
        <f t="shared" si="59"/>
        <v>0.6499725900833333</v>
      </c>
      <c r="BQ206">
        <f t="shared" si="61"/>
        <v>38.230382102052083</v>
      </c>
      <c r="BR206">
        <f t="shared" si="62"/>
        <v>0.82508891174999999</v>
      </c>
      <c r="BS206">
        <f t="shared" si="63"/>
        <v>4.7214535185833331</v>
      </c>
      <c r="BT206">
        <f t="shared" si="64"/>
        <v>0.25658255820833337</v>
      </c>
      <c r="BU206">
        <f t="shared" si="60"/>
        <v>15.179971808124996</v>
      </c>
    </row>
    <row r="207" spans="1:73">
      <c r="A207" t="s">
        <v>303</v>
      </c>
      <c r="B207" t="s">
        <v>136</v>
      </c>
      <c r="C207">
        <v>72</v>
      </c>
      <c r="D207" t="s">
        <v>56</v>
      </c>
      <c r="E207" t="s">
        <v>53</v>
      </c>
      <c r="F207" t="s">
        <v>54</v>
      </c>
      <c r="G207">
        <v>60000</v>
      </c>
      <c r="H207">
        <v>5</v>
      </c>
      <c r="I207">
        <v>5</v>
      </c>
      <c r="J207">
        <v>0</v>
      </c>
      <c r="K207">
        <v>1</v>
      </c>
      <c r="L207">
        <v>20000000</v>
      </c>
      <c r="M207">
        <v>144</v>
      </c>
      <c r="N207">
        <v>144</v>
      </c>
      <c r="O207">
        <v>144</v>
      </c>
      <c r="P207">
        <v>0</v>
      </c>
      <c r="Q207" t="s">
        <v>55</v>
      </c>
      <c r="R207">
        <v>100014437181817</v>
      </c>
      <c r="S207">
        <v>10001491</v>
      </c>
      <c r="T207">
        <v>100014437181817</v>
      </c>
      <c r="U207">
        <v>10001491</v>
      </c>
      <c r="V207" t="s">
        <v>63</v>
      </c>
      <c r="W207">
        <v>7</v>
      </c>
      <c r="X207">
        <v>1759387</v>
      </c>
      <c r="Y207">
        <v>11715793</v>
      </c>
      <c r="Z207">
        <v>13475180</v>
      </c>
      <c r="AA207">
        <v>10001491</v>
      </c>
      <c r="AB207">
        <v>7.6590199999999999</v>
      </c>
      <c r="AC207">
        <v>0.85367599999999999</v>
      </c>
      <c r="AD207">
        <v>4.0267200000000001</v>
      </c>
      <c r="AE207">
        <v>328204784</v>
      </c>
      <c r="AF207" t="s">
        <v>735</v>
      </c>
      <c r="AG207" t="s">
        <v>736</v>
      </c>
      <c r="AI207">
        <v>26906</v>
      </c>
      <c r="AJ207">
        <v>8625487050625</v>
      </c>
      <c r="AK207">
        <v>60374946362</v>
      </c>
      <c r="AL207">
        <v>5962394246930</v>
      </c>
      <c r="AM207">
        <v>77977345777</v>
      </c>
      <c r="AN207">
        <v>1063956061527</v>
      </c>
      <c r="AO207">
        <v>25225548428</v>
      </c>
      <c r="AP207">
        <v>1580790837</v>
      </c>
      <c r="AQ207">
        <v>0</v>
      </c>
      <c r="AR207">
        <v>175658729</v>
      </c>
      <c r="AS207">
        <v>1580790837</v>
      </c>
      <c r="AT207">
        <v>1756449566</v>
      </c>
      <c r="AU207">
        <v>26346513</v>
      </c>
      <c r="AV207">
        <v>0</v>
      </c>
      <c r="AW207">
        <v>2927645</v>
      </c>
      <c r="AX207">
        <v>26346513</v>
      </c>
      <c r="AY207">
        <v>29274159</v>
      </c>
      <c r="AZ207">
        <v>18.392900000000001</v>
      </c>
      <c r="BA207">
        <v>7.9800199999999997</v>
      </c>
      <c r="BB207">
        <v>12117</v>
      </c>
      <c r="BC207">
        <v>1635.54</v>
      </c>
      <c r="BD207">
        <v>4701</v>
      </c>
      <c r="BE207">
        <v>382</v>
      </c>
      <c r="BF207">
        <f t="shared" si="51"/>
        <v>59.899215629340283</v>
      </c>
      <c r="BG207" s="31">
        <f t="shared" si="52"/>
        <v>49.930056590444444</v>
      </c>
      <c r="BH207">
        <f t="shared" si="53"/>
        <v>35</v>
      </c>
      <c r="BI207">
        <f t="shared" si="54"/>
        <v>110694</v>
      </c>
      <c r="BJ207">
        <f t="shared" si="55"/>
        <v>926928</v>
      </c>
      <c r="BK207">
        <f t="shared" si="56"/>
        <v>23454591</v>
      </c>
      <c r="BL207">
        <f t="shared" si="57"/>
        <v>58626</v>
      </c>
      <c r="BM207">
        <f t="shared" si="58"/>
        <v>0</v>
      </c>
      <c r="BN207" t="str">
        <f t="shared" si="49"/>
        <v>u=10%, k=2x10^7</v>
      </c>
      <c r="BO207" t="str">
        <f t="shared" si="50"/>
        <v>u=10%, k=2x10^7, sequential</v>
      </c>
      <c r="BP207">
        <f t="shared" si="59"/>
        <v>0.41927046084722225</v>
      </c>
      <c r="BQ207">
        <f t="shared" si="61"/>
        <v>41.405515603680556</v>
      </c>
      <c r="BR207">
        <f t="shared" si="62"/>
        <v>0.54150934567361109</v>
      </c>
      <c r="BS207">
        <f t="shared" si="63"/>
        <v>7.3885837606041669</v>
      </c>
      <c r="BT207">
        <f t="shared" si="64"/>
        <v>0.17517741963888889</v>
      </c>
      <c r="BU207">
        <f t="shared" si="60"/>
        <v>9.9691590388958389</v>
      </c>
    </row>
    <row r="208" spans="1:73">
      <c r="A208" t="s">
        <v>304</v>
      </c>
      <c r="B208" t="s">
        <v>136</v>
      </c>
      <c r="C208">
        <v>72</v>
      </c>
      <c r="D208" t="s">
        <v>56</v>
      </c>
      <c r="E208" t="s">
        <v>53</v>
      </c>
      <c r="F208" t="s">
        <v>54</v>
      </c>
      <c r="G208">
        <v>60000</v>
      </c>
      <c r="H208">
        <v>5</v>
      </c>
      <c r="I208">
        <v>5</v>
      </c>
      <c r="J208">
        <v>0</v>
      </c>
      <c r="K208">
        <v>1</v>
      </c>
      <c r="L208">
        <v>20000000</v>
      </c>
      <c r="M208">
        <v>190</v>
      </c>
      <c r="N208">
        <v>190</v>
      </c>
      <c r="O208">
        <v>190</v>
      </c>
      <c r="P208">
        <v>0</v>
      </c>
      <c r="Q208" t="s">
        <v>55</v>
      </c>
      <c r="R208">
        <v>100003446081281</v>
      </c>
      <c r="S208">
        <v>10000632</v>
      </c>
      <c r="T208">
        <v>100003446081281</v>
      </c>
      <c r="U208">
        <v>10000632</v>
      </c>
      <c r="V208" t="s">
        <v>63</v>
      </c>
      <c r="W208">
        <v>7</v>
      </c>
      <c r="X208">
        <v>1625837</v>
      </c>
      <c r="Y208">
        <v>11443062</v>
      </c>
      <c r="Z208">
        <v>13068899</v>
      </c>
      <c r="AA208">
        <v>10000632</v>
      </c>
      <c r="AB208">
        <v>8.0382599999999993</v>
      </c>
      <c r="AC208">
        <v>0.87394700000000003</v>
      </c>
      <c r="AD208">
        <v>4.0000099999999996</v>
      </c>
      <c r="AE208">
        <v>313155936</v>
      </c>
      <c r="AF208" t="s">
        <v>737</v>
      </c>
      <c r="AG208" t="s">
        <v>738</v>
      </c>
      <c r="AI208">
        <v>20718</v>
      </c>
      <c r="AJ208">
        <v>11426790891202</v>
      </c>
      <c r="AK208">
        <v>65636702103</v>
      </c>
      <c r="AL208">
        <v>7945645354952</v>
      </c>
      <c r="AM208">
        <v>83776943822</v>
      </c>
      <c r="AN208">
        <v>1780040392142</v>
      </c>
      <c r="AO208">
        <v>26349874278</v>
      </c>
      <c r="AP208">
        <v>1664369025</v>
      </c>
      <c r="AQ208">
        <v>0</v>
      </c>
      <c r="AR208">
        <v>184959817</v>
      </c>
      <c r="AS208">
        <v>1664369025</v>
      </c>
      <c r="AT208">
        <v>1849328842</v>
      </c>
      <c r="AU208">
        <v>27739483</v>
      </c>
      <c r="AV208">
        <v>0</v>
      </c>
      <c r="AW208">
        <v>3082663</v>
      </c>
      <c r="AX208">
        <v>27739483</v>
      </c>
      <c r="AY208">
        <v>30822147</v>
      </c>
      <c r="AZ208">
        <v>18.5016</v>
      </c>
      <c r="BA208">
        <v>8.1973099999999999</v>
      </c>
      <c r="BB208">
        <v>14590.7</v>
      </c>
      <c r="BC208">
        <v>1658.07</v>
      </c>
      <c r="BD208">
        <v>5129</v>
      </c>
      <c r="BE208">
        <v>254</v>
      </c>
      <c r="BF208">
        <f t="shared" si="51"/>
        <v>60.141004690536839</v>
      </c>
      <c r="BG208" s="31">
        <f t="shared" si="52"/>
        <v>52.11289088051052</v>
      </c>
      <c r="BH208">
        <f t="shared" si="53"/>
        <v>37</v>
      </c>
      <c r="BI208">
        <f t="shared" si="54"/>
        <v>117024</v>
      </c>
      <c r="BJ208">
        <f t="shared" si="55"/>
        <v>986892</v>
      </c>
      <c r="BK208">
        <f t="shared" si="56"/>
        <v>24758471</v>
      </c>
      <c r="BL208">
        <f t="shared" si="57"/>
        <v>61981</v>
      </c>
      <c r="BM208">
        <f t="shared" si="58"/>
        <v>0</v>
      </c>
      <c r="BN208" t="str">
        <f t="shared" si="49"/>
        <v>u=10%, k=2x10^7</v>
      </c>
      <c r="BO208" t="str">
        <f t="shared" si="50"/>
        <v>u=10%, k=2x10^7, sequential</v>
      </c>
      <c r="BP208">
        <f t="shared" si="59"/>
        <v>0.34545632685789474</v>
      </c>
      <c r="BQ208">
        <f t="shared" si="61"/>
        <v>41.819186078694734</v>
      </c>
      <c r="BR208">
        <f t="shared" si="62"/>
        <v>0.44093128327368425</v>
      </c>
      <c r="BS208">
        <f t="shared" si="63"/>
        <v>9.3686336428526307</v>
      </c>
      <c r="BT208">
        <f t="shared" si="64"/>
        <v>0.13868354883157896</v>
      </c>
      <c r="BU208">
        <f t="shared" si="60"/>
        <v>8.0281138100263192</v>
      </c>
    </row>
    <row r="209" spans="1:73">
      <c r="A209" t="s">
        <v>305</v>
      </c>
      <c r="B209" t="s">
        <v>136</v>
      </c>
      <c r="C209">
        <v>72</v>
      </c>
      <c r="D209" t="s">
        <v>56</v>
      </c>
      <c r="E209" t="s">
        <v>53</v>
      </c>
      <c r="F209" t="s">
        <v>54</v>
      </c>
      <c r="G209">
        <v>60000</v>
      </c>
      <c r="H209">
        <v>5</v>
      </c>
      <c r="I209">
        <v>5</v>
      </c>
      <c r="J209">
        <v>0</v>
      </c>
      <c r="K209">
        <v>1</v>
      </c>
      <c r="L209">
        <v>200000000</v>
      </c>
      <c r="M209">
        <v>24</v>
      </c>
      <c r="N209">
        <v>24</v>
      </c>
      <c r="O209">
        <v>24</v>
      </c>
      <c r="P209">
        <v>0</v>
      </c>
      <c r="Q209" t="s">
        <v>55</v>
      </c>
      <c r="R209">
        <v>9999939875372640</v>
      </c>
      <c r="S209">
        <v>99997457</v>
      </c>
      <c r="T209">
        <v>9999939875372640</v>
      </c>
      <c r="U209">
        <v>99997457</v>
      </c>
      <c r="V209" t="s">
        <v>63</v>
      </c>
      <c r="W209">
        <v>7</v>
      </c>
      <c r="X209">
        <v>11010004</v>
      </c>
      <c r="Y209">
        <v>109997470</v>
      </c>
      <c r="Z209">
        <v>121007474</v>
      </c>
      <c r="AA209">
        <v>99997457</v>
      </c>
      <c r="AB209">
        <v>10.9907</v>
      </c>
      <c r="AC209">
        <v>0.90908900000000004</v>
      </c>
      <c r="AD209">
        <v>4</v>
      </c>
      <c r="AE209">
        <v>2640759824</v>
      </c>
      <c r="AF209" t="s">
        <v>739</v>
      </c>
      <c r="AG209" t="s">
        <v>740</v>
      </c>
      <c r="AI209">
        <v>365694</v>
      </c>
      <c r="AJ209">
        <v>1472863002980</v>
      </c>
      <c r="AK209">
        <v>24246324483</v>
      </c>
      <c r="AL209">
        <v>445478155641</v>
      </c>
      <c r="AM209">
        <v>31668177309</v>
      </c>
      <c r="AN209">
        <v>30640793403</v>
      </c>
      <c r="AO209">
        <v>10120893065</v>
      </c>
      <c r="AP209">
        <v>899695858</v>
      </c>
      <c r="AQ209">
        <v>0</v>
      </c>
      <c r="AR209">
        <v>99967747</v>
      </c>
      <c r="AS209">
        <v>899695858</v>
      </c>
      <c r="AT209">
        <v>999663605</v>
      </c>
      <c r="AU209">
        <v>14994930</v>
      </c>
      <c r="AV209">
        <v>0</v>
      </c>
      <c r="AW209">
        <v>1666129</v>
      </c>
      <c r="AX209">
        <v>14994930</v>
      </c>
      <c r="AY209">
        <v>16661060</v>
      </c>
      <c r="AZ209">
        <v>21.088999999999999</v>
      </c>
      <c r="BA209">
        <v>9.5813199999999998</v>
      </c>
      <c r="BB209">
        <v>4025.59</v>
      </c>
      <c r="BC209">
        <v>2029.49</v>
      </c>
      <c r="BD209">
        <v>9839</v>
      </c>
      <c r="BE209">
        <v>1563</v>
      </c>
      <c r="BF209">
        <f t="shared" si="51"/>
        <v>61.36929179083333</v>
      </c>
      <c r="BG209" s="31">
        <f t="shared" si="52"/>
        <v>22.589764329208332</v>
      </c>
      <c r="BH209">
        <f t="shared" si="53"/>
        <v>2</v>
      </c>
      <c r="BI209">
        <f t="shared" si="54"/>
        <v>12671</v>
      </c>
      <c r="BJ209">
        <f t="shared" si="55"/>
        <v>994517</v>
      </c>
      <c r="BK209">
        <f t="shared" si="56"/>
        <v>8431952</v>
      </c>
      <c r="BL209">
        <f t="shared" si="57"/>
        <v>1382695</v>
      </c>
      <c r="BM209">
        <f t="shared" si="58"/>
        <v>0</v>
      </c>
      <c r="BN209" t="str">
        <f t="shared" si="49"/>
        <v>u=10%, k=2x10^8</v>
      </c>
      <c r="BO209" t="str">
        <f t="shared" si="50"/>
        <v>u=10%, k=2x10^8, sequential</v>
      </c>
      <c r="BP209">
        <f t="shared" si="59"/>
        <v>1.0102635201249999</v>
      </c>
      <c r="BQ209">
        <f t="shared" si="61"/>
        <v>18.561589818375001</v>
      </c>
      <c r="BR209">
        <f t="shared" si="62"/>
        <v>1.3195073878750001</v>
      </c>
      <c r="BS209">
        <f t="shared" si="63"/>
        <v>1.2766997251250001</v>
      </c>
      <c r="BT209">
        <f t="shared" si="64"/>
        <v>0.42170387770833334</v>
      </c>
      <c r="BU209">
        <f t="shared" si="60"/>
        <v>38.779527461624994</v>
      </c>
    </row>
    <row r="210" spans="1:73">
      <c r="A210" t="s">
        <v>306</v>
      </c>
      <c r="B210" t="s">
        <v>136</v>
      </c>
      <c r="C210">
        <v>72</v>
      </c>
      <c r="D210" t="s">
        <v>56</v>
      </c>
      <c r="E210" t="s">
        <v>53</v>
      </c>
      <c r="F210" t="s">
        <v>54</v>
      </c>
      <c r="G210">
        <v>60000</v>
      </c>
      <c r="H210">
        <v>5</v>
      </c>
      <c r="I210">
        <v>5</v>
      </c>
      <c r="J210">
        <v>0</v>
      </c>
      <c r="K210">
        <v>1</v>
      </c>
      <c r="L210">
        <v>200000000</v>
      </c>
      <c r="M210">
        <v>48</v>
      </c>
      <c r="N210">
        <v>48</v>
      </c>
      <c r="O210">
        <v>48</v>
      </c>
      <c r="P210">
        <v>0</v>
      </c>
      <c r="Q210" t="s">
        <v>55</v>
      </c>
      <c r="R210">
        <v>9999916377322590</v>
      </c>
      <c r="S210">
        <v>99999534</v>
      </c>
      <c r="T210">
        <v>9999916377322590</v>
      </c>
      <c r="U210">
        <v>99999534</v>
      </c>
      <c r="V210" t="s">
        <v>63</v>
      </c>
      <c r="W210">
        <v>7</v>
      </c>
      <c r="X210">
        <v>11010016</v>
      </c>
      <c r="Y210">
        <v>109999562</v>
      </c>
      <c r="Z210">
        <v>121009578</v>
      </c>
      <c r="AA210">
        <v>99999534</v>
      </c>
      <c r="AB210">
        <v>10.9909</v>
      </c>
      <c r="AC210">
        <v>0.90908999999999995</v>
      </c>
      <c r="AD210">
        <v>4</v>
      </c>
      <c r="AE210">
        <v>2640794256</v>
      </c>
      <c r="AF210" t="s">
        <v>741</v>
      </c>
      <c r="AG210" t="s">
        <v>742</v>
      </c>
      <c r="AI210">
        <v>136174</v>
      </c>
      <c r="AJ210">
        <v>3328235425580</v>
      </c>
      <c r="AK210">
        <v>57347611744</v>
      </c>
      <c r="AL210">
        <v>1399312719808</v>
      </c>
      <c r="AM210">
        <v>70302353247</v>
      </c>
      <c r="AN210">
        <v>181123222009</v>
      </c>
      <c r="AO210">
        <v>21064039109</v>
      </c>
      <c r="AP210">
        <v>1349986793</v>
      </c>
      <c r="AQ210">
        <v>0</v>
      </c>
      <c r="AR210">
        <v>150012939</v>
      </c>
      <c r="AS210">
        <v>1349986793</v>
      </c>
      <c r="AT210">
        <v>1499999732</v>
      </c>
      <c r="AU210">
        <v>22499779</v>
      </c>
      <c r="AV210">
        <v>0</v>
      </c>
      <c r="AW210">
        <v>2500215</v>
      </c>
      <c r="AX210">
        <v>22499779</v>
      </c>
      <c r="AY210">
        <v>24999995</v>
      </c>
      <c r="AZ210">
        <v>21.6053</v>
      </c>
      <c r="BA210">
        <v>9.8389500000000005</v>
      </c>
      <c r="BB210">
        <v>5924.31</v>
      </c>
      <c r="BC210">
        <v>2393.2800000000002</v>
      </c>
      <c r="BD210">
        <v>13305</v>
      </c>
      <c r="BE210">
        <v>1286</v>
      </c>
      <c r="BF210">
        <f t="shared" si="51"/>
        <v>69.338238032916664</v>
      </c>
      <c r="BG210" s="31">
        <f t="shared" si="52"/>
        <v>36.023957206604166</v>
      </c>
      <c r="BH210">
        <f t="shared" si="53"/>
        <v>3</v>
      </c>
      <c r="BI210">
        <f t="shared" si="54"/>
        <v>25718</v>
      </c>
      <c r="BJ210">
        <f t="shared" si="55"/>
        <v>1409833</v>
      </c>
      <c r="BK210">
        <f t="shared" si="56"/>
        <v>12478970</v>
      </c>
      <c r="BL210">
        <f t="shared" si="57"/>
        <v>2057767</v>
      </c>
      <c r="BM210">
        <f t="shared" si="58"/>
        <v>0</v>
      </c>
      <c r="BN210" t="str">
        <f t="shared" si="49"/>
        <v>u=10%, k=2x10^8</v>
      </c>
      <c r="BO210" t="str">
        <f t="shared" si="50"/>
        <v>u=10%, k=2x10^8, sequential</v>
      </c>
      <c r="BP210">
        <f t="shared" si="59"/>
        <v>1.1947419113333333</v>
      </c>
      <c r="BQ210">
        <f t="shared" si="61"/>
        <v>29.152348329333336</v>
      </c>
      <c r="BR210">
        <f t="shared" si="62"/>
        <v>1.4646323593124999</v>
      </c>
      <c r="BS210">
        <f t="shared" si="63"/>
        <v>3.7734004585208329</v>
      </c>
      <c r="BT210">
        <f t="shared" si="64"/>
        <v>0.43883414810416665</v>
      </c>
      <c r="BU210">
        <f t="shared" si="60"/>
        <v>33.314280826312498</v>
      </c>
    </row>
    <row r="211" spans="1:73">
      <c r="A211" t="s">
        <v>307</v>
      </c>
      <c r="B211" t="s">
        <v>136</v>
      </c>
      <c r="C211">
        <v>72</v>
      </c>
      <c r="D211" t="s">
        <v>56</v>
      </c>
      <c r="E211" t="s">
        <v>53</v>
      </c>
      <c r="F211" t="s">
        <v>54</v>
      </c>
      <c r="G211">
        <v>60000</v>
      </c>
      <c r="H211">
        <v>5</v>
      </c>
      <c r="I211">
        <v>5</v>
      </c>
      <c r="J211">
        <v>0</v>
      </c>
      <c r="K211">
        <v>1</v>
      </c>
      <c r="L211">
        <v>200000000</v>
      </c>
      <c r="M211">
        <v>96</v>
      </c>
      <c r="N211">
        <v>96</v>
      </c>
      <c r="O211">
        <v>96</v>
      </c>
      <c r="P211">
        <v>0</v>
      </c>
      <c r="Q211" t="s">
        <v>55</v>
      </c>
      <c r="R211">
        <v>9999225614139710</v>
      </c>
      <c r="S211">
        <v>99993752</v>
      </c>
      <c r="T211">
        <v>9999225614139710</v>
      </c>
      <c r="U211">
        <v>99993752</v>
      </c>
      <c r="V211" t="s">
        <v>63</v>
      </c>
      <c r="W211">
        <v>7</v>
      </c>
      <c r="X211">
        <v>14930477</v>
      </c>
      <c r="Y211">
        <v>118224669</v>
      </c>
      <c r="Z211">
        <v>133155146</v>
      </c>
      <c r="AA211">
        <v>99993752</v>
      </c>
      <c r="AB211">
        <v>8.9183500000000002</v>
      </c>
      <c r="AC211">
        <v>0.84579400000000005</v>
      </c>
      <c r="AD211">
        <v>4.0818700000000003</v>
      </c>
      <c r="AE211">
        <v>3090212224</v>
      </c>
      <c r="AF211" t="s">
        <v>743</v>
      </c>
      <c r="AG211" t="s">
        <v>744</v>
      </c>
      <c r="AI211">
        <v>43924</v>
      </c>
      <c r="AJ211">
        <v>5754372403293</v>
      </c>
      <c r="AK211">
        <v>59801187228</v>
      </c>
      <c r="AL211">
        <v>2593198724257</v>
      </c>
      <c r="AM211">
        <v>73016836726</v>
      </c>
      <c r="AN211">
        <v>1086909530326</v>
      </c>
      <c r="AO211">
        <v>21005788492</v>
      </c>
      <c r="AP211">
        <v>1624166327</v>
      </c>
      <c r="AQ211">
        <v>0</v>
      </c>
      <c r="AR211">
        <v>180466666</v>
      </c>
      <c r="AS211">
        <v>1624166327</v>
      </c>
      <c r="AT211">
        <v>1804632993</v>
      </c>
      <c r="AU211">
        <v>27069438</v>
      </c>
      <c r="AV211">
        <v>0</v>
      </c>
      <c r="AW211">
        <v>3007777</v>
      </c>
      <c r="AX211">
        <v>27069438</v>
      </c>
      <c r="AY211">
        <v>30077216</v>
      </c>
      <c r="AZ211">
        <v>21.724</v>
      </c>
      <c r="BA211">
        <v>10.434699999999999</v>
      </c>
      <c r="BB211">
        <v>7374.65</v>
      </c>
      <c r="BC211">
        <v>2273.2800000000002</v>
      </c>
      <c r="BD211">
        <v>13243</v>
      </c>
      <c r="BE211">
        <v>1049</v>
      </c>
      <c r="BF211">
        <f t="shared" si="51"/>
        <v>59.941379200968754</v>
      </c>
      <c r="BG211" s="31">
        <f t="shared" si="52"/>
        <v>39.936792364885413</v>
      </c>
      <c r="BH211">
        <f t="shared" si="53"/>
        <v>3</v>
      </c>
      <c r="BI211">
        <f t="shared" si="54"/>
        <v>29739</v>
      </c>
      <c r="BJ211">
        <f t="shared" si="55"/>
        <v>1202008</v>
      </c>
      <c r="BK211">
        <f t="shared" si="56"/>
        <v>14067280</v>
      </c>
      <c r="BL211">
        <f t="shared" si="57"/>
        <v>2443988</v>
      </c>
      <c r="BM211">
        <f t="shared" si="58"/>
        <v>0</v>
      </c>
      <c r="BN211" t="str">
        <f t="shared" si="49"/>
        <v>u=10%, k=2x10^8</v>
      </c>
      <c r="BO211" t="str">
        <f t="shared" si="50"/>
        <v>u=10%, k=2x10^8, sequential</v>
      </c>
      <c r="BP211">
        <f t="shared" si="59"/>
        <v>0.62292903362500007</v>
      </c>
      <c r="BQ211">
        <f t="shared" si="61"/>
        <v>27.012486711010414</v>
      </c>
      <c r="BR211">
        <f t="shared" si="62"/>
        <v>0.76059204922916657</v>
      </c>
      <c r="BS211">
        <f t="shared" si="63"/>
        <v>11.321974274229168</v>
      </c>
      <c r="BT211">
        <f t="shared" si="64"/>
        <v>0.21881029679166666</v>
      </c>
      <c r="BU211">
        <f t="shared" si="60"/>
        <v>20.004586836083341</v>
      </c>
    </row>
    <row r="212" spans="1:73">
      <c r="A212" t="s">
        <v>308</v>
      </c>
      <c r="B212" t="s">
        <v>136</v>
      </c>
      <c r="C212">
        <v>72</v>
      </c>
      <c r="D212" t="s">
        <v>56</v>
      </c>
      <c r="E212" t="s">
        <v>53</v>
      </c>
      <c r="F212" t="s">
        <v>54</v>
      </c>
      <c r="G212">
        <v>60000</v>
      </c>
      <c r="H212">
        <v>5</v>
      </c>
      <c r="I212">
        <v>5</v>
      </c>
      <c r="J212">
        <v>0</v>
      </c>
      <c r="K212">
        <v>1</v>
      </c>
      <c r="L212">
        <v>200000000</v>
      </c>
      <c r="M212">
        <v>144</v>
      </c>
      <c r="N212">
        <v>144</v>
      </c>
      <c r="O212">
        <v>144</v>
      </c>
      <c r="P212">
        <v>0</v>
      </c>
      <c r="Q212" t="s">
        <v>55</v>
      </c>
      <c r="R212">
        <v>1.0000397654149E+16</v>
      </c>
      <c r="S212">
        <v>100006958</v>
      </c>
      <c r="T212">
        <v>1.0000397654149E+16</v>
      </c>
      <c r="U212">
        <v>100006958</v>
      </c>
      <c r="V212" t="s">
        <v>63</v>
      </c>
      <c r="W212">
        <v>7</v>
      </c>
      <c r="X212">
        <v>13133817</v>
      </c>
      <c r="Y212">
        <v>114369889</v>
      </c>
      <c r="Z212">
        <v>127503706</v>
      </c>
      <c r="AA212">
        <v>100006958</v>
      </c>
      <c r="AB212">
        <v>9.7080500000000001</v>
      </c>
      <c r="AC212">
        <v>0.874417</v>
      </c>
      <c r="AD212">
        <v>4.0418099999999999</v>
      </c>
      <c r="AE212">
        <v>2882791200</v>
      </c>
      <c r="AF212" t="s">
        <v>745</v>
      </c>
      <c r="AG212" t="s">
        <v>746</v>
      </c>
      <c r="AI212">
        <v>33174</v>
      </c>
      <c r="AJ212">
        <v>8648297880920</v>
      </c>
      <c r="AK212">
        <v>66702200653</v>
      </c>
      <c r="AL212">
        <v>3978462294301</v>
      </c>
      <c r="AM212">
        <v>84328176972</v>
      </c>
      <c r="AN212">
        <v>2394082936766</v>
      </c>
      <c r="AO212">
        <v>22680648405</v>
      </c>
      <c r="AP212">
        <v>1757109878</v>
      </c>
      <c r="AQ212">
        <v>0</v>
      </c>
      <c r="AR212">
        <v>195240214</v>
      </c>
      <c r="AS212">
        <v>1757109878</v>
      </c>
      <c r="AT212">
        <v>1952350092</v>
      </c>
      <c r="AU212">
        <v>29285164</v>
      </c>
      <c r="AV212">
        <v>0</v>
      </c>
      <c r="AW212">
        <v>3254003</v>
      </c>
      <c r="AX212">
        <v>29285164</v>
      </c>
      <c r="AY212">
        <v>32539168</v>
      </c>
      <c r="AZ212">
        <v>21.904299999999999</v>
      </c>
      <c r="BA212">
        <v>10.770799999999999</v>
      </c>
      <c r="BB212">
        <v>9315.99</v>
      </c>
      <c r="BC212">
        <v>2307.62</v>
      </c>
      <c r="BD212">
        <v>14446</v>
      </c>
      <c r="BE212">
        <v>1010</v>
      </c>
      <c r="BF212">
        <f t="shared" si="51"/>
        <v>60.057624173055551</v>
      </c>
      <c r="BG212" s="31">
        <f t="shared" si="52"/>
        <v>45.460112896506949</v>
      </c>
      <c r="BH212">
        <f t="shared" si="53"/>
        <v>3</v>
      </c>
      <c r="BI212">
        <f t="shared" si="54"/>
        <v>34181</v>
      </c>
      <c r="BJ212">
        <f t="shared" si="55"/>
        <v>1372250</v>
      </c>
      <c r="BK212">
        <f t="shared" si="56"/>
        <v>15503918</v>
      </c>
      <c r="BL212">
        <f t="shared" si="57"/>
        <v>2634677</v>
      </c>
      <c r="BM212">
        <f t="shared" si="58"/>
        <v>0</v>
      </c>
      <c r="BN212" t="str">
        <f t="shared" si="49"/>
        <v>u=10%, k=2x10^8</v>
      </c>
      <c r="BO212" t="str">
        <f t="shared" si="50"/>
        <v>u=10%, k=2x10^8, sequential</v>
      </c>
      <c r="BP212">
        <f t="shared" si="59"/>
        <v>0.4632097267569445</v>
      </c>
      <c r="BQ212">
        <f t="shared" si="61"/>
        <v>27.628210377090276</v>
      </c>
      <c r="BR212">
        <f t="shared" si="62"/>
        <v>0.58561234008333329</v>
      </c>
      <c r="BS212">
        <f t="shared" si="63"/>
        <v>16.625575949763888</v>
      </c>
      <c r="BT212">
        <f t="shared" si="64"/>
        <v>0.1575045028125</v>
      </c>
      <c r="BU212">
        <f t="shared" si="60"/>
        <v>14.597511276548609</v>
      </c>
    </row>
    <row r="213" spans="1:73">
      <c r="A213" t="s">
        <v>309</v>
      </c>
      <c r="B213" t="s">
        <v>136</v>
      </c>
      <c r="C213">
        <v>72</v>
      </c>
      <c r="D213" t="s">
        <v>56</v>
      </c>
      <c r="E213" t="s">
        <v>53</v>
      </c>
      <c r="F213" t="s">
        <v>54</v>
      </c>
      <c r="G213">
        <v>60000</v>
      </c>
      <c r="H213">
        <v>5</v>
      </c>
      <c r="I213">
        <v>5</v>
      </c>
      <c r="J213">
        <v>0</v>
      </c>
      <c r="K213">
        <v>1</v>
      </c>
      <c r="L213">
        <v>200000000</v>
      </c>
      <c r="M213">
        <v>190</v>
      </c>
      <c r="N213">
        <v>190</v>
      </c>
      <c r="O213">
        <v>190</v>
      </c>
      <c r="P213">
        <v>0</v>
      </c>
      <c r="Q213" t="s">
        <v>55</v>
      </c>
      <c r="R213">
        <v>1.00004069732314E+16</v>
      </c>
      <c r="S213">
        <v>100004814</v>
      </c>
      <c r="T213">
        <v>1.00004069732314E+16</v>
      </c>
      <c r="U213">
        <v>100004814</v>
      </c>
      <c r="V213" t="s">
        <v>63</v>
      </c>
      <c r="W213">
        <v>7</v>
      </c>
      <c r="X213">
        <v>12205384</v>
      </c>
      <c r="Y213">
        <v>112412327</v>
      </c>
      <c r="Z213">
        <v>124617711</v>
      </c>
      <c r="AA213">
        <v>100004814</v>
      </c>
      <c r="AB213">
        <v>10.210100000000001</v>
      </c>
      <c r="AC213">
        <v>0.889625</v>
      </c>
      <c r="AD213">
        <v>4.0229299999999997</v>
      </c>
      <c r="AE213">
        <v>2776009024</v>
      </c>
      <c r="AF213" t="s">
        <v>747</v>
      </c>
      <c r="AG213" t="s">
        <v>748</v>
      </c>
      <c r="AI213">
        <v>27212</v>
      </c>
      <c r="AJ213">
        <v>11434860743803</v>
      </c>
      <c r="AK213">
        <v>70817393471</v>
      </c>
      <c r="AL213">
        <v>4982520452138</v>
      </c>
      <c r="AM213">
        <v>90559823392</v>
      </c>
      <c r="AN213">
        <v>4093052580965</v>
      </c>
      <c r="AO213">
        <v>22711886705</v>
      </c>
      <c r="AP213">
        <v>1766248198</v>
      </c>
      <c r="AQ213">
        <v>0</v>
      </c>
      <c r="AR213">
        <v>196249984</v>
      </c>
      <c r="AS213">
        <v>1766248198</v>
      </c>
      <c r="AT213">
        <v>1962498182</v>
      </c>
      <c r="AU213">
        <v>29437469</v>
      </c>
      <c r="AV213">
        <v>0</v>
      </c>
      <c r="AW213">
        <v>3270833</v>
      </c>
      <c r="AX213">
        <v>29437469</v>
      </c>
      <c r="AY213">
        <v>32708303</v>
      </c>
      <c r="AZ213">
        <v>22.149699999999999</v>
      </c>
      <c r="BA213">
        <v>11.018000000000001</v>
      </c>
      <c r="BB213">
        <v>10898.7</v>
      </c>
      <c r="BC213">
        <v>2335.33</v>
      </c>
      <c r="BD213">
        <v>14783</v>
      </c>
      <c r="BE213">
        <v>1122</v>
      </c>
      <c r="BF213">
        <f t="shared" si="51"/>
        <v>60.183477598963158</v>
      </c>
      <c r="BG213" s="31">
        <f t="shared" si="52"/>
        <v>48.735063877215794</v>
      </c>
      <c r="BH213">
        <f t="shared" si="53"/>
        <v>3</v>
      </c>
      <c r="BI213">
        <f t="shared" si="54"/>
        <v>37389</v>
      </c>
      <c r="BJ213">
        <f t="shared" si="55"/>
        <v>1369017</v>
      </c>
      <c r="BK213">
        <f t="shared" si="56"/>
        <v>15502319</v>
      </c>
      <c r="BL213">
        <f t="shared" si="57"/>
        <v>2641299</v>
      </c>
      <c r="BM213">
        <f t="shared" si="58"/>
        <v>0</v>
      </c>
      <c r="BN213" t="str">
        <f t="shared" si="49"/>
        <v>u=10%, k=2x10^8</v>
      </c>
      <c r="BO213" t="str">
        <f t="shared" si="50"/>
        <v>u=10%, k=2x10^8, sequential</v>
      </c>
      <c r="BP213">
        <f t="shared" si="59"/>
        <v>0.37272312353157894</v>
      </c>
      <c r="BQ213">
        <f t="shared" si="61"/>
        <v>26.223791853357895</v>
      </c>
      <c r="BR213">
        <f t="shared" si="62"/>
        <v>0.47663064943157896</v>
      </c>
      <c r="BS213">
        <f t="shared" si="63"/>
        <v>21.542382005078945</v>
      </c>
      <c r="BT213">
        <f t="shared" si="64"/>
        <v>0.11953624581578948</v>
      </c>
      <c r="BU213">
        <f t="shared" si="60"/>
        <v>11.448413721747372</v>
      </c>
    </row>
    <row r="214" spans="1:73">
      <c r="A214" t="s">
        <v>310</v>
      </c>
      <c r="B214" t="s">
        <v>136</v>
      </c>
      <c r="C214">
        <v>72</v>
      </c>
      <c r="D214" t="s">
        <v>56</v>
      </c>
      <c r="E214" t="s">
        <v>53</v>
      </c>
      <c r="F214" t="s">
        <v>54</v>
      </c>
      <c r="G214">
        <v>60000</v>
      </c>
      <c r="H214">
        <v>5</v>
      </c>
      <c r="I214">
        <v>5</v>
      </c>
      <c r="J214">
        <v>0</v>
      </c>
      <c r="K214">
        <v>1</v>
      </c>
      <c r="L214">
        <v>2000000000</v>
      </c>
      <c r="M214">
        <v>24</v>
      </c>
      <c r="N214">
        <v>24</v>
      </c>
      <c r="O214">
        <v>24</v>
      </c>
      <c r="P214">
        <v>0</v>
      </c>
      <c r="Q214" t="s">
        <v>55</v>
      </c>
      <c r="R214">
        <v>9.9999271597468902E+17</v>
      </c>
      <c r="S214">
        <v>1000000851</v>
      </c>
      <c r="T214">
        <v>9.9999271597468902E+17</v>
      </c>
      <c r="U214">
        <v>1000000851</v>
      </c>
      <c r="V214" t="s">
        <v>63</v>
      </c>
      <c r="W214">
        <v>7</v>
      </c>
      <c r="X214">
        <v>107360503</v>
      </c>
      <c r="Y214">
        <v>1125273007</v>
      </c>
      <c r="Z214">
        <v>1232633510</v>
      </c>
      <c r="AA214">
        <v>1000000851</v>
      </c>
      <c r="AB214">
        <v>11.481299999999999</v>
      </c>
      <c r="AC214">
        <v>0.88867399999999996</v>
      </c>
      <c r="AD214">
        <v>4.0472599999999996</v>
      </c>
      <c r="AE214">
        <v>26609440800</v>
      </c>
      <c r="AF214" t="s">
        <v>749</v>
      </c>
      <c r="AG214" t="s">
        <v>749</v>
      </c>
      <c r="AI214">
        <v>387062</v>
      </c>
      <c r="AJ214">
        <v>1436561753123</v>
      </c>
      <c r="AK214">
        <v>863513126</v>
      </c>
      <c r="AM214">
        <v>1754330819</v>
      </c>
      <c r="AN214">
        <v>2167639816</v>
      </c>
      <c r="AO214">
        <v>243449893</v>
      </c>
      <c r="AP214">
        <v>942224435</v>
      </c>
      <c r="AQ214">
        <v>0</v>
      </c>
      <c r="AR214">
        <v>104706257</v>
      </c>
      <c r="AS214">
        <v>942224435</v>
      </c>
      <c r="AT214">
        <v>1046930692</v>
      </c>
      <c r="AU214">
        <v>15703740</v>
      </c>
      <c r="AV214">
        <v>0</v>
      </c>
      <c r="AW214">
        <v>1745104</v>
      </c>
      <c r="AX214">
        <v>15703740</v>
      </c>
      <c r="AY214">
        <v>17448844</v>
      </c>
      <c r="AZ214">
        <v>22.9725</v>
      </c>
      <c r="BA214">
        <v>13.488099999999999</v>
      </c>
      <c r="BB214">
        <v>3827.83</v>
      </c>
      <c r="BC214">
        <v>3053.86</v>
      </c>
      <c r="BD214">
        <v>61793</v>
      </c>
      <c r="BE214">
        <v>16342</v>
      </c>
      <c r="BF214">
        <f t="shared" si="51"/>
        <v>59.856739713458332</v>
      </c>
      <c r="BG214" s="31">
        <f t="shared" si="52"/>
        <v>0.20953890225000002</v>
      </c>
      <c r="BH214">
        <f t="shared" si="53"/>
        <v>0</v>
      </c>
      <c r="BI214">
        <f t="shared" si="54"/>
        <v>0</v>
      </c>
      <c r="BJ214">
        <f t="shared" si="55"/>
        <v>0</v>
      </c>
      <c r="BK214">
        <f t="shared" si="56"/>
        <v>1011561</v>
      </c>
      <c r="BL214">
        <f t="shared" si="57"/>
        <v>1095802</v>
      </c>
      <c r="BM214">
        <f t="shared" si="58"/>
        <v>0</v>
      </c>
      <c r="BN214" t="str">
        <f t="shared" si="49"/>
        <v>u=10%, k=2x10^9</v>
      </c>
      <c r="BO214" t="str">
        <f t="shared" si="50"/>
        <v>u=10%, k=2x10^9, sequential</v>
      </c>
      <c r="BP214">
        <f t="shared" si="59"/>
        <v>3.597971358333333E-2</v>
      </c>
      <c r="BQ214">
        <f t="shared" si="61"/>
        <v>0</v>
      </c>
      <c r="BR214">
        <f t="shared" si="62"/>
        <v>7.3097117458333333E-2</v>
      </c>
      <c r="BS214">
        <f t="shared" si="63"/>
        <v>9.0318325666666657E-2</v>
      </c>
      <c r="BT214">
        <f t="shared" si="64"/>
        <v>1.0143745541666667E-2</v>
      </c>
      <c r="BU214">
        <f t="shared" si="60"/>
        <v>59.647200811208329</v>
      </c>
    </row>
    <row r="215" spans="1:73">
      <c r="A215" t="s">
        <v>311</v>
      </c>
      <c r="B215" t="s">
        <v>136</v>
      </c>
      <c r="C215">
        <v>72</v>
      </c>
      <c r="D215" t="s">
        <v>56</v>
      </c>
      <c r="E215" t="s">
        <v>53</v>
      </c>
      <c r="F215" t="s">
        <v>54</v>
      </c>
      <c r="G215">
        <v>60000</v>
      </c>
      <c r="H215">
        <v>5</v>
      </c>
      <c r="I215">
        <v>5</v>
      </c>
      <c r="J215">
        <v>0</v>
      </c>
      <c r="K215">
        <v>1</v>
      </c>
      <c r="L215">
        <v>2000000000</v>
      </c>
      <c r="M215">
        <v>48</v>
      </c>
      <c r="N215">
        <v>48</v>
      </c>
      <c r="O215">
        <v>48</v>
      </c>
      <c r="P215">
        <v>0</v>
      </c>
      <c r="Q215" t="s">
        <v>55</v>
      </c>
      <c r="R215">
        <v>1.00001743107842E+18</v>
      </c>
      <c r="S215">
        <v>1000003551</v>
      </c>
      <c r="T215">
        <v>1.00001743107842E+18</v>
      </c>
      <c r="U215">
        <v>1000003551</v>
      </c>
      <c r="V215" t="s">
        <v>63</v>
      </c>
      <c r="W215">
        <v>7</v>
      </c>
      <c r="X215">
        <v>119357749</v>
      </c>
      <c r="Y215">
        <v>1150616643</v>
      </c>
      <c r="Z215">
        <v>1269974392</v>
      </c>
      <c r="AA215">
        <v>1000003551</v>
      </c>
      <c r="AB215">
        <v>10.6401</v>
      </c>
      <c r="AC215">
        <v>0.86910200000000004</v>
      </c>
      <c r="AD215">
        <v>4.0731200000000003</v>
      </c>
      <c r="AE215">
        <v>27995119616</v>
      </c>
      <c r="AF215" t="s">
        <v>750</v>
      </c>
      <c r="AG215" t="s">
        <v>750</v>
      </c>
      <c r="AI215">
        <v>171578</v>
      </c>
      <c r="AJ215">
        <v>2873122371635</v>
      </c>
      <c r="AK215">
        <v>5159814327</v>
      </c>
      <c r="AL215">
        <v>1935</v>
      </c>
      <c r="AM215">
        <v>9123829768</v>
      </c>
      <c r="AN215">
        <v>8937032667</v>
      </c>
      <c r="AO215">
        <v>1746098849</v>
      </c>
      <c r="AP215">
        <v>1700449784</v>
      </c>
      <c r="AQ215">
        <v>0</v>
      </c>
      <c r="AR215">
        <v>188910749</v>
      </c>
      <c r="AS215">
        <v>1700449784</v>
      </c>
      <c r="AT215">
        <v>1889360533</v>
      </c>
      <c r="AU215">
        <v>28340829</v>
      </c>
      <c r="AV215">
        <v>0</v>
      </c>
      <c r="AW215">
        <v>3148512</v>
      </c>
      <c r="AX215">
        <v>28340829</v>
      </c>
      <c r="AY215">
        <v>31489342</v>
      </c>
      <c r="AZ215">
        <v>23.1249</v>
      </c>
      <c r="BA215">
        <v>13.691000000000001</v>
      </c>
      <c r="BB215">
        <v>4241.1899999999996</v>
      </c>
      <c r="BC215">
        <v>3532.5</v>
      </c>
      <c r="BD215">
        <v>63668</v>
      </c>
      <c r="BE215">
        <v>12477</v>
      </c>
      <c r="BF215">
        <f t="shared" si="51"/>
        <v>59.856716075729167</v>
      </c>
      <c r="BG215" s="31">
        <f t="shared" si="52"/>
        <v>0.52014119887499999</v>
      </c>
      <c r="BH215">
        <f t="shared" si="53"/>
        <v>0</v>
      </c>
      <c r="BI215">
        <f t="shared" si="54"/>
        <v>0</v>
      </c>
      <c r="BJ215">
        <f t="shared" si="55"/>
        <v>0</v>
      </c>
      <c r="BK215">
        <f t="shared" si="56"/>
        <v>4901135</v>
      </c>
      <c r="BL215">
        <f t="shared" si="57"/>
        <v>2907038</v>
      </c>
      <c r="BM215">
        <f t="shared" si="58"/>
        <v>0</v>
      </c>
      <c r="BN215" t="str">
        <f t="shared" si="49"/>
        <v>u=10%, k=2x10^9</v>
      </c>
      <c r="BO215" t="str">
        <f t="shared" si="50"/>
        <v>u=10%, k=2x10^9, sequential</v>
      </c>
      <c r="BP215">
        <f t="shared" si="59"/>
        <v>0.10749613181250001</v>
      </c>
      <c r="BQ215">
        <f t="shared" si="61"/>
        <v>4.0312500000000004E-8</v>
      </c>
      <c r="BR215">
        <f t="shared" si="62"/>
        <v>0.19007978683333335</v>
      </c>
      <c r="BS215">
        <f t="shared" si="63"/>
        <v>0.1861881805625</v>
      </c>
      <c r="BT215">
        <f t="shared" si="64"/>
        <v>3.6377059354166665E-2</v>
      </c>
      <c r="BU215">
        <f t="shared" si="60"/>
        <v>59.336574876854165</v>
      </c>
    </row>
    <row r="216" spans="1:73">
      <c r="A216" t="s">
        <v>312</v>
      </c>
      <c r="B216" t="s">
        <v>136</v>
      </c>
      <c r="C216">
        <v>72</v>
      </c>
      <c r="D216" t="s">
        <v>56</v>
      </c>
      <c r="E216" t="s">
        <v>53</v>
      </c>
      <c r="F216" t="s">
        <v>54</v>
      </c>
      <c r="G216">
        <v>60000</v>
      </c>
      <c r="H216">
        <v>5</v>
      </c>
      <c r="I216">
        <v>5</v>
      </c>
      <c r="J216">
        <v>0</v>
      </c>
      <c r="K216">
        <v>1</v>
      </c>
      <c r="L216">
        <v>2000000000</v>
      </c>
      <c r="M216">
        <v>96</v>
      </c>
      <c r="N216">
        <v>96</v>
      </c>
      <c r="O216">
        <v>96</v>
      </c>
      <c r="P216">
        <v>0</v>
      </c>
      <c r="Q216" t="s">
        <v>55</v>
      </c>
      <c r="R216">
        <v>1.00002294217712E+18</v>
      </c>
      <c r="S216">
        <v>1000020505</v>
      </c>
      <c r="T216">
        <v>1.00002294217712E+18</v>
      </c>
      <c r="U216">
        <v>1000020505</v>
      </c>
      <c r="V216" t="s">
        <v>63</v>
      </c>
      <c r="W216">
        <v>7</v>
      </c>
      <c r="X216">
        <v>126236313</v>
      </c>
      <c r="Y216">
        <v>1167283740</v>
      </c>
      <c r="Z216">
        <v>1293520053</v>
      </c>
      <c r="AA216">
        <v>1000020505</v>
      </c>
      <c r="AB216">
        <v>10.2468</v>
      </c>
      <c r="AC216">
        <v>0.856707</v>
      </c>
      <c r="AD216">
        <v>4.08927</v>
      </c>
      <c r="AE216">
        <v>28840012432</v>
      </c>
      <c r="AF216" t="s">
        <v>751</v>
      </c>
      <c r="AG216" t="s">
        <v>752</v>
      </c>
      <c r="AI216">
        <v>90408</v>
      </c>
      <c r="AJ216">
        <v>5746243980191</v>
      </c>
      <c r="AK216">
        <v>32845881143</v>
      </c>
      <c r="AL216">
        <v>132797</v>
      </c>
      <c r="AM216">
        <v>46057605206</v>
      </c>
      <c r="AN216">
        <v>40851226553</v>
      </c>
      <c r="AO216">
        <v>11020666798</v>
      </c>
      <c r="AP216">
        <v>3605670030</v>
      </c>
      <c r="AQ216">
        <v>0</v>
      </c>
      <c r="AR216">
        <v>400649057</v>
      </c>
      <c r="AS216">
        <v>3605670030</v>
      </c>
      <c r="AT216">
        <v>4006319087</v>
      </c>
      <c r="AU216">
        <v>60094500</v>
      </c>
      <c r="AV216">
        <v>0</v>
      </c>
      <c r="AW216">
        <v>6677484</v>
      </c>
      <c r="AX216">
        <v>60094500</v>
      </c>
      <c r="AY216">
        <v>66771984</v>
      </c>
      <c r="AZ216">
        <v>23.6142</v>
      </c>
      <c r="BA216">
        <v>14.6927</v>
      </c>
      <c r="BB216">
        <v>3996.83</v>
      </c>
      <c r="BC216">
        <v>3226.35</v>
      </c>
      <c r="BD216">
        <v>66648</v>
      </c>
      <c r="BE216">
        <v>9909</v>
      </c>
      <c r="BF216">
        <f t="shared" si="51"/>
        <v>59.856708126989588</v>
      </c>
      <c r="BG216" s="31">
        <f t="shared" si="52"/>
        <v>1.36224492184375</v>
      </c>
      <c r="BH216">
        <f t="shared" si="53"/>
        <v>0</v>
      </c>
      <c r="BI216">
        <f t="shared" si="54"/>
        <v>0</v>
      </c>
      <c r="BJ216">
        <f t="shared" si="55"/>
        <v>458437</v>
      </c>
      <c r="BK216">
        <f t="shared" si="56"/>
        <v>25874936</v>
      </c>
      <c r="BL216">
        <f t="shared" si="57"/>
        <v>7903168</v>
      </c>
      <c r="BM216">
        <f t="shared" si="58"/>
        <v>0</v>
      </c>
      <c r="BN216" t="str">
        <f t="shared" si="49"/>
        <v>u=10%, k=2x10^9</v>
      </c>
      <c r="BO216" t="str">
        <f t="shared" si="50"/>
        <v>u=10%, k=2x10^9, sequential</v>
      </c>
      <c r="BP216">
        <f t="shared" si="59"/>
        <v>0.34214459523958335</v>
      </c>
      <c r="BQ216">
        <f t="shared" si="61"/>
        <v>1.3833020833333335E-6</v>
      </c>
      <c r="BR216">
        <f t="shared" si="62"/>
        <v>0.47976672089583333</v>
      </c>
      <c r="BS216">
        <f t="shared" si="63"/>
        <v>0.42553360992708328</v>
      </c>
      <c r="BT216">
        <f t="shared" si="64"/>
        <v>0.11479861247916667</v>
      </c>
      <c r="BU216">
        <f t="shared" si="60"/>
        <v>58.494463205145841</v>
      </c>
    </row>
    <row r="217" spans="1:73">
      <c r="A217" t="s">
        <v>313</v>
      </c>
      <c r="B217" t="s">
        <v>136</v>
      </c>
      <c r="C217">
        <v>72</v>
      </c>
      <c r="D217" t="s">
        <v>56</v>
      </c>
      <c r="E217" t="s">
        <v>53</v>
      </c>
      <c r="F217" t="s">
        <v>54</v>
      </c>
      <c r="G217">
        <v>60000</v>
      </c>
      <c r="H217">
        <v>5</v>
      </c>
      <c r="I217">
        <v>5</v>
      </c>
      <c r="J217">
        <v>0</v>
      </c>
      <c r="K217">
        <v>1</v>
      </c>
      <c r="L217">
        <v>2000000000</v>
      </c>
      <c r="M217">
        <v>190</v>
      </c>
      <c r="N217">
        <v>190</v>
      </c>
      <c r="O217">
        <v>190</v>
      </c>
      <c r="P217">
        <v>0</v>
      </c>
      <c r="Q217" t="s">
        <v>55</v>
      </c>
      <c r="R217">
        <v>1.00002824947297E+18</v>
      </c>
      <c r="S217">
        <v>1000028809</v>
      </c>
      <c r="T217">
        <v>1.00002824947297E+18</v>
      </c>
      <c r="U217">
        <v>1000028809</v>
      </c>
      <c r="V217" t="s">
        <v>63</v>
      </c>
      <c r="W217">
        <v>7</v>
      </c>
      <c r="X217">
        <v>84467750</v>
      </c>
      <c r="Y217">
        <v>1078835912</v>
      </c>
      <c r="Z217">
        <v>1163303662</v>
      </c>
      <c r="AA217">
        <v>1000028809</v>
      </c>
      <c r="AB217">
        <v>13.7722</v>
      </c>
      <c r="AC217">
        <v>0.926952</v>
      </c>
      <c r="AD217">
        <v>4</v>
      </c>
      <c r="AE217">
        <v>24018794576</v>
      </c>
      <c r="AF217" t="s">
        <v>753</v>
      </c>
      <c r="AG217" t="s">
        <v>754</v>
      </c>
      <c r="AI217">
        <v>28370</v>
      </c>
      <c r="AJ217">
        <v>20658498222650</v>
      </c>
      <c r="AK217">
        <v>237054160896</v>
      </c>
      <c r="AL217">
        <v>12703335193255</v>
      </c>
      <c r="AM217">
        <v>236851219025</v>
      </c>
      <c r="AN217">
        <v>157104776661</v>
      </c>
      <c r="AO217">
        <v>87688730431</v>
      </c>
      <c r="AP217">
        <v>4499922141</v>
      </c>
      <c r="AQ217">
        <v>0</v>
      </c>
      <c r="AR217">
        <v>499985401</v>
      </c>
      <c r="AS217">
        <v>4499922141</v>
      </c>
      <c r="AT217">
        <v>4999907542</v>
      </c>
      <c r="AU217">
        <v>74998702</v>
      </c>
      <c r="AV217">
        <v>0</v>
      </c>
      <c r="AW217">
        <v>8333090</v>
      </c>
      <c r="AX217">
        <v>74998702</v>
      </c>
      <c r="AY217">
        <v>83331792</v>
      </c>
      <c r="AZ217">
        <v>25.125399999999999</v>
      </c>
      <c r="BA217">
        <v>15.988799999999999</v>
      </c>
      <c r="BB217">
        <v>11496.2</v>
      </c>
      <c r="BC217">
        <v>3540.49</v>
      </c>
      <c r="BD217">
        <v>105927</v>
      </c>
      <c r="BE217">
        <v>9105</v>
      </c>
      <c r="BF217">
        <f t="shared" si="51"/>
        <v>108.72893801394737</v>
      </c>
      <c r="BG217" s="31">
        <f t="shared" si="52"/>
        <v>70.642284632989472</v>
      </c>
      <c r="BH217">
        <f t="shared" si="53"/>
        <v>1</v>
      </c>
      <c r="BI217">
        <f t="shared" si="54"/>
        <v>31591</v>
      </c>
      <c r="BJ217">
        <f t="shared" si="55"/>
        <v>2148658</v>
      </c>
      <c r="BK217">
        <f t="shared" si="56"/>
        <v>33461448</v>
      </c>
      <c r="BL217">
        <f t="shared" si="57"/>
        <v>9430560</v>
      </c>
      <c r="BM217">
        <f t="shared" si="58"/>
        <v>0</v>
      </c>
      <c r="BN217" t="str">
        <f t="shared" si="49"/>
        <v>u=10%, k=2x10^9</v>
      </c>
      <c r="BO217" t="str">
        <f t="shared" si="50"/>
        <v>u=10%, k=2x10^9, sequential</v>
      </c>
      <c r="BP217">
        <f t="shared" si="59"/>
        <v>1.2476534784</v>
      </c>
      <c r="BQ217">
        <f t="shared" si="61"/>
        <v>66.859658911868422</v>
      </c>
      <c r="BR217">
        <f t="shared" si="62"/>
        <v>1.2465853632894737</v>
      </c>
      <c r="BS217">
        <f t="shared" si="63"/>
        <v>0.82686724558421043</v>
      </c>
      <c r="BT217">
        <f t="shared" si="64"/>
        <v>0.46151963384736838</v>
      </c>
      <c r="BU217">
        <f t="shared" si="60"/>
        <v>38.086653380957898</v>
      </c>
    </row>
    <row r="218" spans="1:73">
      <c r="A218" t="s">
        <v>314</v>
      </c>
      <c r="B218" t="s">
        <v>136</v>
      </c>
      <c r="C218">
        <v>72</v>
      </c>
      <c r="D218" t="s">
        <v>56</v>
      </c>
      <c r="E218" t="s">
        <v>53</v>
      </c>
      <c r="F218" t="s">
        <v>54</v>
      </c>
      <c r="G218">
        <v>60000</v>
      </c>
      <c r="H218">
        <v>20</v>
      </c>
      <c r="I218">
        <v>20</v>
      </c>
      <c r="J218">
        <v>0</v>
      </c>
      <c r="K218">
        <v>1</v>
      </c>
      <c r="L218">
        <v>2000000</v>
      </c>
      <c r="M218">
        <v>24</v>
      </c>
      <c r="N218">
        <v>24</v>
      </c>
      <c r="O218">
        <v>24</v>
      </c>
      <c r="P218">
        <v>0</v>
      </c>
      <c r="Q218" t="s">
        <v>55</v>
      </c>
      <c r="R218">
        <v>999732594353</v>
      </c>
      <c r="S218">
        <v>1000040</v>
      </c>
      <c r="T218">
        <v>999732594353</v>
      </c>
      <c r="U218">
        <v>1000040</v>
      </c>
      <c r="V218" t="s">
        <v>63</v>
      </c>
      <c r="W218">
        <v>6</v>
      </c>
      <c r="X218">
        <v>37164</v>
      </c>
      <c r="Y218">
        <v>1040358</v>
      </c>
      <c r="Z218">
        <v>1077522</v>
      </c>
      <c r="AA218">
        <v>1000040</v>
      </c>
      <c r="AB218">
        <v>28.9937</v>
      </c>
      <c r="AC218">
        <v>0.96124600000000004</v>
      </c>
      <c r="AD218">
        <v>3.0083199999999999</v>
      </c>
      <c r="AE218">
        <v>19619472</v>
      </c>
      <c r="AF218" t="s">
        <v>755</v>
      </c>
      <c r="AG218" t="s">
        <v>756</v>
      </c>
      <c r="AI218">
        <v>513028</v>
      </c>
      <c r="AJ218">
        <v>1436566631784</v>
      </c>
      <c r="AK218">
        <v>45455977176</v>
      </c>
      <c r="AL218">
        <v>751243020295</v>
      </c>
      <c r="AM218">
        <v>51145316031</v>
      </c>
      <c r="AN218">
        <v>18195372396</v>
      </c>
      <c r="AO218">
        <v>22356607845</v>
      </c>
      <c r="AP218">
        <v>754460823</v>
      </c>
      <c r="AQ218">
        <v>0</v>
      </c>
      <c r="AR218">
        <v>502991280</v>
      </c>
      <c r="AS218">
        <v>754460823</v>
      </c>
      <c r="AT218">
        <v>1257452103</v>
      </c>
      <c r="AU218">
        <v>12574347</v>
      </c>
      <c r="AV218">
        <v>0</v>
      </c>
      <c r="AW218">
        <v>8383188</v>
      </c>
      <c r="AX218">
        <v>12574347</v>
      </c>
      <c r="AY218">
        <v>20957535</v>
      </c>
      <c r="AZ218">
        <v>14.834099999999999</v>
      </c>
      <c r="BA218">
        <v>1.2200599999999999</v>
      </c>
      <c r="BB218">
        <v>3177.17</v>
      </c>
      <c r="BC218">
        <v>589.34799999999996</v>
      </c>
      <c r="BD218">
        <v>1762</v>
      </c>
      <c r="BE218">
        <v>27</v>
      </c>
      <c r="BF218">
        <f t="shared" si="51"/>
        <v>59.856942991000004</v>
      </c>
      <c r="BG218" s="31">
        <f t="shared" si="52"/>
        <v>37.016512239291664</v>
      </c>
      <c r="BH218">
        <f t="shared" si="53"/>
        <v>1006</v>
      </c>
      <c r="BI218">
        <f t="shared" si="54"/>
        <v>900641</v>
      </c>
      <c r="BJ218">
        <f t="shared" si="55"/>
        <v>12992168</v>
      </c>
      <c r="BK218">
        <f t="shared" si="56"/>
        <v>14565716</v>
      </c>
      <c r="BL218">
        <f t="shared" si="57"/>
        <v>0</v>
      </c>
      <c r="BM218">
        <f t="shared" si="58"/>
        <v>0</v>
      </c>
      <c r="BN218" t="str">
        <f t="shared" si="49"/>
        <v>u=40%, k=2x10^6</v>
      </c>
      <c r="BO218" t="str">
        <f t="shared" si="50"/>
        <v>u=40%, k=2x10^6, sequential</v>
      </c>
      <c r="BP218">
        <f t="shared" si="59"/>
        <v>1.8939990489999998</v>
      </c>
      <c r="BQ218">
        <f t="shared" si="61"/>
        <v>31.301792512291666</v>
      </c>
      <c r="BR218">
        <f t="shared" si="62"/>
        <v>2.131054834625</v>
      </c>
      <c r="BS218">
        <f t="shared" si="63"/>
        <v>0.75814051650000003</v>
      </c>
      <c r="BT218">
        <f t="shared" si="64"/>
        <v>0.931525326875</v>
      </c>
      <c r="BU218">
        <f t="shared" si="60"/>
        <v>22.840430751708347</v>
      </c>
    </row>
    <row r="219" spans="1:73">
      <c r="A219" t="s">
        <v>315</v>
      </c>
      <c r="B219" t="s">
        <v>136</v>
      </c>
      <c r="C219">
        <v>72</v>
      </c>
      <c r="D219" t="s">
        <v>56</v>
      </c>
      <c r="E219" t="s">
        <v>53</v>
      </c>
      <c r="F219" t="s">
        <v>54</v>
      </c>
      <c r="G219">
        <v>60000</v>
      </c>
      <c r="H219">
        <v>20</v>
      </c>
      <c r="I219">
        <v>20</v>
      </c>
      <c r="J219">
        <v>0</v>
      </c>
      <c r="K219">
        <v>1</v>
      </c>
      <c r="L219">
        <v>2000000</v>
      </c>
      <c r="M219">
        <v>48</v>
      </c>
      <c r="N219">
        <v>48</v>
      </c>
      <c r="O219">
        <v>48</v>
      </c>
      <c r="P219">
        <v>0</v>
      </c>
      <c r="Q219" t="s">
        <v>55</v>
      </c>
      <c r="R219">
        <v>999114668191</v>
      </c>
      <c r="S219">
        <v>999004</v>
      </c>
      <c r="T219">
        <v>999114668191</v>
      </c>
      <c r="U219">
        <v>999004</v>
      </c>
      <c r="V219" t="s">
        <v>63</v>
      </c>
      <c r="W219">
        <v>6</v>
      </c>
      <c r="X219">
        <v>33013</v>
      </c>
      <c r="Y219">
        <v>1031023</v>
      </c>
      <c r="Z219">
        <v>1064036</v>
      </c>
      <c r="AA219">
        <v>999004</v>
      </c>
      <c r="AB219">
        <v>32.230800000000002</v>
      </c>
      <c r="AC219">
        <v>0.96894400000000003</v>
      </c>
      <c r="AD219">
        <v>3.0000200000000001</v>
      </c>
      <c r="AE219">
        <v>19137392</v>
      </c>
      <c r="AF219" t="s">
        <v>757</v>
      </c>
      <c r="AG219" t="s">
        <v>758</v>
      </c>
      <c r="AI219">
        <v>119604</v>
      </c>
      <c r="AJ219">
        <v>2873557368188</v>
      </c>
      <c r="AK219">
        <v>69698914522</v>
      </c>
      <c r="AL219">
        <v>2044947365350</v>
      </c>
      <c r="AM219">
        <v>70870267099</v>
      </c>
      <c r="AN219">
        <v>30124321564</v>
      </c>
      <c r="AO219">
        <v>30738675882</v>
      </c>
      <c r="AP219">
        <v>676411981</v>
      </c>
      <c r="AQ219">
        <v>0</v>
      </c>
      <c r="AR219">
        <v>450976782</v>
      </c>
      <c r="AS219">
        <v>676411981</v>
      </c>
      <c r="AT219">
        <v>1127388763</v>
      </c>
      <c r="AU219">
        <v>11273533</v>
      </c>
      <c r="AV219">
        <v>0</v>
      </c>
      <c r="AW219">
        <v>7516279</v>
      </c>
      <c r="AX219">
        <v>11273533</v>
      </c>
      <c r="AY219">
        <v>18789812</v>
      </c>
      <c r="AZ219">
        <v>14.9109</v>
      </c>
      <c r="BA219">
        <v>1.62504</v>
      </c>
      <c r="BB219">
        <v>7091.88</v>
      </c>
      <c r="BC219">
        <v>988.21</v>
      </c>
      <c r="BD219">
        <v>2260</v>
      </c>
      <c r="BE219">
        <v>30</v>
      </c>
      <c r="BF219">
        <f t="shared" si="51"/>
        <v>59.865778503916665</v>
      </c>
      <c r="BG219" s="31">
        <f t="shared" si="52"/>
        <v>46.799573842020834</v>
      </c>
      <c r="BH219">
        <f t="shared" si="53"/>
        <v>902</v>
      </c>
      <c r="BI219">
        <f t="shared" si="54"/>
        <v>888607</v>
      </c>
      <c r="BJ219">
        <f t="shared" si="55"/>
        <v>8444952</v>
      </c>
      <c r="BK219">
        <f t="shared" si="56"/>
        <v>12261001</v>
      </c>
      <c r="BL219">
        <f t="shared" si="57"/>
        <v>0</v>
      </c>
      <c r="BM219">
        <f t="shared" si="58"/>
        <v>0</v>
      </c>
      <c r="BN219" t="str">
        <f t="shared" si="49"/>
        <v>u=40%, k=2x10^6</v>
      </c>
      <c r="BO219" t="str">
        <f t="shared" si="50"/>
        <v>u=40%, k=2x10^6, sequential</v>
      </c>
      <c r="BP219">
        <f t="shared" si="59"/>
        <v>1.4520607192083332</v>
      </c>
      <c r="BQ219">
        <f t="shared" si="61"/>
        <v>42.603070111458329</v>
      </c>
      <c r="BR219">
        <f t="shared" si="62"/>
        <v>1.4764638978958333</v>
      </c>
      <c r="BS219">
        <f t="shared" si="63"/>
        <v>0.62759003258333335</v>
      </c>
      <c r="BT219">
        <f t="shared" si="64"/>
        <v>0.64038908087500002</v>
      </c>
      <c r="BU219">
        <f t="shared" si="60"/>
        <v>13.066204661895831</v>
      </c>
    </row>
    <row r="220" spans="1:73">
      <c r="A220" t="s">
        <v>316</v>
      </c>
      <c r="B220" t="s">
        <v>136</v>
      </c>
      <c r="C220">
        <v>72</v>
      </c>
      <c r="D220" t="s">
        <v>56</v>
      </c>
      <c r="E220" t="s">
        <v>53</v>
      </c>
      <c r="F220" t="s">
        <v>54</v>
      </c>
      <c r="G220">
        <v>60000</v>
      </c>
      <c r="H220">
        <v>20</v>
      </c>
      <c r="I220">
        <v>20</v>
      </c>
      <c r="J220">
        <v>0</v>
      </c>
      <c r="K220">
        <v>1</v>
      </c>
      <c r="L220">
        <v>2000000</v>
      </c>
      <c r="M220">
        <v>96</v>
      </c>
      <c r="N220">
        <v>96</v>
      </c>
      <c r="O220">
        <v>96</v>
      </c>
      <c r="P220">
        <v>0</v>
      </c>
      <c r="Q220" t="s">
        <v>55</v>
      </c>
      <c r="R220">
        <v>999662405004</v>
      </c>
      <c r="S220">
        <v>999585</v>
      </c>
      <c r="T220">
        <v>999662405004</v>
      </c>
      <c r="U220">
        <v>999585</v>
      </c>
      <c r="V220" t="s">
        <v>63</v>
      </c>
      <c r="W220">
        <v>6</v>
      </c>
      <c r="X220">
        <v>53625</v>
      </c>
      <c r="Y220">
        <v>1074318</v>
      </c>
      <c r="Z220">
        <v>1127943</v>
      </c>
      <c r="AA220">
        <v>999585</v>
      </c>
      <c r="AB220">
        <v>21.033899999999999</v>
      </c>
      <c r="AC220">
        <v>0.93043699999999996</v>
      </c>
      <c r="AD220">
        <v>3.04339</v>
      </c>
      <c r="AE220">
        <v>21503024</v>
      </c>
      <c r="AF220" t="s">
        <v>759</v>
      </c>
      <c r="AG220" t="s">
        <v>760</v>
      </c>
      <c r="AI220">
        <v>33016</v>
      </c>
      <c r="AJ220">
        <v>5746289208138</v>
      </c>
      <c r="AK220">
        <v>134044382397</v>
      </c>
      <c r="AL220">
        <v>4420394437597</v>
      </c>
      <c r="AM220">
        <v>91419379093</v>
      </c>
      <c r="AN220">
        <v>296102125783</v>
      </c>
      <c r="AO220">
        <v>28412828217</v>
      </c>
      <c r="AP220">
        <v>570970890</v>
      </c>
      <c r="AQ220">
        <v>0</v>
      </c>
      <c r="AR220">
        <v>380594893</v>
      </c>
      <c r="AS220">
        <v>570970890</v>
      </c>
      <c r="AT220">
        <v>951565783</v>
      </c>
      <c r="AU220">
        <v>9516181</v>
      </c>
      <c r="AV220">
        <v>0</v>
      </c>
      <c r="AW220">
        <v>6343248</v>
      </c>
      <c r="AX220">
        <v>9516181</v>
      </c>
      <c r="AY220">
        <v>15859429</v>
      </c>
      <c r="AZ220">
        <v>17.2224</v>
      </c>
      <c r="BA220">
        <v>5.5101599999999999</v>
      </c>
      <c r="BB220">
        <v>16583.400000000001</v>
      </c>
      <c r="BC220">
        <v>2185.1799999999998</v>
      </c>
      <c r="BD220">
        <v>2965</v>
      </c>
      <c r="BE220">
        <v>187</v>
      </c>
      <c r="BF220">
        <f t="shared" si="51"/>
        <v>59.857179251437493</v>
      </c>
      <c r="BG220" s="31">
        <f t="shared" si="52"/>
        <v>51.774720344656252</v>
      </c>
      <c r="BH220">
        <f t="shared" si="53"/>
        <v>761</v>
      </c>
      <c r="BI220">
        <f t="shared" si="54"/>
        <v>1184521</v>
      </c>
      <c r="BJ220">
        <f t="shared" si="55"/>
        <v>2064179</v>
      </c>
      <c r="BK220">
        <f t="shared" si="56"/>
        <v>8789461</v>
      </c>
      <c r="BL220">
        <f t="shared" si="57"/>
        <v>0</v>
      </c>
      <c r="BM220">
        <f t="shared" si="58"/>
        <v>0</v>
      </c>
      <c r="BN220" t="str">
        <f t="shared" si="49"/>
        <v>u=40%, k=2x10^6</v>
      </c>
      <c r="BO220" t="str">
        <f t="shared" si="50"/>
        <v>u=40%, k=2x10^6, sequential</v>
      </c>
      <c r="BP220">
        <f t="shared" si="59"/>
        <v>1.39629564996875</v>
      </c>
      <c r="BQ220">
        <f t="shared" si="61"/>
        <v>46.045775391635424</v>
      </c>
      <c r="BR220">
        <f t="shared" si="62"/>
        <v>0.95228519888541674</v>
      </c>
      <c r="BS220">
        <f t="shared" si="63"/>
        <v>3.0843971435729167</v>
      </c>
      <c r="BT220">
        <f t="shared" si="64"/>
        <v>0.29596696059374999</v>
      </c>
      <c r="BU220">
        <f t="shared" si="60"/>
        <v>8.082458906781234</v>
      </c>
    </row>
    <row r="221" spans="1:73">
      <c r="A221" t="s">
        <v>317</v>
      </c>
      <c r="B221" t="s">
        <v>136</v>
      </c>
      <c r="C221">
        <v>72</v>
      </c>
      <c r="D221" t="s">
        <v>56</v>
      </c>
      <c r="E221" t="s">
        <v>53</v>
      </c>
      <c r="F221" t="s">
        <v>54</v>
      </c>
      <c r="G221">
        <v>60000</v>
      </c>
      <c r="H221">
        <v>20</v>
      </c>
      <c r="I221">
        <v>20</v>
      </c>
      <c r="J221">
        <v>0</v>
      </c>
      <c r="K221">
        <v>1</v>
      </c>
      <c r="L221">
        <v>2000000</v>
      </c>
      <c r="M221">
        <v>144</v>
      </c>
      <c r="N221">
        <v>144</v>
      </c>
      <c r="O221">
        <v>144</v>
      </c>
      <c r="P221">
        <v>0</v>
      </c>
      <c r="Q221" t="s">
        <v>55</v>
      </c>
      <c r="R221">
        <v>1000858312061</v>
      </c>
      <c r="S221">
        <v>1000917</v>
      </c>
      <c r="T221">
        <v>1000858312061</v>
      </c>
      <c r="U221">
        <v>1000917</v>
      </c>
      <c r="V221" t="s">
        <v>63</v>
      </c>
      <c r="W221">
        <v>6</v>
      </c>
      <c r="X221">
        <v>51616</v>
      </c>
      <c r="Y221">
        <v>1070430</v>
      </c>
      <c r="Z221">
        <v>1122046</v>
      </c>
      <c r="AA221">
        <v>1000917</v>
      </c>
      <c r="AB221">
        <v>21.738299999999999</v>
      </c>
      <c r="AC221">
        <v>0.93506100000000003</v>
      </c>
      <c r="AD221">
        <v>3.0386500000000001</v>
      </c>
      <c r="AE221">
        <v>21272704</v>
      </c>
      <c r="AF221" t="s">
        <v>761</v>
      </c>
      <c r="AG221" t="s">
        <v>762</v>
      </c>
      <c r="AI221">
        <v>16354</v>
      </c>
      <c r="AJ221">
        <v>8619450857154</v>
      </c>
      <c r="AK221">
        <v>190651352077</v>
      </c>
      <c r="AL221">
        <v>6703737424672</v>
      </c>
      <c r="AM221">
        <v>125324443594</v>
      </c>
      <c r="AN221">
        <v>740081584200</v>
      </c>
      <c r="AO221">
        <v>32653323170</v>
      </c>
      <c r="AP221">
        <v>530406397</v>
      </c>
      <c r="AQ221">
        <v>0</v>
      </c>
      <c r="AR221">
        <v>353565151</v>
      </c>
      <c r="AS221">
        <v>530406397</v>
      </c>
      <c r="AT221">
        <v>883971548</v>
      </c>
      <c r="AU221">
        <v>8840106</v>
      </c>
      <c r="AV221">
        <v>0</v>
      </c>
      <c r="AW221">
        <v>5892752</v>
      </c>
      <c r="AX221">
        <v>8840106</v>
      </c>
      <c r="AY221">
        <v>14732859</v>
      </c>
      <c r="AZ221">
        <v>20.720400000000001</v>
      </c>
      <c r="BA221">
        <v>8.8300999999999998</v>
      </c>
      <c r="BB221">
        <v>26076.2</v>
      </c>
      <c r="BC221">
        <v>2930.15</v>
      </c>
      <c r="BD221">
        <v>3685</v>
      </c>
      <c r="BE221">
        <v>341</v>
      </c>
      <c r="BF221">
        <f t="shared" si="51"/>
        <v>59.857297619124992</v>
      </c>
      <c r="BG221" s="31">
        <f t="shared" si="52"/>
        <v>54.114223109118058</v>
      </c>
      <c r="BH221">
        <f t="shared" si="53"/>
        <v>707</v>
      </c>
      <c r="BI221">
        <f t="shared" si="54"/>
        <v>2049022</v>
      </c>
      <c r="BJ221">
        <f t="shared" si="55"/>
        <v>369229</v>
      </c>
      <c r="BK221">
        <f t="shared" si="56"/>
        <v>5739522</v>
      </c>
      <c r="BL221">
        <f t="shared" si="57"/>
        <v>0</v>
      </c>
      <c r="BM221">
        <f t="shared" si="58"/>
        <v>0</v>
      </c>
      <c r="BN221" t="str">
        <f t="shared" si="49"/>
        <v>u=40%, k=2x10^6</v>
      </c>
      <c r="BO221" t="str">
        <f t="shared" si="50"/>
        <v>u=40%, k=2x10^6, sequential</v>
      </c>
      <c r="BP221">
        <f t="shared" si="59"/>
        <v>1.3239677227569446</v>
      </c>
      <c r="BQ221">
        <f t="shared" si="61"/>
        <v>46.553732115777777</v>
      </c>
      <c r="BR221">
        <f t="shared" si="62"/>
        <v>0.87030863606944442</v>
      </c>
      <c r="BS221">
        <f t="shared" si="63"/>
        <v>5.1394554458333328</v>
      </c>
      <c r="BT221">
        <f t="shared" si="64"/>
        <v>0.22675918868055556</v>
      </c>
      <c r="BU221">
        <f t="shared" si="60"/>
        <v>5.7430745100069345</v>
      </c>
    </row>
    <row r="222" spans="1:73">
      <c r="A222" t="s">
        <v>318</v>
      </c>
      <c r="B222" t="s">
        <v>136</v>
      </c>
      <c r="C222">
        <v>72</v>
      </c>
      <c r="D222" t="s">
        <v>56</v>
      </c>
      <c r="E222" t="s">
        <v>53</v>
      </c>
      <c r="F222" t="s">
        <v>54</v>
      </c>
      <c r="G222">
        <v>60000</v>
      </c>
      <c r="H222">
        <v>20</v>
      </c>
      <c r="I222">
        <v>20</v>
      </c>
      <c r="J222">
        <v>0</v>
      </c>
      <c r="K222">
        <v>1</v>
      </c>
      <c r="L222">
        <v>2000000</v>
      </c>
      <c r="M222">
        <v>190</v>
      </c>
      <c r="N222">
        <v>190</v>
      </c>
      <c r="O222">
        <v>190</v>
      </c>
      <c r="P222">
        <v>0</v>
      </c>
      <c r="Q222" t="s">
        <v>55</v>
      </c>
      <c r="R222">
        <v>1000032891128</v>
      </c>
      <c r="S222">
        <v>999707</v>
      </c>
      <c r="T222">
        <v>1000032891128</v>
      </c>
      <c r="U222">
        <v>999707</v>
      </c>
      <c r="V222" t="s">
        <v>63</v>
      </c>
      <c r="W222">
        <v>6</v>
      </c>
      <c r="X222">
        <v>33053</v>
      </c>
      <c r="Y222">
        <v>1031807</v>
      </c>
      <c r="Z222">
        <v>1064860</v>
      </c>
      <c r="AA222">
        <v>999707</v>
      </c>
      <c r="AB222">
        <v>32.216700000000003</v>
      </c>
      <c r="AC222">
        <v>0.96889000000000003</v>
      </c>
      <c r="AD222">
        <v>3.0001000000000002</v>
      </c>
      <c r="AE222">
        <v>19153136</v>
      </c>
      <c r="AF222" t="s">
        <v>763</v>
      </c>
      <c r="AG222" t="s">
        <v>764</v>
      </c>
      <c r="AI222">
        <v>10508</v>
      </c>
      <c r="AJ222">
        <v>11374054234591</v>
      </c>
      <c r="AK222">
        <v>200115688398</v>
      </c>
      <c r="AL222">
        <v>9047524743522</v>
      </c>
      <c r="AM222">
        <v>119033070882</v>
      </c>
      <c r="AN222">
        <v>1076215448147</v>
      </c>
      <c r="AO222">
        <v>29402167572</v>
      </c>
      <c r="AP222">
        <v>528101058</v>
      </c>
      <c r="AQ222">
        <v>0</v>
      </c>
      <c r="AR222">
        <v>352085960</v>
      </c>
      <c r="AS222">
        <v>528101058</v>
      </c>
      <c r="AT222">
        <v>880187018</v>
      </c>
      <c r="AU222">
        <v>8801684</v>
      </c>
      <c r="AV222">
        <v>0</v>
      </c>
      <c r="AW222">
        <v>5868099</v>
      </c>
      <c r="AX222">
        <v>8801684</v>
      </c>
      <c r="AY222">
        <v>14669783</v>
      </c>
      <c r="AZ222">
        <v>20.805399999999999</v>
      </c>
      <c r="BA222">
        <v>9.6408799999999992</v>
      </c>
      <c r="BB222">
        <v>34487.800000000003</v>
      </c>
      <c r="BC222">
        <v>3464.91</v>
      </c>
      <c r="BD222">
        <v>4029</v>
      </c>
      <c r="BE222">
        <v>286</v>
      </c>
      <c r="BF222">
        <f t="shared" si="51"/>
        <v>59.863443339952632</v>
      </c>
      <c r="BG222" s="31">
        <f t="shared" si="52"/>
        <v>55.117321676426315</v>
      </c>
      <c r="BH222">
        <f t="shared" si="53"/>
        <v>705</v>
      </c>
      <c r="BI222">
        <f t="shared" si="54"/>
        <v>1645191</v>
      </c>
      <c r="BJ222">
        <f t="shared" si="55"/>
        <v>800620</v>
      </c>
      <c r="BK222">
        <f t="shared" si="56"/>
        <v>6609418</v>
      </c>
      <c r="BL222">
        <f t="shared" si="57"/>
        <v>0</v>
      </c>
      <c r="BM222">
        <f t="shared" si="58"/>
        <v>0</v>
      </c>
      <c r="BN222" t="str">
        <f t="shared" si="49"/>
        <v>u=40%, k=2x10^6</v>
      </c>
      <c r="BO222" t="str">
        <f t="shared" si="50"/>
        <v>u=40%, k=2x10^6, sequential</v>
      </c>
      <c r="BP222">
        <f t="shared" si="59"/>
        <v>1.0532404652526315</v>
      </c>
      <c r="BQ222">
        <f t="shared" si="61"/>
        <v>47.618551281694742</v>
      </c>
      <c r="BR222">
        <f t="shared" si="62"/>
        <v>0.62648984674736841</v>
      </c>
      <c r="BS222">
        <f t="shared" si="63"/>
        <v>5.6642918323526317</v>
      </c>
      <c r="BT222">
        <f t="shared" si="64"/>
        <v>0.15474825037894738</v>
      </c>
      <c r="BU222">
        <f t="shared" si="60"/>
        <v>4.746121663526317</v>
      </c>
    </row>
    <row r="223" spans="1:73">
      <c r="A223" t="s">
        <v>319</v>
      </c>
      <c r="B223" t="s">
        <v>136</v>
      </c>
      <c r="C223">
        <v>72</v>
      </c>
      <c r="D223" t="s">
        <v>56</v>
      </c>
      <c r="E223" t="s">
        <v>53</v>
      </c>
      <c r="F223" t="s">
        <v>54</v>
      </c>
      <c r="G223">
        <v>60000</v>
      </c>
      <c r="H223">
        <v>20</v>
      </c>
      <c r="I223">
        <v>20</v>
      </c>
      <c r="J223">
        <v>0</v>
      </c>
      <c r="K223">
        <v>1</v>
      </c>
      <c r="L223">
        <v>20000000</v>
      </c>
      <c r="M223">
        <v>24</v>
      </c>
      <c r="N223">
        <v>24</v>
      </c>
      <c r="O223">
        <v>24</v>
      </c>
      <c r="P223">
        <v>0</v>
      </c>
      <c r="Q223" t="s">
        <v>55</v>
      </c>
      <c r="R223">
        <v>99956217637499</v>
      </c>
      <c r="S223">
        <v>9997966</v>
      </c>
      <c r="T223">
        <v>99956217637499</v>
      </c>
      <c r="U223">
        <v>9997966</v>
      </c>
      <c r="V223" t="s">
        <v>63</v>
      </c>
      <c r="W223">
        <v>7</v>
      </c>
      <c r="X223">
        <v>1874392</v>
      </c>
      <c r="Y223">
        <v>11957566</v>
      </c>
      <c r="Z223">
        <v>13831958</v>
      </c>
      <c r="AA223">
        <v>9997966</v>
      </c>
      <c r="AB223">
        <v>7.3794399999999998</v>
      </c>
      <c r="AC223">
        <v>0.83611999999999997</v>
      </c>
      <c r="AD223">
        <v>4.04983</v>
      </c>
      <c r="AE223">
        <v>341286704</v>
      </c>
      <c r="AF223" t="s">
        <v>765</v>
      </c>
      <c r="AG223" t="s">
        <v>766</v>
      </c>
      <c r="AI223">
        <v>198300</v>
      </c>
      <c r="AJ223">
        <v>1436561391769</v>
      </c>
      <c r="AK223">
        <v>52281043734</v>
      </c>
      <c r="AL223">
        <v>817763672996</v>
      </c>
      <c r="AM223">
        <v>62700538263</v>
      </c>
      <c r="AN223">
        <v>54405094120</v>
      </c>
      <c r="AO223">
        <v>19594012421</v>
      </c>
      <c r="AP223">
        <v>310434075</v>
      </c>
      <c r="AQ223">
        <v>0</v>
      </c>
      <c r="AR223">
        <v>206922345</v>
      </c>
      <c r="AS223">
        <v>310434075</v>
      </c>
      <c r="AT223">
        <v>517356420</v>
      </c>
      <c r="AU223">
        <v>5173901</v>
      </c>
      <c r="AV223">
        <v>0</v>
      </c>
      <c r="AW223">
        <v>3448705</v>
      </c>
      <c r="AX223">
        <v>5173901</v>
      </c>
      <c r="AY223">
        <v>8622607</v>
      </c>
      <c r="AZ223">
        <v>24.185400000000001</v>
      </c>
      <c r="BA223">
        <v>10.442</v>
      </c>
      <c r="BB223">
        <v>7656.53</v>
      </c>
      <c r="BC223">
        <v>1940.5</v>
      </c>
      <c r="BD223">
        <v>3995</v>
      </c>
      <c r="BE223">
        <v>155</v>
      </c>
      <c r="BF223">
        <f t="shared" si="51"/>
        <v>59.856724657041667</v>
      </c>
      <c r="BG223" s="31">
        <f t="shared" si="52"/>
        <v>41.947681730583334</v>
      </c>
      <c r="BH223">
        <f t="shared" si="53"/>
        <v>41</v>
      </c>
      <c r="BI223">
        <f t="shared" si="54"/>
        <v>114518</v>
      </c>
      <c r="BJ223">
        <f t="shared" si="55"/>
        <v>3286173</v>
      </c>
      <c r="BK223">
        <f t="shared" si="56"/>
        <v>30206483</v>
      </c>
      <c r="BL223">
        <f t="shared" si="57"/>
        <v>101520</v>
      </c>
      <c r="BM223">
        <f t="shared" si="58"/>
        <v>0</v>
      </c>
      <c r="BN223" t="str">
        <f t="shared" si="49"/>
        <v>u=40%, k=2x10^7</v>
      </c>
      <c r="BO223" t="str">
        <f t="shared" si="50"/>
        <v>u=40%, k=2x10^7, sequential</v>
      </c>
      <c r="BP223">
        <f t="shared" si="59"/>
        <v>2.1783768222500002</v>
      </c>
      <c r="BQ223">
        <f t="shared" si="61"/>
        <v>34.07348637483333</v>
      </c>
      <c r="BR223">
        <f t="shared" si="62"/>
        <v>2.6125224276250001</v>
      </c>
      <c r="BS223">
        <f t="shared" si="63"/>
        <v>2.2668789216666667</v>
      </c>
      <c r="BT223">
        <f t="shared" si="64"/>
        <v>0.81641718420833331</v>
      </c>
      <c r="BU223">
        <f t="shared" si="60"/>
        <v>17.909042926458334</v>
      </c>
    </row>
    <row r="224" spans="1:73">
      <c r="A224" t="s">
        <v>320</v>
      </c>
      <c r="B224" t="s">
        <v>136</v>
      </c>
      <c r="C224">
        <v>72</v>
      </c>
      <c r="D224" t="s">
        <v>56</v>
      </c>
      <c r="E224" t="s">
        <v>53</v>
      </c>
      <c r="F224" t="s">
        <v>54</v>
      </c>
      <c r="G224">
        <v>60000</v>
      </c>
      <c r="H224">
        <v>20</v>
      </c>
      <c r="I224">
        <v>20</v>
      </c>
      <c r="J224">
        <v>0</v>
      </c>
      <c r="K224">
        <v>1</v>
      </c>
      <c r="L224">
        <v>20000000</v>
      </c>
      <c r="M224">
        <v>48</v>
      </c>
      <c r="N224">
        <v>48</v>
      </c>
      <c r="O224">
        <v>48</v>
      </c>
      <c r="P224">
        <v>0</v>
      </c>
      <c r="Q224" t="s">
        <v>55</v>
      </c>
      <c r="R224">
        <v>99987160673720</v>
      </c>
      <c r="S224">
        <v>9999281</v>
      </c>
      <c r="T224">
        <v>99987160673720</v>
      </c>
      <c r="U224">
        <v>9999281</v>
      </c>
      <c r="V224" t="s">
        <v>63</v>
      </c>
      <c r="W224">
        <v>7</v>
      </c>
      <c r="X224">
        <v>1760955</v>
      </c>
      <c r="Y224">
        <v>11735642</v>
      </c>
      <c r="Z224">
        <v>13496597</v>
      </c>
      <c r="AA224">
        <v>9999281</v>
      </c>
      <c r="AB224">
        <v>7.6643600000000003</v>
      </c>
      <c r="AC224">
        <v>0.85204400000000002</v>
      </c>
      <c r="AD224">
        <v>4.0261300000000002</v>
      </c>
      <c r="AE224">
        <v>328669632</v>
      </c>
      <c r="AF224" t="s">
        <v>767</v>
      </c>
      <c r="AG224" t="s">
        <v>768</v>
      </c>
      <c r="AI224">
        <v>55392</v>
      </c>
      <c r="AJ224">
        <v>2873200517143</v>
      </c>
      <c r="AK224">
        <v>70011119796</v>
      </c>
      <c r="AL224">
        <v>2011401947279</v>
      </c>
      <c r="AM224">
        <v>87680567214</v>
      </c>
      <c r="AN224">
        <v>150758710529</v>
      </c>
      <c r="AO224">
        <v>26989430739</v>
      </c>
      <c r="AP224">
        <v>321835075</v>
      </c>
      <c r="AQ224">
        <v>0</v>
      </c>
      <c r="AR224">
        <v>214562376</v>
      </c>
      <c r="AS224">
        <v>321835075</v>
      </c>
      <c r="AT224">
        <v>536397451</v>
      </c>
      <c r="AU224">
        <v>5363917</v>
      </c>
      <c r="AV224">
        <v>0</v>
      </c>
      <c r="AW224">
        <v>3576039</v>
      </c>
      <c r="AX224">
        <v>5363917</v>
      </c>
      <c r="AY224">
        <v>8939957</v>
      </c>
      <c r="AZ224">
        <v>24.799199999999999</v>
      </c>
      <c r="BA224">
        <v>10.996600000000001</v>
      </c>
      <c r="BB224">
        <v>14572.4</v>
      </c>
      <c r="BC224">
        <v>2486.87</v>
      </c>
      <c r="BD224">
        <v>4378</v>
      </c>
      <c r="BE224">
        <v>172</v>
      </c>
      <c r="BF224">
        <f t="shared" si="51"/>
        <v>59.858344107145832</v>
      </c>
      <c r="BG224" s="31">
        <f t="shared" si="52"/>
        <v>48.892536990770829</v>
      </c>
      <c r="BH224">
        <f t="shared" si="53"/>
        <v>42</v>
      </c>
      <c r="BI224">
        <f t="shared" si="54"/>
        <v>131922</v>
      </c>
      <c r="BJ224">
        <f t="shared" si="55"/>
        <v>2919422</v>
      </c>
      <c r="BK224">
        <f t="shared" si="56"/>
        <v>30550579</v>
      </c>
      <c r="BL224">
        <f t="shared" si="57"/>
        <v>99664</v>
      </c>
      <c r="BM224">
        <f t="shared" si="58"/>
        <v>0</v>
      </c>
      <c r="BN224" t="str">
        <f t="shared" si="49"/>
        <v>u=40%, k=2x10^7</v>
      </c>
      <c r="BO224" t="str">
        <f t="shared" si="50"/>
        <v>u=40%, k=2x10^7, sequential</v>
      </c>
      <c r="BP224">
        <f t="shared" si="59"/>
        <v>1.45856499575</v>
      </c>
      <c r="BQ224">
        <f t="shared" si="61"/>
        <v>41.904207234979168</v>
      </c>
      <c r="BR224">
        <f t="shared" si="62"/>
        <v>1.8266784836250001</v>
      </c>
      <c r="BS224">
        <f t="shared" si="63"/>
        <v>3.1408064693541671</v>
      </c>
      <c r="BT224">
        <f t="shared" si="64"/>
        <v>0.56227980706250003</v>
      </c>
      <c r="BU224">
        <f t="shared" si="60"/>
        <v>10.96580711637499</v>
      </c>
    </row>
    <row r="225" spans="1:73">
      <c r="A225" t="s">
        <v>321</v>
      </c>
      <c r="B225" t="s">
        <v>136</v>
      </c>
      <c r="C225">
        <v>72</v>
      </c>
      <c r="D225" t="s">
        <v>56</v>
      </c>
      <c r="E225" t="s">
        <v>53</v>
      </c>
      <c r="F225" t="s">
        <v>54</v>
      </c>
      <c r="G225">
        <v>60000</v>
      </c>
      <c r="H225">
        <v>20</v>
      </c>
      <c r="I225">
        <v>20</v>
      </c>
      <c r="J225">
        <v>0</v>
      </c>
      <c r="K225">
        <v>1</v>
      </c>
      <c r="L225">
        <v>20000000</v>
      </c>
      <c r="M225">
        <v>96</v>
      </c>
      <c r="N225">
        <v>96</v>
      </c>
      <c r="O225">
        <v>96</v>
      </c>
      <c r="P225">
        <v>0</v>
      </c>
      <c r="Q225" t="s">
        <v>55</v>
      </c>
      <c r="R225">
        <v>100009686859012</v>
      </c>
      <c r="S225">
        <v>10001621</v>
      </c>
      <c r="T225">
        <v>100009686859012</v>
      </c>
      <c r="U225">
        <v>10001621</v>
      </c>
      <c r="V225" t="s">
        <v>63</v>
      </c>
      <c r="W225">
        <v>7</v>
      </c>
      <c r="X225">
        <v>1863329</v>
      </c>
      <c r="Y225">
        <v>11952067</v>
      </c>
      <c r="Z225">
        <v>13815396</v>
      </c>
      <c r="AA225">
        <v>10001621</v>
      </c>
      <c r="AB225">
        <v>7.4143600000000003</v>
      </c>
      <c r="AC225">
        <v>0.83681099999999997</v>
      </c>
      <c r="AD225">
        <v>4.0467700000000004</v>
      </c>
      <c r="AE225">
        <v>340341936</v>
      </c>
      <c r="AF225" t="s">
        <v>769</v>
      </c>
      <c r="AG225" t="s">
        <v>770</v>
      </c>
      <c r="AI225">
        <v>26342</v>
      </c>
      <c r="AJ225">
        <v>5747409095842</v>
      </c>
      <c r="AK225">
        <v>64330852930</v>
      </c>
      <c r="AL225">
        <v>4037676650955</v>
      </c>
      <c r="AM225">
        <v>85694667326</v>
      </c>
      <c r="AN225">
        <v>1012647747356</v>
      </c>
      <c r="AO225">
        <v>26074763227</v>
      </c>
      <c r="AP225">
        <v>290508162</v>
      </c>
      <c r="AQ225">
        <v>0</v>
      </c>
      <c r="AR225">
        <v>193665394</v>
      </c>
      <c r="AS225">
        <v>290508162</v>
      </c>
      <c r="AT225">
        <v>484173556</v>
      </c>
      <c r="AU225">
        <v>4841802</v>
      </c>
      <c r="AV225">
        <v>0</v>
      </c>
      <c r="AW225">
        <v>3227756</v>
      </c>
      <c r="AX225">
        <v>4841802</v>
      </c>
      <c r="AY225">
        <v>8069559</v>
      </c>
      <c r="AZ225">
        <v>25.5562</v>
      </c>
      <c r="BA225">
        <v>12.494199999999999</v>
      </c>
      <c r="BB225">
        <v>27916.3</v>
      </c>
      <c r="BC225">
        <v>2621.44</v>
      </c>
      <c r="BD225">
        <v>4629</v>
      </c>
      <c r="BE225">
        <v>214</v>
      </c>
      <c r="BF225">
        <f t="shared" si="51"/>
        <v>59.868844748354171</v>
      </c>
      <c r="BG225" s="31">
        <f t="shared" si="52"/>
        <v>54.441923768687502</v>
      </c>
      <c r="BH225">
        <f t="shared" si="53"/>
        <v>38</v>
      </c>
      <c r="BI225">
        <f t="shared" si="54"/>
        <v>120551</v>
      </c>
      <c r="BJ225">
        <f t="shared" si="55"/>
        <v>1783000</v>
      </c>
      <c r="BK225">
        <f t="shared" si="56"/>
        <v>26592851</v>
      </c>
      <c r="BL225">
        <f t="shared" si="57"/>
        <v>77699</v>
      </c>
      <c r="BM225">
        <f t="shared" si="58"/>
        <v>0</v>
      </c>
      <c r="BN225" t="str">
        <f t="shared" si="49"/>
        <v>u=40%, k=2x10^7</v>
      </c>
      <c r="BO225" t="str">
        <f t="shared" si="50"/>
        <v>u=40%, k=2x10^7, sequential</v>
      </c>
      <c r="BP225">
        <f t="shared" si="59"/>
        <v>0.67011305135416677</v>
      </c>
      <c r="BQ225">
        <f t="shared" si="61"/>
        <v>42.05913178078125</v>
      </c>
      <c r="BR225">
        <f t="shared" si="62"/>
        <v>0.89265278464583331</v>
      </c>
      <c r="BS225">
        <f t="shared" si="63"/>
        <v>10.548414034958332</v>
      </c>
      <c r="BT225">
        <f t="shared" si="64"/>
        <v>0.27161211694791665</v>
      </c>
      <c r="BU225">
        <f t="shared" si="60"/>
        <v>5.4269209796666757</v>
      </c>
    </row>
    <row r="226" spans="1:73">
      <c r="A226" t="s">
        <v>322</v>
      </c>
      <c r="B226" t="s">
        <v>136</v>
      </c>
      <c r="C226">
        <v>72</v>
      </c>
      <c r="D226" t="s">
        <v>56</v>
      </c>
      <c r="E226" t="s">
        <v>53</v>
      </c>
      <c r="F226" t="s">
        <v>54</v>
      </c>
      <c r="G226">
        <v>60000</v>
      </c>
      <c r="H226">
        <v>20</v>
      </c>
      <c r="I226">
        <v>20</v>
      </c>
      <c r="J226">
        <v>0</v>
      </c>
      <c r="K226">
        <v>1</v>
      </c>
      <c r="L226">
        <v>20000000</v>
      </c>
      <c r="M226">
        <v>144</v>
      </c>
      <c r="N226">
        <v>144</v>
      </c>
      <c r="O226">
        <v>144</v>
      </c>
      <c r="P226">
        <v>0</v>
      </c>
      <c r="Q226" t="s">
        <v>55</v>
      </c>
      <c r="R226">
        <v>100032977638341</v>
      </c>
      <c r="S226">
        <v>10004004</v>
      </c>
      <c r="T226">
        <v>100032977638341</v>
      </c>
      <c r="U226">
        <v>10004004</v>
      </c>
      <c r="V226" t="s">
        <v>63</v>
      </c>
      <c r="W226">
        <v>7</v>
      </c>
      <c r="X226">
        <v>1625822</v>
      </c>
      <c r="Y226">
        <v>11446413</v>
      </c>
      <c r="Z226">
        <v>13072235</v>
      </c>
      <c r="AA226">
        <v>10004004</v>
      </c>
      <c r="AB226">
        <v>8.0403900000000004</v>
      </c>
      <c r="AC226">
        <v>0.87398600000000004</v>
      </c>
      <c r="AD226">
        <v>4.0000099999999996</v>
      </c>
      <c r="AE226">
        <v>313208352</v>
      </c>
      <c r="AF226" t="s">
        <v>771</v>
      </c>
      <c r="AG226" t="s">
        <v>772</v>
      </c>
      <c r="AI226">
        <v>16160</v>
      </c>
      <c r="AJ226">
        <v>8712574099146</v>
      </c>
      <c r="AK226">
        <v>59829135896</v>
      </c>
      <c r="AL226">
        <v>6320651547173</v>
      </c>
      <c r="AM226">
        <v>80821458165</v>
      </c>
      <c r="AN226">
        <v>1714254812887</v>
      </c>
      <c r="AO226">
        <v>25857417838</v>
      </c>
      <c r="AP226">
        <v>277480800</v>
      </c>
      <c r="AQ226">
        <v>0</v>
      </c>
      <c r="AR226">
        <v>184980125</v>
      </c>
      <c r="AS226">
        <v>277480800</v>
      </c>
      <c r="AT226">
        <v>462460925</v>
      </c>
      <c r="AU226">
        <v>4624680</v>
      </c>
      <c r="AV226">
        <v>0</v>
      </c>
      <c r="AW226">
        <v>3083002</v>
      </c>
      <c r="AX226">
        <v>4624680</v>
      </c>
      <c r="AY226">
        <v>7707682</v>
      </c>
      <c r="AZ226">
        <v>25.8658</v>
      </c>
      <c r="BA226">
        <v>13.161799999999999</v>
      </c>
      <c r="BB226">
        <v>42500.6</v>
      </c>
      <c r="BC226">
        <v>2718.16</v>
      </c>
      <c r="BD226">
        <v>5126</v>
      </c>
      <c r="BE226">
        <v>302</v>
      </c>
      <c r="BF226">
        <f t="shared" si="51"/>
        <v>60.503986799625004</v>
      </c>
      <c r="BG226" s="31">
        <f t="shared" si="52"/>
        <v>56.954266471937494</v>
      </c>
      <c r="BH226">
        <f t="shared" si="53"/>
        <v>37</v>
      </c>
      <c r="BI226">
        <f t="shared" si="54"/>
        <v>117024</v>
      </c>
      <c r="BJ226">
        <f t="shared" si="55"/>
        <v>978793</v>
      </c>
      <c r="BK226">
        <f t="shared" si="56"/>
        <v>24753709</v>
      </c>
      <c r="BL226">
        <f t="shared" si="57"/>
        <v>62125</v>
      </c>
      <c r="BM226">
        <f t="shared" si="58"/>
        <v>0</v>
      </c>
      <c r="BN226" t="str">
        <f t="shared" si="49"/>
        <v>u=40%, k=2x10^7</v>
      </c>
      <c r="BO226" t="str">
        <f t="shared" si="50"/>
        <v>u=40%, k=2x10^7, sequential</v>
      </c>
      <c r="BP226">
        <f t="shared" si="59"/>
        <v>0.41548011038888888</v>
      </c>
      <c r="BQ226">
        <f t="shared" si="61"/>
        <v>43.89341352203472</v>
      </c>
      <c r="BR226">
        <f t="shared" si="62"/>
        <v>0.56126012614583332</v>
      </c>
      <c r="BS226">
        <f t="shared" si="63"/>
        <v>11.904547311715278</v>
      </c>
      <c r="BT226">
        <f t="shared" si="64"/>
        <v>0.17956540165277779</v>
      </c>
      <c r="BU226">
        <f t="shared" si="60"/>
        <v>3.5497203276875027</v>
      </c>
    </row>
    <row r="227" spans="1:73">
      <c r="A227" t="s">
        <v>323</v>
      </c>
      <c r="B227" t="s">
        <v>136</v>
      </c>
      <c r="C227">
        <v>72</v>
      </c>
      <c r="D227" t="s">
        <v>56</v>
      </c>
      <c r="E227" t="s">
        <v>53</v>
      </c>
      <c r="F227" t="s">
        <v>54</v>
      </c>
      <c r="G227">
        <v>60000</v>
      </c>
      <c r="H227">
        <v>20</v>
      </c>
      <c r="I227">
        <v>20</v>
      </c>
      <c r="J227">
        <v>0</v>
      </c>
      <c r="K227">
        <v>1</v>
      </c>
      <c r="L227">
        <v>20000000</v>
      </c>
      <c r="M227">
        <v>190</v>
      </c>
      <c r="N227">
        <v>190</v>
      </c>
      <c r="O227">
        <v>190</v>
      </c>
      <c r="P227">
        <v>0</v>
      </c>
      <c r="Q227" t="s">
        <v>55</v>
      </c>
      <c r="R227">
        <v>99929557558923</v>
      </c>
      <c r="S227">
        <v>9995279</v>
      </c>
      <c r="T227">
        <v>99929557558923</v>
      </c>
      <c r="U227">
        <v>9995279</v>
      </c>
      <c r="V227" t="s">
        <v>63</v>
      </c>
      <c r="W227">
        <v>7</v>
      </c>
      <c r="X227">
        <v>1625313</v>
      </c>
      <c r="Y227">
        <v>11437242</v>
      </c>
      <c r="Z227">
        <v>13062555</v>
      </c>
      <c r="AA227">
        <v>9995279</v>
      </c>
      <c r="AB227">
        <v>8.0369499999999992</v>
      </c>
      <c r="AC227">
        <v>0.87392400000000003</v>
      </c>
      <c r="AD227">
        <v>4.0000099999999996</v>
      </c>
      <c r="AE227">
        <v>313020896</v>
      </c>
      <c r="AF227" t="s">
        <v>773</v>
      </c>
      <c r="AG227" t="s">
        <v>774</v>
      </c>
      <c r="AI227">
        <v>11498</v>
      </c>
      <c r="AJ227">
        <v>11493815510774</v>
      </c>
      <c r="AK227">
        <v>59636092652</v>
      </c>
      <c r="AL227">
        <v>8384550793871</v>
      </c>
      <c r="AM227">
        <v>84549534747</v>
      </c>
      <c r="AN227">
        <v>2421151516219</v>
      </c>
      <c r="AO227">
        <v>26027203697</v>
      </c>
      <c r="AP227">
        <v>277403916</v>
      </c>
      <c r="AQ227">
        <v>0</v>
      </c>
      <c r="AR227">
        <v>184964323</v>
      </c>
      <c r="AS227">
        <v>277403916</v>
      </c>
      <c r="AT227">
        <v>462368239</v>
      </c>
      <c r="AU227">
        <v>4623398</v>
      </c>
      <c r="AV227">
        <v>0</v>
      </c>
      <c r="AW227">
        <v>3082738</v>
      </c>
      <c r="AX227">
        <v>4623398</v>
      </c>
      <c r="AY227">
        <v>7706137</v>
      </c>
      <c r="AZ227">
        <v>26.1739</v>
      </c>
      <c r="BA227">
        <v>13.689299999999999</v>
      </c>
      <c r="BB227">
        <v>54698.1</v>
      </c>
      <c r="BC227">
        <v>2836.86</v>
      </c>
      <c r="BD227">
        <v>5555</v>
      </c>
      <c r="BE227">
        <v>392</v>
      </c>
      <c r="BF227">
        <f t="shared" si="51"/>
        <v>60.493765846178952</v>
      </c>
      <c r="BG227" s="31">
        <f t="shared" si="52"/>
        <v>57.767974427294739</v>
      </c>
      <c r="BH227">
        <f t="shared" si="53"/>
        <v>37</v>
      </c>
      <c r="BI227">
        <f t="shared" si="54"/>
        <v>117025</v>
      </c>
      <c r="BJ227">
        <f t="shared" si="55"/>
        <v>988162</v>
      </c>
      <c r="BK227">
        <f t="shared" si="56"/>
        <v>24755647</v>
      </c>
      <c r="BL227">
        <f t="shared" si="57"/>
        <v>62274</v>
      </c>
      <c r="BM227">
        <f t="shared" si="58"/>
        <v>0</v>
      </c>
      <c r="BN227" t="str">
        <f t="shared" si="49"/>
        <v>u=40%, k=2x10^7</v>
      </c>
      <c r="BO227" t="str">
        <f t="shared" si="50"/>
        <v>u=40%, k=2x10^7, sequential</v>
      </c>
      <c r="BP227">
        <f t="shared" si="59"/>
        <v>0.31387417185263161</v>
      </c>
      <c r="BQ227">
        <f t="shared" si="61"/>
        <v>44.129214704584207</v>
      </c>
      <c r="BR227">
        <f t="shared" si="62"/>
        <v>0.44499755129999996</v>
      </c>
      <c r="BS227">
        <f t="shared" si="63"/>
        <v>12.742902716942105</v>
      </c>
      <c r="BT227">
        <f t="shared" si="64"/>
        <v>0.13698528261578949</v>
      </c>
      <c r="BU227">
        <f t="shared" si="60"/>
        <v>2.7257914188842207</v>
      </c>
    </row>
    <row r="228" spans="1:73">
      <c r="A228" t="s">
        <v>324</v>
      </c>
      <c r="B228" t="s">
        <v>136</v>
      </c>
      <c r="C228">
        <v>72</v>
      </c>
      <c r="D228" t="s">
        <v>56</v>
      </c>
      <c r="E228" t="s">
        <v>53</v>
      </c>
      <c r="F228" t="s">
        <v>54</v>
      </c>
      <c r="G228">
        <v>60000</v>
      </c>
      <c r="H228">
        <v>20</v>
      </c>
      <c r="I228">
        <v>20</v>
      </c>
      <c r="J228">
        <v>0</v>
      </c>
      <c r="K228">
        <v>1</v>
      </c>
      <c r="L228">
        <v>200000000</v>
      </c>
      <c r="M228">
        <v>24</v>
      </c>
      <c r="N228">
        <v>24</v>
      </c>
      <c r="O228">
        <v>24</v>
      </c>
      <c r="P228">
        <v>0</v>
      </c>
      <c r="Q228" t="s">
        <v>55</v>
      </c>
      <c r="R228">
        <v>1.00009320444993E+16</v>
      </c>
      <c r="S228">
        <v>100007642</v>
      </c>
      <c r="T228">
        <v>1.00009320444993E+16</v>
      </c>
      <c r="U228">
        <v>100007642</v>
      </c>
      <c r="V228" t="s">
        <v>63</v>
      </c>
      <c r="W228">
        <v>7</v>
      </c>
      <c r="X228">
        <v>14356118</v>
      </c>
      <c r="Y228">
        <v>116896817</v>
      </c>
      <c r="Z228">
        <v>131252935</v>
      </c>
      <c r="AA228">
        <v>100007642</v>
      </c>
      <c r="AB228">
        <v>9.1426499999999997</v>
      </c>
      <c r="AC228">
        <v>0.85552099999999998</v>
      </c>
      <c r="AD228">
        <v>4.0661199999999997</v>
      </c>
      <c r="AE228">
        <v>3022556608</v>
      </c>
      <c r="AF228" t="s">
        <v>775</v>
      </c>
      <c r="AG228" t="s">
        <v>776</v>
      </c>
      <c r="AI228">
        <v>192504</v>
      </c>
      <c r="AJ228">
        <v>1436561499760</v>
      </c>
      <c r="AK228">
        <v>41856670224</v>
      </c>
      <c r="AL228">
        <v>682624551583</v>
      </c>
      <c r="AM228">
        <v>53210088924</v>
      </c>
      <c r="AN228">
        <v>87020151481</v>
      </c>
      <c r="AO228">
        <v>16588924596</v>
      </c>
      <c r="AP228">
        <v>293735886</v>
      </c>
      <c r="AQ228">
        <v>0</v>
      </c>
      <c r="AR228">
        <v>195838515</v>
      </c>
      <c r="AS228">
        <v>293735886</v>
      </c>
      <c r="AT228">
        <v>489574401</v>
      </c>
      <c r="AU228">
        <v>4895598</v>
      </c>
      <c r="AV228">
        <v>0</v>
      </c>
      <c r="AW228">
        <v>3263975</v>
      </c>
      <c r="AX228">
        <v>4895598</v>
      </c>
      <c r="AY228">
        <v>8159573</v>
      </c>
      <c r="AZ228">
        <v>26.621200000000002</v>
      </c>
      <c r="BA228">
        <v>12.5215</v>
      </c>
      <c r="BB228">
        <v>7797.18</v>
      </c>
      <c r="BC228">
        <v>2685.65</v>
      </c>
      <c r="BD228">
        <v>12752</v>
      </c>
      <c r="BE228">
        <v>1532</v>
      </c>
      <c r="BF228">
        <f t="shared" si="51"/>
        <v>59.856729156666667</v>
      </c>
      <c r="BG228" s="31">
        <f t="shared" si="52"/>
        <v>36.720849450333333</v>
      </c>
      <c r="BH228">
        <f t="shared" si="53"/>
        <v>3</v>
      </c>
      <c r="BI228">
        <f t="shared" si="54"/>
        <v>19119</v>
      </c>
      <c r="BJ228">
        <f t="shared" si="55"/>
        <v>1855042</v>
      </c>
      <c r="BK228">
        <f t="shared" si="56"/>
        <v>16559100</v>
      </c>
      <c r="BL228">
        <f t="shared" si="57"/>
        <v>2723402</v>
      </c>
      <c r="BM228">
        <f t="shared" si="58"/>
        <v>0</v>
      </c>
      <c r="BN228" t="str">
        <f t="shared" si="49"/>
        <v>u=40%, k=2x10^8</v>
      </c>
      <c r="BO228" t="str">
        <f t="shared" si="50"/>
        <v>u=40%, k=2x10^8, sequential</v>
      </c>
      <c r="BP228">
        <f t="shared" si="59"/>
        <v>1.744027926</v>
      </c>
      <c r="BQ228">
        <f t="shared" si="61"/>
        <v>28.442689649291665</v>
      </c>
      <c r="BR228">
        <f t="shared" si="62"/>
        <v>2.2170870384999999</v>
      </c>
      <c r="BS228">
        <f t="shared" si="63"/>
        <v>3.6258396450416668</v>
      </c>
      <c r="BT228">
        <f t="shared" si="64"/>
        <v>0.69120519149999993</v>
      </c>
      <c r="BU228">
        <f t="shared" si="60"/>
        <v>23.135879706333334</v>
      </c>
    </row>
    <row r="229" spans="1:73">
      <c r="A229" t="s">
        <v>325</v>
      </c>
      <c r="B229" t="s">
        <v>136</v>
      </c>
      <c r="C229">
        <v>72</v>
      </c>
      <c r="D229" t="s">
        <v>56</v>
      </c>
      <c r="E229" t="s">
        <v>53</v>
      </c>
      <c r="F229" t="s">
        <v>54</v>
      </c>
      <c r="G229">
        <v>60000</v>
      </c>
      <c r="H229">
        <v>20</v>
      </c>
      <c r="I229">
        <v>20</v>
      </c>
      <c r="J229">
        <v>0</v>
      </c>
      <c r="K229">
        <v>1</v>
      </c>
      <c r="L229">
        <v>200000000</v>
      </c>
      <c r="M229">
        <v>48</v>
      </c>
      <c r="N229">
        <v>48</v>
      </c>
      <c r="O229">
        <v>48</v>
      </c>
      <c r="P229">
        <v>0</v>
      </c>
      <c r="Q229" t="s">
        <v>55</v>
      </c>
      <c r="R229">
        <v>9999064832660850</v>
      </c>
      <c r="S229">
        <v>99993930</v>
      </c>
      <c r="T229">
        <v>9999064832660850</v>
      </c>
      <c r="U229">
        <v>99993930</v>
      </c>
      <c r="V229" t="s">
        <v>63</v>
      </c>
      <c r="W229">
        <v>7</v>
      </c>
      <c r="X229">
        <v>11010013</v>
      </c>
      <c r="Y229">
        <v>109993950</v>
      </c>
      <c r="Z229">
        <v>121003963</v>
      </c>
      <c r="AA229">
        <v>99993930</v>
      </c>
      <c r="AB229">
        <v>10.990399999999999</v>
      </c>
      <c r="AC229">
        <v>0.90908599999999995</v>
      </c>
      <c r="AD229">
        <v>4</v>
      </c>
      <c r="AE229">
        <v>2640704224</v>
      </c>
      <c r="AF229" t="s">
        <v>777</v>
      </c>
      <c r="AG229" t="s">
        <v>778</v>
      </c>
      <c r="AI229">
        <v>54762</v>
      </c>
      <c r="AJ229">
        <v>3223542134416</v>
      </c>
      <c r="AK229">
        <v>74811427047</v>
      </c>
      <c r="AL229">
        <v>1970907045617</v>
      </c>
      <c r="AM229">
        <v>90534277622</v>
      </c>
      <c r="AN229">
        <v>417538366667</v>
      </c>
      <c r="AO229">
        <v>27178854852</v>
      </c>
      <c r="AP229">
        <v>299965430</v>
      </c>
      <c r="AQ229">
        <v>0</v>
      </c>
      <c r="AR229">
        <v>199997371</v>
      </c>
      <c r="AS229">
        <v>299965430</v>
      </c>
      <c r="AT229">
        <v>499962801</v>
      </c>
      <c r="AU229">
        <v>4999423</v>
      </c>
      <c r="AV229">
        <v>0</v>
      </c>
      <c r="AW229">
        <v>3333289</v>
      </c>
      <c r="AX229">
        <v>4999423</v>
      </c>
      <c r="AY229">
        <v>8332713</v>
      </c>
      <c r="AZ229">
        <v>29.690799999999999</v>
      </c>
      <c r="BA229">
        <v>13.6447</v>
      </c>
      <c r="BB229">
        <v>16416.400000000001</v>
      </c>
      <c r="BC229">
        <v>3459.83</v>
      </c>
      <c r="BD229">
        <v>13307</v>
      </c>
      <c r="BE229">
        <v>1287</v>
      </c>
      <c r="BF229">
        <f t="shared" ref="BF229:BF289" si="65">AJ229/1000000000/$N229</f>
        <v>67.157127800333328</v>
      </c>
      <c r="BG229" s="31">
        <f t="shared" ref="BG229:BG289" si="66">SUM(AK229:AO229)/1000000000/$N229</f>
        <v>53.770207745937505</v>
      </c>
      <c r="BH229">
        <f t="shared" si="53"/>
        <v>4</v>
      </c>
      <c r="BI229">
        <f t="shared" si="54"/>
        <v>34378</v>
      </c>
      <c r="BJ229">
        <f t="shared" si="55"/>
        <v>1879950</v>
      </c>
      <c r="BK229">
        <f t="shared" si="56"/>
        <v>16638302</v>
      </c>
      <c r="BL229">
        <f t="shared" si="57"/>
        <v>2739713</v>
      </c>
      <c r="BM229">
        <f t="shared" si="58"/>
        <v>0</v>
      </c>
      <c r="BN229" t="str">
        <f t="shared" ref="BN229:BN289" si="67">"u="&amp;(H229+I229)&amp;"%, k=2x10^"&amp;LOG10(L229/2)</f>
        <v>u=40%, k=2x10^8</v>
      </c>
      <c r="BO229" t="str">
        <f t="shared" ref="BO229:BO289" si="68">BN229&amp;", "&amp;IF(getFieldDelim(B229,"_",4)="enabled","collaborative","sequential")</f>
        <v>u=40%, k=2x10^8, sequential</v>
      </c>
      <c r="BP229">
        <f t="shared" ref="BP229:BP289" si="69">AK229/1000000000/$N229</f>
        <v>1.5585713968124999</v>
      </c>
      <c r="BQ229">
        <f t="shared" ref="BQ229:BQ289" si="70">AL229/1000000000/$N229</f>
        <v>41.060563450354167</v>
      </c>
      <c r="BR229">
        <f t="shared" ref="BR229:BR289" si="71">AM229/1000000000/$N229</f>
        <v>1.8861307837916668</v>
      </c>
      <c r="BS229">
        <f t="shared" ref="BS229:BS289" si="72">AN229/1000000000/$N229</f>
        <v>8.6987159722291665</v>
      </c>
      <c r="BT229">
        <f t="shared" ref="BT229:BT289" si="73">AO229/1000000000/$N229</f>
        <v>0.56622614275000005</v>
      </c>
      <c r="BU229">
        <f t="shared" ref="BU229:BU289" si="74">BF229-SUM(BP229:BT229)</f>
        <v>13.386920054395837</v>
      </c>
    </row>
    <row r="230" spans="1:73">
      <c r="A230" t="s">
        <v>326</v>
      </c>
      <c r="B230" t="s">
        <v>136</v>
      </c>
      <c r="C230">
        <v>72</v>
      </c>
      <c r="D230" t="s">
        <v>56</v>
      </c>
      <c r="E230" t="s">
        <v>53</v>
      </c>
      <c r="F230" t="s">
        <v>54</v>
      </c>
      <c r="G230">
        <v>60000</v>
      </c>
      <c r="H230">
        <v>20</v>
      </c>
      <c r="I230">
        <v>20</v>
      </c>
      <c r="J230">
        <v>0</v>
      </c>
      <c r="K230">
        <v>1</v>
      </c>
      <c r="L230">
        <v>200000000</v>
      </c>
      <c r="M230">
        <v>96</v>
      </c>
      <c r="N230">
        <v>96</v>
      </c>
      <c r="O230">
        <v>96</v>
      </c>
      <c r="P230">
        <v>0</v>
      </c>
      <c r="Q230" t="s">
        <v>55</v>
      </c>
      <c r="R230">
        <v>1.00000796614659E+16</v>
      </c>
      <c r="S230">
        <v>100000707</v>
      </c>
      <c r="T230">
        <v>1.00000796614659E+16</v>
      </c>
      <c r="U230">
        <v>100000707</v>
      </c>
      <c r="V230" t="s">
        <v>63</v>
      </c>
      <c r="W230">
        <v>7</v>
      </c>
      <c r="X230">
        <v>11011129</v>
      </c>
      <c r="Y230">
        <v>110001759</v>
      </c>
      <c r="Z230">
        <v>121012888</v>
      </c>
      <c r="AA230">
        <v>100000707</v>
      </c>
      <c r="AB230">
        <v>10.9901</v>
      </c>
      <c r="AC230">
        <v>0.90908299999999997</v>
      </c>
      <c r="AD230">
        <v>4</v>
      </c>
      <c r="AE230">
        <v>2640918448</v>
      </c>
      <c r="AF230" t="s">
        <v>779</v>
      </c>
      <c r="AG230" t="s">
        <v>780</v>
      </c>
      <c r="AI230">
        <v>28434</v>
      </c>
      <c r="AJ230">
        <v>6613105947496</v>
      </c>
      <c r="AK230">
        <v>76121165375</v>
      </c>
      <c r="AL230">
        <v>3716257620482</v>
      </c>
      <c r="AM230">
        <v>101265555588</v>
      </c>
      <c r="AN230">
        <v>2041701257086</v>
      </c>
      <c r="AO230">
        <v>26324769210</v>
      </c>
      <c r="AP230">
        <v>300000716</v>
      </c>
      <c r="AQ230">
        <v>0</v>
      </c>
      <c r="AR230">
        <v>200015828</v>
      </c>
      <c r="AS230">
        <v>300000716</v>
      </c>
      <c r="AT230">
        <v>500016544</v>
      </c>
      <c r="AU230">
        <v>5000011</v>
      </c>
      <c r="AV230">
        <v>0</v>
      </c>
      <c r="AW230">
        <v>3333597</v>
      </c>
      <c r="AX230">
        <v>5000011</v>
      </c>
      <c r="AY230">
        <v>8333609</v>
      </c>
      <c r="AZ230">
        <v>30.891999999999999</v>
      </c>
      <c r="BA230">
        <v>15.5067</v>
      </c>
      <c r="BB230">
        <v>26758.5</v>
      </c>
      <c r="BC230">
        <v>3362.36</v>
      </c>
      <c r="BD230">
        <v>13687</v>
      </c>
      <c r="BE230">
        <v>1137</v>
      </c>
      <c r="BF230">
        <f t="shared" si="65"/>
        <v>68.886520286416669</v>
      </c>
      <c r="BG230" s="31">
        <f t="shared" si="66"/>
        <v>62.100732997302082</v>
      </c>
      <c r="BH230">
        <f t="shared" si="53"/>
        <v>4</v>
      </c>
      <c r="BI230">
        <f t="shared" si="54"/>
        <v>39673</v>
      </c>
      <c r="BJ230">
        <f t="shared" si="55"/>
        <v>1578383</v>
      </c>
      <c r="BK230">
        <f t="shared" si="56"/>
        <v>15990440</v>
      </c>
      <c r="BL230">
        <f t="shared" si="57"/>
        <v>2689901</v>
      </c>
      <c r="BM230">
        <f t="shared" si="58"/>
        <v>0</v>
      </c>
      <c r="BN230" t="str">
        <f t="shared" si="67"/>
        <v>u=40%, k=2x10^8</v>
      </c>
      <c r="BO230" t="str">
        <f t="shared" si="68"/>
        <v>u=40%, k=2x10^8, sequential</v>
      </c>
      <c r="BP230">
        <f t="shared" si="69"/>
        <v>0.79292880598958337</v>
      </c>
      <c r="BQ230">
        <f t="shared" si="70"/>
        <v>38.711016880020836</v>
      </c>
      <c r="BR230">
        <f t="shared" si="71"/>
        <v>1.054849537375</v>
      </c>
      <c r="BS230">
        <f t="shared" si="72"/>
        <v>21.267721427979165</v>
      </c>
      <c r="BT230">
        <f t="shared" si="73"/>
        <v>0.27421634593749999</v>
      </c>
      <c r="BU230">
        <f t="shared" si="74"/>
        <v>6.7857872891145803</v>
      </c>
    </row>
    <row r="231" spans="1:73">
      <c r="A231" t="s">
        <v>327</v>
      </c>
      <c r="B231" t="s">
        <v>136</v>
      </c>
      <c r="C231">
        <v>72</v>
      </c>
      <c r="D231" t="s">
        <v>56</v>
      </c>
      <c r="E231" t="s">
        <v>53</v>
      </c>
      <c r="F231" t="s">
        <v>54</v>
      </c>
      <c r="G231">
        <v>60000</v>
      </c>
      <c r="H231">
        <v>20</v>
      </c>
      <c r="I231">
        <v>20</v>
      </c>
      <c r="J231">
        <v>0</v>
      </c>
      <c r="K231">
        <v>1</v>
      </c>
      <c r="L231">
        <v>200000000</v>
      </c>
      <c r="M231">
        <v>144</v>
      </c>
      <c r="N231">
        <v>144</v>
      </c>
      <c r="O231">
        <v>144</v>
      </c>
      <c r="P231">
        <v>0</v>
      </c>
      <c r="Q231" t="s">
        <v>55</v>
      </c>
      <c r="R231">
        <v>1.0001167818966E+16</v>
      </c>
      <c r="S231">
        <v>100004663</v>
      </c>
      <c r="T231">
        <v>1.0001167818966E+16</v>
      </c>
      <c r="U231">
        <v>100004663</v>
      </c>
      <c r="V231" t="s">
        <v>63</v>
      </c>
      <c r="W231">
        <v>7</v>
      </c>
      <c r="X231">
        <v>11997972</v>
      </c>
      <c r="Y231">
        <v>111970295</v>
      </c>
      <c r="Z231">
        <v>123968267</v>
      </c>
      <c r="AA231">
        <v>100004663</v>
      </c>
      <c r="AB231">
        <v>10.3324</v>
      </c>
      <c r="AC231">
        <v>0.89313600000000004</v>
      </c>
      <c r="AD231">
        <v>4.0187400000000002</v>
      </c>
      <c r="AE231">
        <v>2752064736</v>
      </c>
      <c r="AF231" t="s">
        <v>781</v>
      </c>
      <c r="AG231" t="s">
        <v>782</v>
      </c>
      <c r="AI231">
        <v>18454</v>
      </c>
      <c r="AJ231">
        <v>8709589686127</v>
      </c>
      <c r="AK231">
        <v>68036094215</v>
      </c>
      <c r="AL231">
        <v>4183243916420</v>
      </c>
      <c r="AM231">
        <v>99467082493</v>
      </c>
      <c r="AN231">
        <v>3677982643738</v>
      </c>
      <c r="AO231">
        <v>23173566762</v>
      </c>
      <c r="AP231">
        <v>295133717</v>
      </c>
      <c r="AQ231">
        <v>0</v>
      </c>
      <c r="AR231">
        <v>196752759</v>
      </c>
      <c r="AS231">
        <v>295133717</v>
      </c>
      <c r="AT231">
        <v>491886476</v>
      </c>
      <c r="AU231">
        <v>4918895</v>
      </c>
      <c r="AV231">
        <v>0</v>
      </c>
      <c r="AW231">
        <v>3279212</v>
      </c>
      <c r="AX231">
        <v>4918895</v>
      </c>
      <c r="AY231">
        <v>8198107</v>
      </c>
      <c r="AZ231">
        <v>30.505299999999998</v>
      </c>
      <c r="BA231">
        <v>15.849600000000001</v>
      </c>
      <c r="BB231">
        <v>29862.5</v>
      </c>
      <c r="BC231">
        <v>3262.33</v>
      </c>
      <c r="BD231">
        <v>17281</v>
      </c>
      <c r="BE231">
        <v>1076</v>
      </c>
      <c r="BF231">
        <f t="shared" si="65"/>
        <v>60.48326170921527</v>
      </c>
      <c r="BG231" s="31">
        <f t="shared" si="66"/>
        <v>55.915995164083334</v>
      </c>
      <c r="BH231">
        <f t="shared" si="53"/>
        <v>3</v>
      </c>
      <c r="BI231">
        <f t="shared" si="54"/>
        <v>38198</v>
      </c>
      <c r="BJ231">
        <f t="shared" si="55"/>
        <v>1395133</v>
      </c>
      <c r="BK231">
        <f t="shared" si="56"/>
        <v>15567669</v>
      </c>
      <c r="BL231">
        <f t="shared" si="57"/>
        <v>2645343</v>
      </c>
      <c r="BM231">
        <f t="shared" si="58"/>
        <v>0</v>
      </c>
      <c r="BN231" t="str">
        <f t="shared" si="67"/>
        <v>u=40%, k=2x10^8</v>
      </c>
      <c r="BO231" t="str">
        <f t="shared" si="68"/>
        <v>u=40%, k=2x10^8, sequential</v>
      </c>
      <c r="BP231">
        <f t="shared" si="69"/>
        <v>0.47247287649305558</v>
      </c>
      <c r="BQ231">
        <f t="shared" si="70"/>
        <v>29.050304975138886</v>
      </c>
      <c r="BR231">
        <f t="shared" si="71"/>
        <v>0.69074362842361114</v>
      </c>
      <c r="BS231">
        <f t="shared" si="72"/>
        <v>25.541546137069446</v>
      </c>
      <c r="BT231">
        <f t="shared" si="73"/>
        <v>0.16092754695833333</v>
      </c>
      <c r="BU231">
        <f t="shared" si="74"/>
        <v>4.5672665451319432</v>
      </c>
    </row>
    <row r="232" spans="1:73">
      <c r="A232" t="s">
        <v>328</v>
      </c>
      <c r="B232" t="s">
        <v>136</v>
      </c>
      <c r="C232">
        <v>72</v>
      </c>
      <c r="D232" t="s">
        <v>56</v>
      </c>
      <c r="E232" t="s">
        <v>53</v>
      </c>
      <c r="F232" t="s">
        <v>54</v>
      </c>
      <c r="G232">
        <v>60000</v>
      </c>
      <c r="H232">
        <v>20</v>
      </c>
      <c r="I232">
        <v>20</v>
      </c>
      <c r="J232">
        <v>0</v>
      </c>
      <c r="K232">
        <v>1</v>
      </c>
      <c r="L232">
        <v>200000000</v>
      </c>
      <c r="M232">
        <v>190</v>
      </c>
      <c r="N232">
        <v>190</v>
      </c>
      <c r="O232">
        <v>190</v>
      </c>
      <c r="P232">
        <v>0</v>
      </c>
      <c r="Q232" t="s">
        <v>55</v>
      </c>
      <c r="R232">
        <v>9999401162648810</v>
      </c>
      <c r="S232">
        <v>99988785</v>
      </c>
      <c r="T232">
        <v>9999401162648810</v>
      </c>
      <c r="U232">
        <v>99988785</v>
      </c>
      <c r="V232" t="s">
        <v>63</v>
      </c>
      <c r="W232">
        <v>7</v>
      </c>
      <c r="X232">
        <v>12229477</v>
      </c>
      <c r="Y232">
        <v>112448550</v>
      </c>
      <c r="Z232">
        <v>124678027</v>
      </c>
      <c r="AA232">
        <v>99988785</v>
      </c>
      <c r="AB232">
        <v>10.194900000000001</v>
      </c>
      <c r="AC232">
        <v>0.88919599999999999</v>
      </c>
      <c r="AD232">
        <v>4.0234399999999999</v>
      </c>
      <c r="AE232">
        <v>2778548848</v>
      </c>
      <c r="AF232" t="s">
        <v>783</v>
      </c>
      <c r="AG232" t="s">
        <v>784</v>
      </c>
      <c r="AI232">
        <v>15746</v>
      </c>
      <c r="AJ232">
        <v>11443147260213</v>
      </c>
      <c r="AK232">
        <v>65559815387</v>
      </c>
      <c r="AL232">
        <v>5477640600605</v>
      </c>
      <c r="AM232">
        <v>98441928052</v>
      </c>
      <c r="AN232">
        <v>5097906900727</v>
      </c>
      <c r="AO232">
        <v>22912469709</v>
      </c>
      <c r="AP232">
        <v>294318807</v>
      </c>
      <c r="AQ232">
        <v>0</v>
      </c>
      <c r="AR232">
        <v>196224515</v>
      </c>
      <c r="AS232">
        <v>294318807</v>
      </c>
      <c r="AT232">
        <v>490543322</v>
      </c>
      <c r="AU232">
        <v>4905313</v>
      </c>
      <c r="AV232">
        <v>0</v>
      </c>
      <c r="AW232">
        <v>3270408</v>
      </c>
      <c r="AX232">
        <v>4905313</v>
      </c>
      <c r="AY232">
        <v>8175722</v>
      </c>
      <c r="AZ232">
        <v>30.800999999999998</v>
      </c>
      <c r="BA232">
        <v>16.3094</v>
      </c>
      <c r="BB232">
        <v>36937.800000000003</v>
      </c>
      <c r="BC232">
        <v>3124.62</v>
      </c>
      <c r="BD232">
        <v>18622</v>
      </c>
      <c r="BE232">
        <v>1108</v>
      </c>
      <c r="BF232">
        <f t="shared" si="65"/>
        <v>60.227090843226314</v>
      </c>
      <c r="BG232" s="31">
        <f t="shared" si="66"/>
        <v>56.644535339368417</v>
      </c>
      <c r="BH232">
        <f t="shared" si="53"/>
        <v>3</v>
      </c>
      <c r="BI232">
        <f t="shared" si="54"/>
        <v>37294</v>
      </c>
      <c r="BJ232">
        <f t="shared" si="55"/>
        <v>1368743</v>
      </c>
      <c r="BK232">
        <f t="shared" si="56"/>
        <v>15503270</v>
      </c>
      <c r="BL232">
        <f t="shared" si="57"/>
        <v>2641274</v>
      </c>
      <c r="BM232">
        <f t="shared" si="58"/>
        <v>0</v>
      </c>
      <c r="BN232" t="str">
        <f t="shared" si="67"/>
        <v>u=40%, k=2x10^8</v>
      </c>
      <c r="BO232" t="str">
        <f t="shared" si="68"/>
        <v>u=40%, k=2x10^8, sequential</v>
      </c>
      <c r="BP232">
        <f t="shared" si="69"/>
        <v>0.34505165993157894</v>
      </c>
      <c r="BQ232">
        <f t="shared" si="70"/>
        <v>28.829687371605264</v>
      </c>
      <c r="BR232">
        <f t="shared" si="71"/>
        <v>0.51811541080000001</v>
      </c>
      <c r="BS232">
        <f t="shared" si="72"/>
        <v>26.831088951194737</v>
      </c>
      <c r="BT232">
        <f t="shared" si="73"/>
        <v>0.1205919458368421</v>
      </c>
      <c r="BU232">
        <f t="shared" si="74"/>
        <v>3.5825555038578898</v>
      </c>
    </row>
    <row r="233" spans="1:73">
      <c r="A233" t="s">
        <v>329</v>
      </c>
      <c r="B233" t="s">
        <v>136</v>
      </c>
      <c r="C233">
        <v>72</v>
      </c>
      <c r="D233" t="s">
        <v>56</v>
      </c>
      <c r="E233" t="s">
        <v>53</v>
      </c>
      <c r="F233" t="s">
        <v>54</v>
      </c>
      <c r="G233">
        <v>60000</v>
      </c>
      <c r="H233">
        <v>20</v>
      </c>
      <c r="I233">
        <v>20</v>
      </c>
      <c r="J233">
        <v>0</v>
      </c>
      <c r="K233">
        <v>1</v>
      </c>
      <c r="L233">
        <v>2000000000</v>
      </c>
      <c r="M233">
        <v>24</v>
      </c>
      <c r="N233">
        <v>24</v>
      </c>
      <c r="O233">
        <v>24</v>
      </c>
      <c r="P233">
        <v>0</v>
      </c>
      <c r="Q233" t="s">
        <v>55</v>
      </c>
      <c r="R233">
        <v>9.9998703035652698E+17</v>
      </c>
      <c r="S233">
        <v>1000006436</v>
      </c>
      <c r="T233">
        <v>9.9998703035652698E+17</v>
      </c>
      <c r="U233">
        <v>1000006436</v>
      </c>
      <c r="V233" t="s">
        <v>63</v>
      </c>
      <c r="W233">
        <v>7</v>
      </c>
      <c r="X233">
        <v>127924598</v>
      </c>
      <c r="Y233">
        <v>1170326839</v>
      </c>
      <c r="Z233">
        <v>1298251437</v>
      </c>
      <c r="AA233">
        <v>1000006436</v>
      </c>
      <c r="AB233">
        <v>10.1486</v>
      </c>
      <c r="AC233">
        <v>0.85446800000000001</v>
      </c>
      <c r="AD233">
        <v>4.0927499999999997</v>
      </c>
      <c r="AE233">
        <v>29026353712</v>
      </c>
      <c r="AF233" t="s">
        <v>785</v>
      </c>
      <c r="AG233" t="s">
        <v>786</v>
      </c>
      <c r="AI233">
        <v>332812</v>
      </c>
      <c r="AJ233">
        <v>1436561587159</v>
      </c>
      <c r="AK233">
        <v>17448741044</v>
      </c>
      <c r="AL233">
        <v>38878</v>
      </c>
      <c r="AM233">
        <v>20523237945</v>
      </c>
      <c r="AN233">
        <v>21441411828</v>
      </c>
      <c r="AO233">
        <v>3782280290</v>
      </c>
      <c r="AP233">
        <v>540485176</v>
      </c>
      <c r="AQ233">
        <v>0</v>
      </c>
      <c r="AR233">
        <v>360318118</v>
      </c>
      <c r="AS233">
        <v>540485176</v>
      </c>
      <c r="AT233">
        <v>900803294</v>
      </c>
      <c r="AU233">
        <v>9008086</v>
      </c>
      <c r="AV233">
        <v>0</v>
      </c>
      <c r="AW233">
        <v>6005301</v>
      </c>
      <c r="AX233">
        <v>9008086</v>
      </c>
      <c r="AY233">
        <v>15013388</v>
      </c>
      <c r="AZ233">
        <v>26.130299999999998</v>
      </c>
      <c r="BA233">
        <v>15.374599999999999</v>
      </c>
      <c r="BB233">
        <v>4431.59</v>
      </c>
      <c r="BC233">
        <v>3507.51</v>
      </c>
      <c r="BD233">
        <v>62809</v>
      </c>
      <c r="BE233">
        <v>16385</v>
      </c>
      <c r="BF233">
        <f t="shared" si="65"/>
        <v>59.856732798291667</v>
      </c>
      <c r="BG233" s="31">
        <f t="shared" si="66"/>
        <v>2.6331545827083334</v>
      </c>
      <c r="BH233">
        <f t="shared" si="53"/>
        <v>0</v>
      </c>
      <c r="BI233">
        <f t="shared" si="54"/>
        <v>0</v>
      </c>
      <c r="BJ233">
        <f t="shared" si="55"/>
        <v>123019</v>
      </c>
      <c r="BK233">
        <f t="shared" si="56"/>
        <v>21294103</v>
      </c>
      <c r="BL233">
        <f t="shared" si="57"/>
        <v>7005028</v>
      </c>
      <c r="BM233">
        <f t="shared" si="58"/>
        <v>0</v>
      </c>
      <c r="BN233" t="str">
        <f t="shared" si="67"/>
        <v>u=40%, k=2x10^9</v>
      </c>
      <c r="BO233" t="str">
        <f t="shared" si="68"/>
        <v>u=40%, k=2x10^9, sequential</v>
      </c>
      <c r="BP233">
        <f t="shared" si="69"/>
        <v>0.72703087683333323</v>
      </c>
      <c r="BQ233">
        <f t="shared" si="70"/>
        <v>1.6199166666666669E-6</v>
      </c>
      <c r="BR233">
        <f t="shared" si="71"/>
        <v>0.85513491437500011</v>
      </c>
      <c r="BS233">
        <f t="shared" si="72"/>
        <v>0.89339215949999995</v>
      </c>
      <c r="BT233">
        <f t="shared" si="73"/>
        <v>0.15759501208333335</v>
      </c>
      <c r="BU233">
        <f t="shared" si="74"/>
        <v>57.223578215583331</v>
      </c>
    </row>
    <row r="234" spans="1:73">
      <c r="A234" t="s">
        <v>330</v>
      </c>
      <c r="B234" t="s">
        <v>136</v>
      </c>
      <c r="C234">
        <v>72</v>
      </c>
      <c r="D234" t="s">
        <v>56</v>
      </c>
      <c r="E234" t="s">
        <v>53</v>
      </c>
      <c r="F234" t="s">
        <v>54</v>
      </c>
      <c r="G234">
        <v>60000</v>
      </c>
      <c r="H234">
        <v>20</v>
      </c>
      <c r="I234">
        <v>20</v>
      </c>
      <c r="J234">
        <v>0</v>
      </c>
      <c r="K234">
        <v>1</v>
      </c>
      <c r="L234">
        <v>2000000000</v>
      </c>
      <c r="M234">
        <v>96</v>
      </c>
      <c r="N234">
        <v>96</v>
      </c>
      <c r="O234">
        <v>96</v>
      </c>
      <c r="P234">
        <v>0</v>
      </c>
      <c r="Q234" t="s">
        <v>55</v>
      </c>
      <c r="R234">
        <v>9.9997242203762406E+17</v>
      </c>
      <c r="S234">
        <v>999979829</v>
      </c>
      <c r="T234">
        <v>9.9997242203762406E+17</v>
      </c>
      <c r="U234">
        <v>999979829</v>
      </c>
      <c r="V234" t="s">
        <v>63</v>
      </c>
      <c r="W234">
        <v>7</v>
      </c>
      <c r="X234">
        <v>84465061</v>
      </c>
      <c r="Y234">
        <v>1078784391</v>
      </c>
      <c r="Z234">
        <v>1163249452</v>
      </c>
      <c r="AA234">
        <v>999979829</v>
      </c>
      <c r="AB234">
        <v>13.772</v>
      </c>
      <c r="AC234">
        <v>0.92695099999999997</v>
      </c>
      <c r="AD234">
        <v>4</v>
      </c>
      <c r="AE234">
        <v>24017755120</v>
      </c>
      <c r="AF234" t="s">
        <v>787</v>
      </c>
      <c r="AG234" t="s">
        <v>788</v>
      </c>
      <c r="AI234">
        <v>28278</v>
      </c>
      <c r="AJ234">
        <v>9400301816456</v>
      </c>
      <c r="AK234">
        <v>171749872904</v>
      </c>
      <c r="AL234">
        <v>6641085578270</v>
      </c>
      <c r="AM234">
        <v>369198214901</v>
      </c>
      <c r="AN234">
        <v>128475243818</v>
      </c>
      <c r="AO234">
        <v>78760303218</v>
      </c>
      <c r="AP234">
        <v>750028312</v>
      </c>
      <c r="AQ234">
        <v>0</v>
      </c>
      <c r="AR234">
        <v>500037433</v>
      </c>
      <c r="AS234">
        <v>750028312</v>
      </c>
      <c r="AT234">
        <v>1250065745</v>
      </c>
      <c r="AU234">
        <v>12500471</v>
      </c>
      <c r="AV234">
        <v>0</v>
      </c>
      <c r="AW234">
        <v>8333957</v>
      </c>
      <c r="AX234">
        <v>12500471</v>
      </c>
      <c r="AY234">
        <v>20834429</v>
      </c>
      <c r="AZ234">
        <v>32.338500000000003</v>
      </c>
      <c r="BA234">
        <v>20.093800000000002</v>
      </c>
      <c r="BB234">
        <v>20542.8</v>
      </c>
      <c r="BC234">
        <v>4452.75</v>
      </c>
      <c r="BD234">
        <v>89213</v>
      </c>
      <c r="BE234">
        <v>9862</v>
      </c>
      <c r="BF234">
        <f t="shared" si="65"/>
        <v>97.919810588083337</v>
      </c>
      <c r="BG234" s="31">
        <f t="shared" si="66"/>
        <v>76.971554303239586</v>
      </c>
      <c r="BH234">
        <f t="shared" si="53"/>
        <v>1</v>
      </c>
      <c r="BI234">
        <f t="shared" si="54"/>
        <v>30919</v>
      </c>
      <c r="BJ234">
        <f t="shared" si="55"/>
        <v>2314115</v>
      </c>
      <c r="BK234">
        <f t="shared" si="56"/>
        <v>33881921</v>
      </c>
      <c r="BL234">
        <f t="shared" si="57"/>
        <v>9507223</v>
      </c>
      <c r="BM234">
        <f t="shared" si="58"/>
        <v>0</v>
      </c>
      <c r="BN234" t="str">
        <f t="shared" si="67"/>
        <v>u=40%, k=2x10^9</v>
      </c>
      <c r="BO234" t="str">
        <f t="shared" si="68"/>
        <v>u=40%, k=2x10^9, sequential</v>
      </c>
      <c r="BP234">
        <f t="shared" si="69"/>
        <v>1.7890611760833333</v>
      </c>
      <c r="BQ234">
        <f t="shared" si="70"/>
        <v>69.177974773645829</v>
      </c>
      <c r="BR234">
        <f t="shared" si="71"/>
        <v>3.8458147385520829</v>
      </c>
      <c r="BS234">
        <f t="shared" si="72"/>
        <v>1.3382837897708333</v>
      </c>
      <c r="BT234">
        <f t="shared" si="73"/>
        <v>0.82041982518750001</v>
      </c>
      <c r="BU234">
        <f t="shared" si="74"/>
        <v>20.948256284843765</v>
      </c>
    </row>
    <row r="235" spans="1:73">
      <c r="A235" t="s">
        <v>331</v>
      </c>
      <c r="B235" t="s">
        <v>136</v>
      </c>
      <c r="C235">
        <v>72</v>
      </c>
      <c r="D235" t="s">
        <v>56</v>
      </c>
      <c r="E235" t="s">
        <v>53</v>
      </c>
      <c r="F235" t="s">
        <v>54</v>
      </c>
      <c r="G235">
        <v>60000</v>
      </c>
      <c r="H235">
        <v>20</v>
      </c>
      <c r="I235">
        <v>20</v>
      </c>
      <c r="J235">
        <v>0</v>
      </c>
      <c r="K235">
        <v>1</v>
      </c>
      <c r="L235">
        <v>2000000000</v>
      </c>
      <c r="M235">
        <v>144</v>
      </c>
      <c r="N235">
        <v>144</v>
      </c>
      <c r="O235">
        <v>144</v>
      </c>
      <c r="P235">
        <v>0</v>
      </c>
      <c r="Q235" t="s">
        <v>55</v>
      </c>
      <c r="R235">
        <v>9.9998170114832E+17</v>
      </c>
      <c r="S235">
        <v>999985953</v>
      </c>
      <c r="T235">
        <v>9.9998170114832E+17</v>
      </c>
      <c r="U235">
        <v>999985953</v>
      </c>
      <c r="V235" t="s">
        <v>63</v>
      </c>
      <c r="W235">
        <v>7</v>
      </c>
      <c r="X235">
        <v>84465076</v>
      </c>
      <c r="Y235">
        <v>1078790544</v>
      </c>
      <c r="Z235">
        <v>1163255620</v>
      </c>
      <c r="AA235">
        <v>999985953</v>
      </c>
      <c r="AB235">
        <v>13.772</v>
      </c>
      <c r="AC235">
        <v>0.92695099999999997</v>
      </c>
      <c r="AD235">
        <v>4</v>
      </c>
      <c r="AE235">
        <v>24017854768</v>
      </c>
      <c r="AF235" t="s">
        <v>789</v>
      </c>
      <c r="AG235" t="s">
        <v>790</v>
      </c>
      <c r="AI235">
        <v>12740</v>
      </c>
      <c r="AJ235">
        <v>12611717797306</v>
      </c>
      <c r="AK235">
        <v>173363841591</v>
      </c>
      <c r="AL235">
        <v>9951392126321</v>
      </c>
      <c r="AM235">
        <v>218356401196</v>
      </c>
      <c r="AN235">
        <v>143144225543</v>
      </c>
      <c r="AO235">
        <v>78049821949</v>
      </c>
      <c r="AP235">
        <v>750063904</v>
      </c>
      <c r="AQ235">
        <v>0</v>
      </c>
      <c r="AR235">
        <v>500030955</v>
      </c>
      <c r="AS235">
        <v>750063904</v>
      </c>
      <c r="AT235">
        <v>1250094859</v>
      </c>
      <c r="AU235">
        <v>12501065</v>
      </c>
      <c r="AV235">
        <v>0</v>
      </c>
      <c r="AW235">
        <v>8333849</v>
      </c>
      <c r="AX235">
        <v>12501065</v>
      </c>
      <c r="AY235">
        <v>20834914</v>
      </c>
      <c r="AZ235">
        <v>32.459000000000003</v>
      </c>
      <c r="BA235">
        <v>20.531500000000001</v>
      </c>
      <c r="BB235">
        <v>28037.8</v>
      </c>
      <c r="BC235">
        <v>4543.93</v>
      </c>
      <c r="BD235">
        <v>121334</v>
      </c>
      <c r="BE235">
        <v>9267</v>
      </c>
      <c r="BF235">
        <f t="shared" si="65"/>
        <v>87.581373592402784</v>
      </c>
      <c r="BG235" s="31">
        <f t="shared" si="66"/>
        <v>73.363239004166672</v>
      </c>
      <c r="BH235">
        <f t="shared" si="53"/>
        <v>1</v>
      </c>
      <c r="BI235">
        <f t="shared" si="54"/>
        <v>31574</v>
      </c>
      <c r="BJ235">
        <f t="shared" si="55"/>
        <v>2161862</v>
      </c>
      <c r="BK235">
        <f t="shared" si="56"/>
        <v>33497659</v>
      </c>
      <c r="BL235">
        <f t="shared" si="57"/>
        <v>9437934</v>
      </c>
      <c r="BM235">
        <f t="shared" si="58"/>
        <v>0</v>
      </c>
      <c r="BN235" t="str">
        <f t="shared" si="67"/>
        <v>u=40%, k=2x10^9</v>
      </c>
      <c r="BO235" t="str">
        <f t="shared" si="68"/>
        <v>u=40%, k=2x10^9, sequential</v>
      </c>
      <c r="BP235">
        <f t="shared" si="69"/>
        <v>1.2039155666041668</v>
      </c>
      <c r="BQ235">
        <f t="shared" si="70"/>
        <v>69.106889766118059</v>
      </c>
      <c r="BR235">
        <f t="shared" si="71"/>
        <v>1.5163638971944444</v>
      </c>
      <c r="BS235">
        <f t="shared" si="72"/>
        <v>0.99405712182638895</v>
      </c>
      <c r="BT235">
        <f t="shared" si="73"/>
        <v>0.54201265242361119</v>
      </c>
      <c r="BU235">
        <f t="shared" si="74"/>
        <v>14.218134588236126</v>
      </c>
    </row>
    <row r="236" spans="1:73">
      <c r="A236" t="s">
        <v>332</v>
      </c>
      <c r="B236" t="s">
        <v>136</v>
      </c>
      <c r="C236">
        <v>72</v>
      </c>
      <c r="D236" t="s">
        <v>56</v>
      </c>
      <c r="E236" t="s">
        <v>53</v>
      </c>
      <c r="F236" t="s">
        <v>54</v>
      </c>
      <c r="G236">
        <v>60000</v>
      </c>
      <c r="H236">
        <v>20</v>
      </c>
      <c r="I236">
        <v>20</v>
      </c>
      <c r="J236">
        <v>0</v>
      </c>
      <c r="K236">
        <v>1</v>
      </c>
      <c r="L236">
        <v>2000000000</v>
      </c>
      <c r="M236">
        <v>190</v>
      </c>
      <c r="N236">
        <v>190</v>
      </c>
      <c r="O236">
        <v>190</v>
      </c>
      <c r="P236">
        <v>0</v>
      </c>
      <c r="Q236" t="s">
        <v>55</v>
      </c>
      <c r="R236">
        <v>1.00001008700942E+18</v>
      </c>
      <c r="S236">
        <v>1000006169</v>
      </c>
      <c r="T236">
        <v>1.00001008700942E+18</v>
      </c>
      <c r="U236">
        <v>1000006169</v>
      </c>
      <c r="V236" t="s">
        <v>63</v>
      </c>
      <c r="W236">
        <v>7</v>
      </c>
      <c r="X236">
        <v>84465084</v>
      </c>
      <c r="Y236">
        <v>1078810788</v>
      </c>
      <c r="Z236">
        <v>1163275872</v>
      </c>
      <c r="AA236">
        <v>1000006169</v>
      </c>
      <c r="AB236">
        <v>13.7723</v>
      </c>
      <c r="AC236">
        <v>0.926952</v>
      </c>
      <c r="AD236">
        <v>4</v>
      </c>
      <c r="AE236">
        <v>24018179312</v>
      </c>
      <c r="AF236" t="s">
        <v>791</v>
      </c>
      <c r="AG236" t="s">
        <v>792</v>
      </c>
      <c r="AI236">
        <v>7690</v>
      </c>
      <c r="AJ236">
        <v>15999557996427</v>
      </c>
      <c r="AK236">
        <v>177633739397</v>
      </c>
      <c r="AL236">
        <v>13248504904157</v>
      </c>
      <c r="AM236">
        <v>231853260072</v>
      </c>
      <c r="AN236">
        <v>164162724340</v>
      </c>
      <c r="AO236">
        <v>77606169819</v>
      </c>
      <c r="AP236">
        <v>749982580</v>
      </c>
      <c r="AQ236">
        <v>0</v>
      </c>
      <c r="AR236">
        <v>500015966</v>
      </c>
      <c r="AS236">
        <v>749982580</v>
      </c>
      <c r="AT236">
        <v>1249998546</v>
      </c>
      <c r="AU236">
        <v>12499709</v>
      </c>
      <c r="AV236">
        <v>0</v>
      </c>
      <c r="AW236">
        <v>8333599</v>
      </c>
      <c r="AX236">
        <v>12499709</v>
      </c>
      <c r="AY236">
        <v>20833309</v>
      </c>
      <c r="AZ236">
        <v>32.7151</v>
      </c>
      <c r="BA236">
        <v>20.827200000000001</v>
      </c>
      <c r="BB236">
        <v>35580.400000000001</v>
      </c>
      <c r="BC236">
        <v>4683.6499999999996</v>
      </c>
      <c r="BD236">
        <v>121928</v>
      </c>
      <c r="BE236">
        <v>9296</v>
      </c>
      <c r="BF236">
        <f t="shared" si="65"/>
        <v>84.208199981194738</v>
      </c>
      <c r="BG236" s="31">
        <f t="shared" si="66"/>
        <v>73.156635777815794</v>
      </c>
      <c r="BH236">
        <f t="shared" si="53"/>
        <v>1</v>
      </c>
      <c r="BI236">
        <f t="shared" si="54"/>
        <v>31573</v>
      </c>
      <c r="BJ236">
        <f t="shared" si="55"/>
        <v>2148775</v>
      </c>
      <c r="BK236">
        <f t="shared" si="56"/>
        <v>33458529</v>
      </c>
      <c r="BL236">
        <f t="shared" si="57"/>
        <v>9430882</v>
      </c>
      <c r="BM236">
        <f t="shared" si="58"/>
        <v>0</v>
      </c>
      <c r="BN236" t="str">
        <f t="shared" si="67"/>
        <v>u=40%, k=2x10^9</v>
      </c>
      <c r="BO236" t="str">
        <f t="shared" si="68"/>
        <v>u=40%, k=2x10^9, sequential</v>
      </c>
      <c r="BP236">
        <f t="shared" si="69"/>
        <v>0.93491441787894736</v>
      </c>
      <c r="BQ236">
        <f t="shared" si="70"/>
        <v>69.728973179773689</v>
      </c>
      <c r="BR236">
        <f t="shared" si="71"/>
        <v>1.220280316168421</v>
      </c>
      <c r="BS236">
        <f t="shared" si="72"/>
        <v>0.86401433863157906</v>
      </c>
      <c r="BT236">
        <f t="shared" si="73"/>
        <v>0.40845352536315788</v>
      </c>
      <c r="BU236">
        <f t="shared" si="74"/>
        <v>11.051564203378945</v>
      </c>
    </row>
    <row r="237" spans="1:73">
      <c r="A237" t="s">
        <v>793</v>
      </c>
      <c r="B237" t="s">
        <v>158</v>
      </c>
      <c r="C237">
        <v>72</v>
      </c>
      <c r="D237" t="s">
        <v>56</v>
      </c>
      <c r="E237" t="s">
        <v>53</v>
      </c>
      <c r="F237" t="s">
        <v>54</v>
      </c>
      <c r="G237">
        <v>60000</v>
      </c>
      <c r="H237">
        <v>0.5</v>
      </c>
      <c r="I237">
        <v>0.5</v>
      </c>
      <c r="J237">
        <v>0</v>
      </c>
      <c r="K237">
        <v>1</v>
      </c>
      <c r="L237">
        <v>2000000</v>
      </c>
      <c r="M237">
        <v>24</v>
      </c>
      <c r="N237">
        <v>24</v>
      </c>
      <c r="O237">
        <v>24</v>
      </c>
      <c r="P237">
        <v>0</v>
      </c>
      <c r="Q237" t="s">
        <v>55</v>
      </c>
      <c r="R237">
        <v>998956720870</v>
      </c>
      <c r="S237">
        <v>999039</v>
      </c>
      <c r="T237">
        <v>998956720870</v>
      </c>
      <c r="U237">
        <v>999039</v>
      </c>
      <c r="V237" t="s">
        <v>63</v>
      </c>
      <c r="W237">
        <v>6</v>
      </c>
      <c r="X237">
        <v>64230</v>
      </c>
      <c r="Y237">
        <v>1094634</v>
      </c>
      <c r="Z237">
        <v>1158864</v>
      </c>
      <c r="AA237">
        <v>999039</v>
      </c>
      <c r="AB237">
        <v>18.042400000000001</v>
      </c>
      <c r="AC237">
        <v>0.91266899999999995</v>
      </c>
      <c r="AD237">
        <v>3.06562</v>
      </c>
      <c r="AE237">
        <v>22685504</v>
      </c>
      <c r="AF237" t="s">
        <v>794</v>
      </c>
      <c r="AG237" t="s">
        <v>795</v>
      </c>
      <c r="AH237">
        <v>7856</v>
      </c>
      <c r="AI237">
        <v>1761710</v>
      </c>
      <c r="AJ237">
        <v>1436561616868</v>
      </c>
      <c r="AK237">
        <v>4203986384</v>
      </c>
      <c r="AL237">
        <v>38557453</v>
      </c>
      <c r="AM237">
        <v>5674174248</v>
      </c>
      <c r="AN237">
        <v>6677648299</v>
      </c>
      <c r="AO237">
        <v>2110895733</v>
      </c>
      <c r="AP237">
        <v>4715589865</v>
      </c>
      <c r="AQ237">
        <v>0</v>
      </c>
      <c r="AR237">
        <v>47628151</v>
      </c>
      <c r="AS237">
        <v>4715589865</v>
      </c>
      <c r="AT237">
        <v>4763218016</v>
      </c>
      <c r="AU237">
        <v>78593164</v>
      </c>
      <c r="AV237">
        <v>0</v>
      </c>
      <c r="AW237">
        <v>793802</v>
      </c>
      <c r="AX237">
        <v>78593164</v>
      </c>
      <c r="AY237">
        <v>79386966</v>
      </c>
      <c r="AZ237">
        <v>8.5346499999999992</v>
      </c>
      <c r="BA237">
        <v>0.10168000000000001</v>
      </c>
      <c r="BB237">
        <v>842.86800000000005</v>
      </c>
      <c r="BC237">
        <v>282.375</v>
      </c>
      <c r="BD237">
        <v>1187</v>
      </c>
      <c r="BE237">
        <v>27</v>
      </c>
      <c r="BF237">
        <f t="shared" si="65"/>
        <v>59.856734036166671</v>
      </c>
      <c r="BG237" s="31">
        <f t="shared" si="66"/>
        <v>0.77938592154166664</v>
      </c>
      <c r="BH237">
        <f t="shared" si="53"/>
        <v>95</v>
      </c>
      <c r="BI237">
        <f t="shared" si="54"/>
        <v>85300</v>
      </c>
      <c r="BJ237">
        <f t="shared" si="55"/>
        <v>1227436</v>
      </c>
      <c r="BK237">
        <f t="shared" si="56"/>
        <v>1375493</v>
      </c>
      <c r="BL237">
        <f t="shared" si="57"/>
        <v>0</v>
      </c>
      <c r="BM237">
        <f t="shared" si="58"/>
        <v>0</v>
      </c>
      <c r="BN237" t="str">
        <f t="shared" si="67"/>
        <v>u=1%, k=2x10^6</v>
      </c>
      <c r="BO237" t="str">
        <f t="shared" si="68"/>
        <v>u=1%, k=2x10^6, collaborative</v>
      </c>
      <c r="BP237">
        <f t="shared" si="69"/>
        <v>0.17516609933333335</v>
      </c>
      <c r="BQ237">
        <f t="shared" si="70"/>
        <v>1.6065605416666665E-3</v>
      </c>
      <c r="BR237">
        <f t="shared" si="71"/>
        <v>0.23642392700000001</v>
      </c>
      <c r="BS237">
        <f t="shared" si="72"/>
        <v>0.2782353457916667</v>
      </c>
      <c r="BT237">
        <f t="shared" si="73"/>
        <v>8.7953988875E-2</v>
      </c>
      <c r="BU237">
        <f t="shared" si="74"/>
        <v>59.077348114625003</v>
      </c>
    </row>
    <row r="238" spans="1:73">
      <c r="A238" t="s">
        <v>796</v>
      </c>
      <c r="B238" t="s">
        <v>158</v>
      </c>
      <c r="C238">
        <v>72</v>
      </c>
      <c r="D238" t="s">
        <v>56</v>
      </c>
      <c r="E238" t="s">
        <v>53</v>
      </c>
      <c r="F238" t="s">
        <v>54</v>
      </c>
      <c r="G238">
        <v>60000</v>
      </c>
      <c r="H238">
        <v>0.5</v>
      </c>
      <c r="I238">
        <v>0.5</v>
      </c>
      <c r="J238">
        <v>0</v>
      </c>
      <c r="K238">
        <v>1</v>
      </c>
      <c r="L238">
        <v>2000000</v>
      </c>
      <c r="M238">
        <v>48</v>
      </c>
      <c r="N238">
        <v>48</v>
      </c>
      <c r="O238">
        <v>48</v>
      </c>
      <c r="P238">
        <v>0</v>
      </c>
      <c r="Q238" t="s">
        <v>55</v>
      </c>
      <c r="R238">
        <v>999056192379</v>
      </c>
      <c r="S238">
        <v>999069</v>
      </c>
      <c r="T238">
        <v>999056192379</v>
      </c>
      <c r="U238">
        <v>999069</v>
      </c>
      <c r="V238" t="s">
        <v>63</v>
      </c>
      <c r="W238">
        <v>6</v>
      </c>
      <c r="X238">
        <v>82409</v>
      </c>
      <c r="Y238">
        <v>1134183</v>
      </c>
      <c r="Z238">
        <v>1216592</v>
      </c>
      <c r="AA238">
        <v>999069</v>
      </c>
      <c r="AB238">
        <v>14.7629</v>
      </c>
      <c r="AC238">
        <v>0.88087099999999996</v>
      </c>
      <c r="AD238">
        <v>3.1078899999999998</v>
      </c>
      <c r="AE238">
        <v>24839264</v>
      </c>
      <c r="AF238" t="s">
        <v>797</v>
      </c>
      <c r="AG238" t="s">
        <v>798</v>
      </c>
      <c r="AH238">
        <v>33885</v>
      </c>
      <c r="AI238">
        <v>665590</v>
      </c>
      <c r="AJ238">
        <v>2873123237381</v>
      </c>
      <c r="AK238">
        <v>10423744773</v>
      </c>
      <c r="AL238">
        <v>236907652</v>
      </c>
      <c r="AM238">
        <v>13734168298</v>
      </c>
      <c r="AN238">
        <v>12421933245</v>
      </c>
      <c r="AO238">
        <v>5214704022</v>
      </c>
      <c r="AP238">
        <v>7256765289</v>
      </c>
      <c r="AQ238">
        <v>0</v>
      </c>
      <c r="AR238">
        <v>73305498</v>
      </c>
      <c r="AS238">
        <v>7256765289</v>
      </c>
      <c r="AT238">
        <v>7330070787</v>
      </c>
      <c r="AU238">
        <v>120946088</v>
      </c>
      <c r="AV238">
        <v>0</v>
      </c>
      <c r="AW238">
        <v>1221758</v>
      </c>
      <c r="AX238">
        <v>120946088</v>
      </c>
      <c r="AY238">
        <v>122167846</v>
      </c>
      <c r="AZ238">
        <v>8.4623200000000001</v>
      </c>
      <c r="BA238">
        <v>0.10956299999999999</v>
      </c>
      <c r="BB238">
        <v>1088.1600000000001</v>
      </c>
      <c r="BC238">
        <v>392.58699999999999</v>
      </c>
      <c r="BD238">
        <v>1216</v>
      </c>
      <c r="BE238">
        <v>69</v>
      </c>
      <c r="BF238">
        <f t="shared" si="65"/>
        <v>59.856734112104164</v>
      </c>
      <c r="BG238" s="31">
        <f t="shared" si="66"/>
        <v>0.87565537479166666</v>
      </c>
      <c r="BH238">
        <f t="shared" si="53"/>
        <v>146</v>
      </c>
      <c r="BI238">
        <f t="shared" si="54"/>
        <v>144149</v>
      </c>
      <c r="BJ238">
        <f t="shared" si="55"/>
        <v>1371785</v>
      </c>
      <c r="BK238">
        <f t="shared" si="56"/>
        <v>1996309</v>
      </c>
      <c r="BL238">
        <f t="shared" si="57"/>
        <v>0</v>
      </c>
      <c r="BM238">
        <f t="shared" si="58"/>
        <v>0</v>
      </c>
      <c r="BN238" t="str">
        <f t="shared" si="67"/>
        <v>u=1%, k=2x10^6</v>
      </c>
      <c r="BO238" t="str">
        <f t="shared" si="68"/>
        <v>u=1%, k=2x10^6, collaborative</v>
      </c>
      <c r="BP238">
        <f t="shared" si="69"/>
        <v>0.21716134943749998</v>
      </c>
      <c r="BQ238">
        <f t="shared" si="70"/>
        <v>4.935576083333333E-3</v>
      </c>
      <c r="BR238">
        <f t="shared" si="71"/>
        <v>0.28612850620833336</v>
      </c>
      <c r="BS238">
        <f t="shared" si="72"/>
        <v>0.25879027593749998</v>
      </c>
      <c r="BT238">
        <f t="shared" si="73"/>
        <v>0.10863966712500001</v>
      </c>
      <c r="BU238">
        <f t="shared" si="74"/>
        <v>58.981078737312494</v>
      </c>
    </row>
    <row r="239" spans="1:73">
      <c r="A239" t="s">
        <v>799</v>
      </c>
      <c r="B239" t="s">
        <v>158</v>
      </c>
      <c r="C239">
        <v>72</v>
      </c>
      <c r="D239" t="s">
        <v>56</v>
      </c>
      <c r="E239" t="s">
        <v>53</v>
      </c>
      <c r="F239" t="s">
        <v>54</v>
      </c>
      <c r="G239">
        <v>60000</v>
      </c>
      <c r="H239">
        <v>0.5</v>
      </c>
      <c r="I239">
        <v>0.5</v>
      </c>
      <c r="J239">
        <v>0</v>
      </c>
      <c r="K239">
        <v>1</v>
      </c>
      <c r="L239">
        <v>2000000</v>
      </c>
      <c r="M239">
        <v>96</v>
      </c>
      <c r="N239">
        <v>96</v>
      </c>
      <c r="O239">
        <v>96</v>
      </c>
      <c r="P239">
        <v>0</v>
      </c>
      <c r="Q239" t="s">
        <v>55</v>
      </c>
      <c r="R239">
        <v>998689891484</v>
      </c>
      <c r="S239">
        <v>999653</v>
      </c>
      <c r="T239">
        <v>998689891484</v>
      </c>
      <c r="U239">
        <v>999653</v>
      </c>
      <c r="V239" t="s">
        <v>63</v>
      </c>
      <c r="W239">
        <v>6</v>
      </c>
      <c r="X239">
        <v>60364</v>
      </c>
      <c r="Y239">
        <v>1087467</v>
      </c>
      <c r="Z239">
        <v>1147831</v>
      </c>
      <c r="AA239">
        <v>999653</v>
      </c>
      <c r="AB239">
        <v>19.0152</v>
      </c>
      <c r="AC239">
        <v>0.91924899999999998</v>
      </c>
      <c r="AD239">
        <v>3.0571999999999999</v>
      </c>
      <c r="AE239">
        <v>22255488</v>
      </c>
      <c r="AF239" t="s">
        <v>800</v>
      </c>
      <c r="AG239" t="s">
        <v>801</v>
      </c>
      <c r="AH239">
        <v>169495</v>
      </c>
      <c r="AI239">
        <v>312656</v>
      </c>
      <c r="AJ239">
        <v>5746240546332</v>
      </c>
      <c r="AK239">
        <v>35615100994</v>
      </c>
      <c r="AL239">
        <v>1117619929</v>
      </c>
      <c r="AM239">
        <v>46974703182</v>
      </c>
      <c r="AN239">
        <v>31193948845</v>
      </c>
      <c r="AO239">
        <v>41350490689</v>
      </c>
      <c r="AP239">
        <v>13519184844</v>
      </c>
      <c r="AQ239">
        <v>0</v>
      </c>
      <c r="AR239">
        <v>136545507</v>
      </c>
      <c r="AS239">
        <v>13519184844</v>
      </c>
      <c r="AT239">
        <v>13655730351</v>
      </c>
      <c r="AU239">
        <v>225319747</v>
      </c>
      <c r="AV239">
        <v>0</v>
      </c>
      <c r="AW239">
        <v>2275758</v>
      </c>
      <c r="AX239">
        <v>225319747</v>
      </c>
      <c r="AY239">
        <v>227595505</v>
      </c>
      <c r="AZ239">
        <v>8.5190400000000004</v>
      </c>
      <c r="BA239">
        <v>0.249918</v>
      </c>
      <c r="BB239">
        <v>1169.94</v>
      </c>
      <c r="BC239">
        <v>447.57499999999999</v>
      </c>
      <c r="BD239">
        <v>1281</v>
      </c>
      <c r="BE239">
        <v>142</v>
      </c>
      <c r="BF239">
        <f t="shared" si="65"/>
        <v>59.856672357625001</v>
      </c>
      <c r="BG239" s="31">
        <f t="shared" si="66"/>
        <v>1.6276235795729166</v>
      </c>
      <c r="BH239">
        <f t="shared" si="53"/>
        <v>273</v>
      </c>
      <c r="BI239">
        <f t="shared" si="54"/>
        <v>427804</v>
      </c>
      <c r="BJ239">
        <f t="shared" si="55"/>
        <v>741232</v>
      </c>
      <c r="BK239">
        <f t="shared" si="56"/>
        <v>3150590</v>
      </c>
      <c r="BL239">
        <f t="shared" si="57"/>
        <v>0</v>
      </c>
      <c r="BM239">
        <f t="shared" si="58"/>
        <v>0</v>
      </c>
      <c r="BN239" t="str">
        <f t="shared" si="67"/>
        <v>u=1%, k=2x10^6</v>
      </c>
      <c r="BO239" t="str">
        <f t="shared" si="68"/>
        <v>u=1%, k=2x10^6, collaborative</v>
      </c>
      <c r="BP239">
        <f t="shared" si="69"/>
        <v>0.37099063535416671</v>
      </c>
      <c r="BQ239">
        <f t="shared" si="70"/>
        <v>1.1641874260416666E-2</v>
      </c>
      <c r="BR239">
        <f t="shared" si="71"/>
        <v>0.48931982481249997</v>
      </c>
      <c r="BS239">
        <f t="shared" si="72"/>
        <v>0.3249369671354167</v>
      </c>
      <c r="BT239">
        <f t="shared" si="73"/>
        <v>0.43073427801041664</v>
      </c>
      <c r="BU239">
        <f t="shared" si="74"/>
        <v>58.229048778052082</v>
      </c>
    </row>
    <row r="240" spans="1:73">
      <c r="A240" t="s">
        <v>802</v>
      </c>
      <c r="B240" t="s">
        <v>158</v>
      </c>
      <c r="C240">
        <v>72</v>
      </c>
      <c r="D240" t="s">
        <v>56</v>
      </c>
      <c r="E240" t="s">
        <v>53</v>
      </c>
      <c r="F240" t="s">
        <v>54</v>
      </c>
      <c r="G240">
        <v>60000</v>
      </c>
      <c r="H240">
        <v>0.5</v>
      </c>
      <c r="I240">
        <v>0.5</v>
      </c>
      <c r="J240">
        <v>0</v>
      </c>
      <c r="K240">
        <v>1</v>
      </c>
      <c r="L240">
        <v>2000000</v>
      </c>
      <c r="M240">
        <v>144</v>
      </c>
      <c r="N240">
        <v>144</v>
      </c>
      <c r="O240">
        <v>144</v>
      </c>
      <c r="P240">
        <v>0</v>
      </c>
      <c r="Q240" t="s">
        <v>55</v>
      </c>
      <c r="R240">
        <v>999686981912</v>
      </c>
      <c r="S240">
        <v>999940</v>
      </c>
      <c r="T240">
        <v>999686981912</v>
      </c>
      <c r="U240">
        <v>999940</v>
      </c>
      <c r="V240" t="s">
        <v>63</v>
      </c>
      <c r="W240">
        <v>6</v>
      </c>
      <c r="X240">
        <v>51655</v>
      </c>
      <c r="Y240">
        <v>1069674</v>
      </c>
      <c r="Z240">
        <v>1121329</v>
      </c>
      <c r="AA240">
        <v>999940</v>
      </c>
      <c r="AB240">
        <v>21.707999999999998</v>
      </c>
      <c r="AC240">
        <v>0.93480799999999997</v>
      </c>
      <c r="AD240">
        <v>3.0387200000000001</v>
      </c>
      <c r="AE240">
        <v>21262256</v>
      </c>
      <c r="AF240" t="s">
        <v>803</v>
      </c>
      <c r="AG240" t="s">
        <v>804</v>
      </c>
      <c r="AH240">
        <v>421689</v>
      </c>
      <c r="AI240">
        <v>198638</v>
      </c>
      <c r="AJ240">
        <v>8619359561131</v>
      </c>
      <c r="AK240">
        <v>69581019834</v>
      </c>
      <c r="AL240">
        <v>3353374596</v>
      </c>
      <c r="AM240">
        <v>102348145315</v>
      </c>
      <c r="AN240">
        <v>32781979141</v>
      </c>
      <c r="AO240">
        <v>122393721499</v>
      </c>
      <c r="AP240">
        <v>19168396680</v>
      </c>
      <c r="AQ240">
        <v>0</v>
      </c>
      <c r="AR240">
        <v>193614778</v>
      </c>
      <c r="AS240">
        <v>19168396680</v>
      </c>
      <c r="AT240">
        <v>19362011458</v>
      </c>
      <c r="AU240">
        <v>319473278</v>
      </c>
      <c r="AV240">
        <v>0</v>
      </c>
      <c r="AW240">
        <v>3226912</v>
      </c>
      <c r="AX240">
        <v>319473278</v>
      </c>
      <c r="AY240">
        <v>322700190</v>
      </c>
      <c r="AZ240">
        <v>8.6367100000000008</v>
      </c>
      <c r="BA240">
        <v>0.35739399999999999</v>
      </c>
      <c r="BB240">
        <v>1224.02</v>
      </c>
      <c r="BC240">
        <v>491.50700000000001</v>
      </c>
      <c r="BD240">
        <v>1370</v>
      </c>
      <c r="BE240">
        <v>249</v>
      </c>
      <c r="BF240">
        <f t="shared" si="65"/>
        <v>59.856663618965271</v>
      </c>
      <c r="BG240" s="31">
        <f t="shared" si="66"/>
        <v>2.2948488915625003</v>
      </c>
      <c r="BH240">
        <f t="shared" si="53"/>
        <v>387</v>
      </c>
      <c r="BI240">
        <f t="shared" si="54"/>
        <v>1128520</v>
      </c>
      <c r="BJ240">
        <f t="shared" si="55"/>
        <v>202517</v>
      </c>
      <c r="BK240">
        <f t="shared" si="56"/>
        <v>3144945</v>
      </c>
      <c r="BL240">
        <f t="shared" si="57"/>
        <v>0</v>
      </c>
      <c r="BM240">
        <f t="shared" si="58"/>
        <v>0</v>
      </c>
      <c r="BN240" t="str">
        <f t="shared" si="67"/>
        <v>u=1%, k=2x10^6</v>
      </c>
      <c r="BO240" t="str">
        <f t="shared" si="68"/>
        <v>u=1%, k=2x10^6, collaborative</v>
      </c>
      <c r="BP240">
        <f t="shared" si="69"/>
        <v>0.48320152662500004</v>
      </c>
      <c r="BQ240">
        <f t="shared" si="70"/>
        <v>2.3287323583333335E-2</v>
      </c>
      <c r="BR240">
        <f t="shared" si="71"/>
        <v>0.71075100913194444</v>
      </c>
      <c r="BS240">
        <f t="shared" si="72"/>
        <v>0.22765263292361113</v>
      </c>
      <c r="BT240">
        <f t="shared" si="73"/>
        <v>0.84995639929861111</v>
      </c>
      <c r="BU240">
        <f t="shared" si="74"/>
        <v>57.561814727402769</v>
      </c>
    </row>
    <row r="241" spans="1:73">
      <c r="A241" t="s">
        <v>805</v>
      </c>
      <c r="B241" t="s">
        <v>158</v>
      </c>
      <c r="C241">
        <v>72</v>
      </c>
      <c r="D241" t="s">
        <v>56</v>
      </c>
      <c r="E241" t="s">
        <v>53</v>
      </c>
      <c r="F241" t="s">
        <v>54</v>
      </c>
      <c r="G241">
        <v>60000</v>
      </c>
      <c r="H241">
        <v>0.5</v>
      </c>
      <c r="I241">
        <v>0.5</v>
      </c>
      <c r="J241">
        <v>0</v>
      </c>
      <c r="K241">
        <v>1</v>
      </c>
      <c r="L241">
        <v>2000000</v>
      </c>
      <c r="M241">
        <v>190</v>
      </c>
      <c r="N241">
        <v>190</v>
      </c>
      <c r="O241">
        <v>190</v>
      </c>
      <c r="P241">
        <v>0</v>
      </c>
      <c r="Q241" t="s">
        <v>55</v>
      </c>
      <c r="R241">
        <v>999990265294</v>
      </c>
      <c r="S241">
        <v>1000053</v>
      </c>
      <c r="T241">
        <v>999990265294</v>
      </c>
      <c r="U241">
        <v>1000053</v>
      </c>
      <c r="V241" t="s">
        <v>63</v>
      </c>
      <c r="W241">
        <v>6</v>
      </c>
      <c r="X241">
        <v>54554</v>
      </c>
      <c r="Y241">
        <v>1075952</v>
      </c>
      <c r="Z241">
        <v>1130506</v>
      </c>
      <c r="AA241">
        <v>1000053</v>
      </c>
      <c r="AB241">
        <v>20.7227</v>
      </c>
      <c r="AC241">
        <v>0.92945900000000004</v>
      </c>
      <c r="AD241">
        <v>3.0451100000000002</v>
      </c>
      <c r="AE241">
        <v>21602224</v>
      </c>
      <c r="AF241" t="s">
        <v>806</v>
      </c>
      <c r="AG241" t="s">
        <v>807</v>
      </c>
      <c r="AH241">
        <v>611690</v>
      </c>
      <c r="AI241">
        <v>168574</v>
      </c>
      <c r="AJ241">
        <v>11372767578153</v>
      </c>
      <c r="AK241">
        <v>84626303523</v>
      </c>
      <c r="AL241">
        <v>6335494886</v>
      </c>
      <c r="AM241">
        <v>147876551938</v>
      </c>
      <c r="AN241">
        <v>42851856181</v>
      </c>
      <c r="AO241">
        <v>236156762308</v>
      </c>
      <c r="AP241">
        <v>24025415244</v>
      </c>
      <c r="AQ241">
        <v>0</v>
      </c>
      <c r="AR241">
        <v>242669643</v>
      </c>
      <c r="AS241">
        <v>24025415244</v>
      </c>
      <c r="AT241">
        <v>24268084887</v>
      </c>
      <c r="AU241">
        <v>400423587</v>
      </c>
      <c r="AV241">
        <v>0</v>
      </c>
      <c r="AW241">
        <v>4044494</v>
      </c>
      <c r="AX241">
        <v>400423587</v>
      </c>
      <c r="AY241">
        <v>404468081</v>
      </c>
      <c r="AZ241">
        <v>8.7142700000000008</v>
      </c>
      <c r="BA241">
        <v>0.415854</v>
      </c>
      <c r="BB241">
        <v>1287.28</v>
      </c>
      <c r="BC241">
        <v>542.54600000000005</v>
      </c>
      <c r="BD241">
        <v>1434</v>
      </c>
      <c r="BE241">
        <v>277</v>
      </c>
      <c r="BF241">
        <f t="shared" si="65"/>
        <v>59.85667146396316</v>
      </c>
      <c r="BG241" s="31">
        <f t="shared" si="66"/>
        <v>2.7255103622947368</v>
      </c>
      <c r="BH241">
        <f t="shared" si="53"/>
        <v>485</v>
      </c>
      <c r="BI241">
        <f t="shared" si="54"/>
        <v>1138499</v>
      </c>
      <c r="BJ241">
        <f t="shared" si="55"/>
        <v>553018</v>
      </c>
      <c r="BK241">
        <f t="shared" si="56"/>
        <v>4555380</v>
      </c>
      <c r="BL241">
        <f t="shared" si="57"/>
        <v>0</v>
      </c>
      <c r="BM241">
        <f t="shared" si="58"/>
        <v>0</v>
      </c>
      <c r="BN241" t="str">
        <f t="shared" si="67"/>
        <v>u=1%, k=2x10^6</v>
      </c>
      <c r="BO241" t="str">
        <f t="shared" si="68"/>
        <v>u=1%, k=2x10^6, collaborative</v>
      </c>
      <c r="BP241">
        <f t="shared" si="69"/>
        <v>0.44540159748947372</v>
      </c>
      <c r="BQ241">
        <f t="shared" si="70"/>
        <v>3.3344709926315788E-2</v>
      </c>
      <c r="BR241">
        <f t="shared" si="71"/>
        <v>0.77829764177894745</v>
      </c>
      <c r="BS241">
        <f t="shared" si="72"/>
        <v>0.2255360851631579</v>
      </c>
      <c r="BT241">
        <f t="shared" si="73"/>
        <v>1.242930327936842</v>
      </c>
      <c r="BU241">
        <f t="shared" si="74"/>
        <v>57.131161101668425</v>
      </c>
    </row>
    <row r="242" spans="1:73">
      <c r="A242" t="s">
        <v>808</v>
      </c>
      <c r="B242" t="s">
        <v>158</v>
      </c>
      <c r="C242">
        <v>72</v>
      </c>
      <c r="D242" t="s">
        <v>56</v>
      </c>
      <c r="E242" t="s">
        <v>53</v>
      </c>
      <c r="F242" t="s">
        <v>54</v>
      </c>
      <c r="G242">
        <v>60000</v>
      </c>
      <c r="H242">
        <v>0.5</v>
      </c>
      <c r="I242">
        <v>0.5</v>
      </c>
      <c r="J242">
        <v>0</v>
      </c>
      <c r="K242">
        <v>1</v>
      </c>
      <c r="L242">
        <v>20000000</v>
      </c>
      <c r="M242">
        <v>24</v>
      </c>
      <c r="N242">
        <v>24</v>
      </c>
      <c r="O242">
        <v>24</v>
      </c>
      <c r="P242">
        <v>0</v>
      </c>
      <c r="Q242" t="s">
        <v>55</v>
      </c>
      <c r="R242">
        <v>100005099869592</v>
      </c>
      <c r="S242">
        <v>9999638</v>
      </c>
      <c r="T242">
        <v>100005099869592</v>
      </c>
      <c r="U242">
        <v>9999638</v>
      </c>
      <c r="V242" t="s">
        <v>63</v>
      </c>
      <c r="W242">
        <v>7</v>
      </c>
      <c r="X242">
        <v>1794651</v>
      </c>
      <c r="Y242">
        <v>11786390</v>
      </c>
      <c r="Z242">
        <v>13581041</v>
      </c>
      <c r="AA242">
        <v>9999638</v>
      </c>
      <c r="AB242">
        <v>7.5675100000000004</v>
      </c>
      <c r="AC242">
        <v>0.84840499999999996</v>
      </c>
      <c r="AD242">
        <v>4.0337899999999998</v>
      </c>
      <c r="AE242">
        <v>332156880</v>
      </c>
      <c r="AF242" t="s">
        <v>809</v>
      </c>
      <c r="AG242" t="s">
        <v>810</v>
      </c>
      <c r="AH242">
        <v>756</v>
      </c>
      <c r="AI242">
        <v>754422</v>
      </c>
      <c r="AJ242">
        <v>1436560152562</v>
      </c>
      <c r="AK242">
        <v>5910779704</v>
      </c>
      <c r="AL242">
        <v>12920867</v>
      </c>
      <c r="AM242">
        <v>8359954011</v>
      </c>
      <c r="AN242">
        <v>6474250303</v>
      </c>
      <c r="AO242">
        <v>2636773361</v>
      </c>
      <c r="AP242">
        <v>2074259255</v>
      </c>
      <c r="AQ242">
        <v>0</v>
      </c>
      <c r="AR242">
        <v>20954327</v>
      </c>
      <c r="AS242">
        <v>2074259255</v>
      </c>
      <c r="AT242">
        <v>2095213582</v>
      </c>
      <c r="AU242">
        <v>34570987</v>
      </c>
      <c r="AV242">
        <v>0</v>
      </c>
      <c r="AW242">
        <v>349238</v>
      </c>
      <c r="AX242">
        <v>34570987</v>
      </c>
      <c r="AY242">
        <v>34920226</v>
      </c>
      <c r="AZ242">
        <v>16.137499999999999</v>
      </c>
      <c r="BA242">
        <v>5.9023700000000003</v>
      </c>
      <c r="BB242">
        <v>1913.42</v>
      </c>
      <c r="BC242">
        <v>1233.73</v>
      </c>
      <c r="BD242">
        <v>2434</v>
      </c>
      <c r="BE242">
        <v>154</v>
      </c>
      <c r="BF242">
        <f t="shared" si="65"/>
        <v>59.856673023416668</v>
      </c>
      <c r="BG242" s="31">
        <f t="shared" si="66"/>
        <v>0.97477826025000003</v>
      </c>
      <c r="BH242">
        <f t="shared" si="53"/>
        <v>4</v>
      </c>
      <c r="BI242">
        <f t="shared" si="54"/>
        <v>11185</v>
      </c>
      <c r="BJ242">
        <f t="shared" si="55"/>
        <v>320848</v>
      </c>
      <c r="BK242">
        <f t="shared" si="56"/>
        <v>2993890</v>
      </c>
      <c r="BL242">
        <f t="shared" si="57"/>
        <v>9731</v>
      </c>
      <c r="BM242">
        <f t="shared" si="58"/>
        <v>0</v>
      </c>
      <c r="BN242" t="str">
        <f t="shared" si="67"/>
        <v>u=1%, k=2x10^7</v>
      </c>
      <c r="BO242" t="str">
        <f t="shared" si="68"/>
        <v>u=1%, k=2x10^7, collaborative</v>
      </c>
      <c r="BP242">
        <f t="shared" si="69"/>
        <v>0.24628248766666669</v>
      </c>
      <c r="BQ242">
        <f t="shared" si="70"/>
        <v>5.3836945833333333E-4</v>
      </c>
      <c r="BR242">
        <f t="shared" si="71"/>
        <v>0.34833141712499999</v>
      </c>
      <c r="BS242">
        <f t="shared" si="72"/>
        <v>0.26976042929166666</v>
      </c>
      <c r="BT242">
        <f t="shared" si="73"/>
        <v>0.10986555670833333</v>
      </c>
      <c r="BU242">
        <f t="shared" si="74"/>
        <v>58.88189476316667</v>
      </c>
    </row>
    <row r="243" spans="1:73">
      <c r="A243" t="s">
        <v>811</v>
      </c>
      <c r="B243" t="s">
        <v>158</v>
      </c>
      <c r="C243">
        <v>72</v>
      </c>
      <c r="D243" t="s">
        <v>56</v>
      </c>
      <c r="E243" t="s">
        <v>53</v>
      </c>
      <c r="F243" t="s">
        <v>54</v>
      </c>
      <c r="G243">
        <v>60000</v>
      </c>
      <c r="H243">
        <v>0.5</v>
      </c>
      <c r="I243">
        <v>0.5</v>
      </c>
      <c r="J243">
        <v>0</v>
      </c>
      <c r="K243">
        <v>1</v>
      </c>
      <c r="L243">
        <v>20000000</v>
      </c>
      <c r="M243">
        <v>48</v>
      </c>
      <c r="N243">
        <v>48</v>
      </c>
      <c r="O243">
        <v>48</v>
      </c>
      <c r="P243">
        <v>0</v>
      </c>
      <c r="Q243" t="s">
        <v>55</v>
      </c>
      <c r="R243">
        <v>99972890585059</v>
      </c>
      <c r="S243">
        <v>9996760</v>
      </c>
      <c r="T243">
        <v>99972890585059</v>
      </c>
      <c r="U243">
        <v>9996760</v>
      </c>
      <c r="V243" t="s">
        <v>63</v>
      </c>
      <c r="W243">
        <v>7</v>
      </c>
      <c r="X243">
        <v>1822159</v>
      </c>
      <c r="Y243">
        <v>11843697</v>
      </c>
      <c r="Z243">
        <v>13665856</v>
      </c>
      <c r="AA243">
        <v>9996760</v>
      </c>
      <c r="AB243">
        <v>7.4998199999999997</v>
      </c>
      <c r="AC243">
        <v>0.84405699999999995</v>
      </c>
      <c r="AD243">
        <v>4.0394199999999998</v>
      </c>
      <c r="AE243">
        <v>335276448</v>
      </c>
      <c r="AF243" t="s">
        <v>812</v>
      </c>
      <c r="AG243" t="s">
        <v>813</v>
      </c>
      <c r="AH243">
        <v>4072</v>
      </c>
      <c r="AI243">
        <v>312818</v>
      </c>
      <c r="AJ243">
        <v>2873120482467</v>
      </c>
      <c r="AK243">
        <v>13456971676</v>
      </c>
      <c r="AL243">
        <v>104136508</v>
      </c>
      <c r="AM243">
        <v>20982658987</v>
      </c>
      <c r="AN243">
        <v>16027470421</v>
      </c>
      <c r="AO243">
        <v>6439396228</v>
      </c>
      <c r="AP243">
        <v>3583882378</v>
      </c>
      <c r="AQ243">
        <v>0</v>
      </c>
      <c r="AR243">
        <v>36207657</v>
      </c>
      <c r="AS243">
        <v>3583882378</v>
      </c>
      <c r="AT243">
        <v>3620090035</v>
      </c>
      <c r="AU243">
        <v>59731372</v>
      </c>
      <c r="AV243">
        <v>0</v>
      </c>
      <c r="AW243">
        <v>603460</v>
      </c>
      <c r="AX243">
        <v>59731372</v>
      </c>
      <c r="AY243">
        <v>60334833</v>
      </c>
      <c r="AZ243">
        <v>16.1709</v>
      </c>
      <c r="BA243">
        <v>6.0054800000000004</v>
      </c>
      <c r="BB243">
        <v>2207.84</v>
      </c>
      <c r="BC243">
        <v>1512.43</v>
      </c>
      <c r="BD243">
        <v>2469</v>
      </c>
      <c r="BE243">
        <v>177</v>
      </c>
      <c r="BF243">
        <f t="shared" si="65"/>
        <v>59.856676718062495</v>
      </c>
      <c r="BG243" s="31">
        <f t="shared" si="66"/>
        <v>1.1877215379166668</v>
      </c>
      <c r="BH243">
        <f t="shared" si="53"/>
        <v>7</v>
      </c>
      <c r="BI243">
        <f t="shared" si="54"/>
        <v>21722</v>
      </c>
      <c r="BJ243">
        <f t="shared" si="55"/>
        <v>474990</v>
      </c>
      <c r="BK243">
        <f t="shared" si="56"/>
        <v>5079384</v>
      </c>
      <c r="BL243">
        <f t="shared" si="57"/>
        <v>16424</v>
      </c>
      <c r="BM243">
        <f t="shared" si="58"/>
        <v>0</v>
      </c>
      <c r="BN243" t="str">
        <f t="shared" si="67"/>
        <v>u=1%, k=2x10^7</v>
      </c>
      <c r="BO243" t="str">
        <f t="shared" si="68"/>
        <v>u=1%, k=2x10^7, collaborative</v>
      </c>
      <c r="BP243">
        <f t="shared" si="69"/>
        <v>0.28035357658333332</v>
      </c>
      <c r="BQ243">
        <f t="shared" si="70"/>
        <v>2.1695105833333334E-3</v>
      </c>
      <c r="BR243">
        <f t="shared" si="71"/>
        <v>0.43713872889583333</v>
      </c>
      <c r="BS243">
        <f t="shared" si="72"/>
        <v>0.33390563377083332</v>
      </c>
      <c r="BT243">
        <f t="shared" si="73"/>
        <v>0.13415408808333332</v>
      </c>
      <c r="BU243">
        <f t="shared" si="74"/>
        <v>58.668955180145829</v>
      </c>
    </row>
    <row r="244" spans="1:73">
      <c r="A244" t="s">
        <v>814</v>
      </c>
      <c r="B244" t="s">
        <v>158</v>
      </c>
      <c r="C244">
        <v>72</v>
      </c>
      <c r="D244" t="s">
        <v>56</v>
      </c>
      <c r="E244" t="s">
        <v>53</v>
      </c>
      <c r="F244" t="s">
        <v>54</v>
      </c>
      <c r="G244">
        <v>60000</v>
      </c>
      <c r="H244">
        <v>0.5</v>
      </c>
      <c r="I244">
        <v>0.5</v>
      </c>
      <c r="J244">
        <v>0</v>
      </c>
      <c r="K244">
        <v>1</v>
      </c>
      <c r="L244">
        <v>20000000</v>
      </c>
      <c r="M244">
        <v>96</v>
      </c>
      <c r="N244">
        <v>96</v>
      </c>
      <c r="O244">
        <v>96</v>
      </c>
      <c r="P244">
        <v>0</v>
      </c>
      <c r="Q244" t="s">
        <v>55</v>
      </c>
      <c r="R244">
        <v>100009021724834</v>
      </c>
      <c r="S244">
        <v>10002054</v>
      </c>
      <c r="T244">
        <v>100009021724834</v>
      </c>
      <c r="U244">
        <v>10002054</v>
      </c>
      <c r="V244" t="s">
        <v>63</v>
      </c>
      <c r="W244">
        <v>7</v>
      </c>
      <c r="X244">
        <v>1898634</v>
      </c>
      <c r="Y244">
        <v>12015142</v>
      </c>
      <c r="Z244">
        <v>13913776</v>
      </c>
      <c r="AA244">
        <v>10002054</v>
      </c>
      <c r="AB244">
        <v>7.3283100000000001</v>
      </c>
      <c r="AC244">
        <v>0.83245400000000003</v>
      </c>
      <c r="AD244">
        <v>4.0546699999999998</v>
      </c>
      <c r="AE244">
        <v>344159616</v>
      </c>
      <c r="AF244" t="s">
        <v>815</v>
      </c>
      <c r="AG244" t="s">
        <v>816</v>
      </c>
      <c r="AH244">
        <v>17889</v>
      </c>
      <c r="AI244">
        <v>165110</v>
      </c>
      <c r="AJ244">
        <v>5746241639724</v>
      </c>
      <c r="AK244">
        <v>29584965037</v>
      </c>
      <c r="AL244">
        <v>1183048681</v>
      </c>
      <c r="AM244">
        <v>55180909819</v>
      </c>
      <c r="AN244">
        <v>54204112593</v>
      </c>
      <c r="AO244">
        <v>14378157346</v>
      </c>
      <c r="AP244">
        <v>7664212342</v>
      </c>
      <c r="AQ244">
        <v>0</v>
      </c>
      <c r="AR244">
        <v>77406623</v>
      </c>
      <c r="AS244">
        <v>7664212342</v>
      </c>
      <c r="AT244">
        <v>7741618965</v>
      </c>
      <c r="AU244">
        <v>127736872</v>
      </c>
      <c r="AV244">
        <v>0</v>
      </c>
      <c r="AW244">
        <v>1290110</v>
      </c>
      <c r="AX244">
        <v>127736872</v>
      </c>
      <c r="AY244">
        <v>129026982</v>
      </c>
      <c r="AZ244">
        <v>16.2913</v>
      </c>
      <c r="BA244">
        <v>6.4340200000000003</v>
      </c>
      <c r="BB244">
        <v>2046.1</v>
      </c>
      <c r="BC244">
        <v>1292.55</v>
      </c>
      <c r="BD244">
        <v>2549</v>
      </c>
      <c r="BE244">
        <v>253</v>
      </c>
      <c r="BF244">
        <f t="shared" si="65"/>
        <v>59.856683747125004</v>
      </c>
      <c r="BG244" s="31">
        <f t="shared" si="66"/>
        <v>1.6096999320416667</v>
      </c>
      <c r="BH244">
        <f t="shared" si="53"/>
        <v>15</v>
      </c>
      <c r="BI244">
        <f t="shared" si="54"/>
        <v>47425</v>
      </c>
      <c r="BJ244">
        <f t="shared" si="55"/>
        <v>694475</v>
      </c>
      <c r="BK244">
        <f t="shared" si="56"/>
        <v>10590950</v>
      </c>
      <c r="BL244">
        <f t="shared" si="57"/>
        <v>30635</v>
      </c>
      <c r="BM244">
        <f t="shared" si="58"/>
        <v>0</v>
      </c>
      <c r="BN244" t="str">
        <f t="shared" si="67"/>
        <v>u=1%, k=2x10^7</v>
      </c>
      <c r="BO244" t="str">
        <f t="shared" si="68"/>
        <v>u=1%, k=2x10^7, collaborative</v>
      </c>
      <c r="BP244">
        <f t="shared" si="69"/>
        <v>0.30817671913541667</v>
      </c>
      <c r="BQ244">
        <f t="shared" si="70"/>
        <v>1.2323423760416667E-2</v>
      </c>
      <c r="BR244">
        <f t="shared" si="71"/>
        <v>0.5748011439479167</v>
      </c>
      <c r="BS244">
        <f t="shared" si="72"/>
        <v>0.56462617284374994</v>
      </c>
      <c r="BT244">
        <f t="shared" si="73"/>
        <v>0.14977247235416666</v>
      </c>
      <c r="BU244">
        <f t="shared" si="74"/>
        <v>58.24698381508334</v>
      </c>
    </row>
    <row r="245" spans="1:73">
      <c r="A245" t="s">
        <v>817</v>
      </c>
      <c r="B245" t="s">
        <v>158</v>
      </c>
      <c r="C245">
        <v>72</v>
      </c>
      <c r="D245" t="s">
        <v>56</v>
      </c>
      <c r="E245" t="s">
        <v>53</v>
      </c>
      <c r="F245" t="s">
        <v>54</v>
      </c>
      <c r="G245">
        <v>60000</v>
      </c>
      <c r="H245">
        <v>0.5</v>
      </c>
      <c r="I245">
        <v>0.5</v>
      </c>
      <c r="J245">
        <v>0</v>
      </c>
      <c r="K245">
        <v>1</v>
      </c>
      <c r="L245">
        <v>20000000</v>
      </c>
      <c r="M245">
        <v>144</v>
      </c>
      <c r="N245">
        <v>144</v>
      </c>
      <c r="O245">
        <v>144</v>
      </c>
      <c r="P245">
        <v>0</v>
      </c>
      <c r="Q245" t="s">
        <v>55</v>
      </c>
      <c r="R245">
        <v>100015618005208</v>
      </c>
      <c r="S245">
        <v>10001816</v>
      </c>
      <c r="T245">
        <v>100015618005208</v>
      </c>
      <c r="U245">
        <v>10001816</v>
      </c>
      <c r="V245" t="s">
        <v>63</v>
      </c>
      <c r="W245">
        <v>7</v>
      </c>
      <c r="X245">
        <v>1734229</v>
      </c>
      <c r="Y245">
        <v>11669344</v>
      </c>
      <c r="Z245">
        <v>13403573</v>
      </c>
      <c r="AA245">
        <v>10001816</v>
      </c>
      <c r="AB245">
        <v>7.7288399999999999</v>
      </c>
      <c r="AC245">
        <v>0.85710200000000003</v>
      </c>
      <c r="AD245">
        <v>4.0222899999999999</v>
      </c>
      <c r="AE245">
        <v>325451088</v>
      </c>
      <c r="AF245" t="s">
        <v>818</v>
      </c>
      <c r="AG245" t="s">
        <v>819</v>
      </c>
      <c r="AH245">
        <v>39295</v>
      </c>
      <c r="AI245">
        <v>111506</v>
      </c>
      <c r="AJ245">
        <v>8619364202177</v>
      </c>
      <c r="AK245">
        <v>44455867531</v>
      </c>
      <c r="AL245">
        <v>2702134612</v>
      </c>
      <c r="AM245">
        <v>81761170495</v>
      </c>
      <c r="AN245">
        <v>90643337957</v>
      </c>
      <c r="AO245">
        <v>22197733922</v>
      </c>
      <c r="AP245">
        <v>11293834147</v>
      </c>
      <c r="AQ245">
        <v>0</v>
      </c>
      <c r="AR245">
        <v>114087781</v>
      </c>
      <c r="AS245">
        <v>11293834147</v>
      </c>
      <c r="AT245">
        <v>11407921928</v>
      </c>
      <c r="AU245">
        <v>188230569</v>
      </c>
      <c r="AV245">
        <v>0</v>
      </c>
      <c r="AW245">
        <v>1901463</v>
      </c>
      <c r="AX245">
        <v>188230569</v>
      </c>
      <c r="AY245">
        <v>190132032</v>
      </c>
      <c r="AZ245">
        <v>16.355899999999998</v>
      </c>
      <c r="BA245">
        <v>6.5817300000000003</v>
      </c>
      <c r="BB245">
        <v>2084.25</v>
      </c>
      <c r="BC245">
        <v>1315.32</v>
      </c>
      <c r="BD245">
        <v>2640</v>
      </c>
      <c r="BE245">
        <v>384</v>
      </c>
      <c r="BF245">
        <f t="shared" si="65"/>
        <v>59.85669584845138</v>
      </c>
      <c r="BG245" s="31">
        <f t="shared" si="66"/>
        <v>1.678890586923611</v>
      </c>
      <c r="BH245">
        <f t="shared" si="53"/>
        <v>22</v>
      </c>
      <c r="BI245">
        <f t="shared" si="54"/>
        <v>72614</v>
      </c>
      <c r="BJ245">
        <f t="shared" si="55"/>
        <v>607163</v>
      </c>
      <c r="BK245">
        <f t="shared" si="56"/>
        <v>15280738</v>
      </c>
      <c r="BL245">
        <f t="shared" si="57"/>
        <v>38220</v>
      </c>
      <c r="BM245">
        <f t="shared" si="58"/>
        <v>0</v>
      </c>
      <c r="BN245" t="str">
        <f t="shared" si="67"/>
        <v>u=1%, k=2x10^7</v>
      </c>
      <c r="BO245" t="str">
        <f t="shared" si="68"/>
        <v>u=1%, k=2x10^7, collaborative</v>
      </c>
      <c r="BP245">
        <f t="shared" si="69"/>
        <v>0.30872130229861111</v>
      </c>
      <c r="BQ245">
        <f t="shared" si="70"/>
        <v>1.8764823694444446E-2</v>
      </c>
      <c r="BR245">
        <f t="shared" si="71"/>
        <v>0.5677859062152778</v>
      </c>
      <c r="BS245">
        <f t="shared" si="72"/>
        <v>0.62946762470138884</v>
      </c>
      <c r="BT245">
        <f t="shared" si="73"/>
        <v>0.15415093001388891</v>
      </c>
      <c r="BU245">
        <f t="shared" si="74"/>
        <v>58.177805261527766</v>
      </c>
    </row>
    <row r="246" spans="1:73">
      <c r="A246" t="s">
        <v>820</v>
      </c>
      <c r="B246" t="s">
        <v>158</v>
      </c>
      <c r="C246">
        <v>72</v>
      </c>
      <c r="D246" t="s">
        <v>56</v>
      </c>
      <c r="E246" t="s">
        <v>53</v>
      </c>
      <c r="F246" t="s">
        <v>54</v>
      </c>
      <c r="G246">
        <v>60000</v>
      </c>
      <c r="H246">
        <v>0.5</v>
      </c>
      <c r="I246">
        <v>0.5</v>
      </c>
      <c r="J246">
        <v>0</v>
      </c>
      <c r="K246">
        <v>1</v>
      </c>
      <c r="L246">
        <v>20000000</v>
      </c>
      <c r="M246">
        <v>190</v>
      </c>
      <c r="N246">
        <v>190</v>
      </c>
      <c r="O246">
        <v>190</v>
      </c>
      <c r="P246">
        <v>0</v>
      </c>
      <c r="Q246" t="s">
        <v>55</v>
      </c>
      <c r="R246">
        <v>100000561019166</v>
      </c>
      <c r="S246">
        <v>9998999</v>
      </c>
      <c r="T246">
        <v>100000561019166</v>
      </c>
      <c r="U246">
        <v>9998999</v>
      </c>
      <c r="V246" t="s">
        <v>63</v>
      </c>
      <c r="W246">
        <v>7</v>
      </c>
      <c r="X246">
        <v>1763131</v>
      </c>
      <c r="Y246">
        <v>11726437</v>
      </c>
      <c r="Z246">
        <v>13489568</v>
      </c>
      <c r="AA246">
        <v>9998999</v>
      </c>
      <c r="AB246">
        <v>7.6509200000000002</v>
      </c>
      <c r="AC246">
        <v>0.85268900000000003</v>
      </c>
      <c r="AD246">
        <v>4.0282600000000004</v>
      </c>
      <c r="AE246">
        <v>328675856</v>
      </c>
      <c r="AF246" t="s">
        <v>821</v>
      </c>
      <c r="AG246" t="s">
        <v>822</v>
      </c>
      <c r="AH246">
        <v>73050</v>
      </c>
      <c r="AI246">
        <v>91808</v>
      </c>
      <c r="AJ246">
        <v>11372772541994</v>
      </c>
      <c r="AK246">
        <v>60753571381</v>
      </c>
      <c r="AL246">
        <v>7083303170</v>
      </c>
      <c r="AM246">
        <v>118281272168</v>
      </c>
      <c r="AN246">
        <v>133192766013</v>
      </c>
      <c r="AO246">
        <v>46424302453</v>
      </c>
      <c r="AP246">
        <v>14788505010</v>
      </c>
      <c r="AQ246">
        <v>0</v>
      </c>
      <c r="AR246">
        <v>149364987</v>
      </c>
      <c r="AS246">
        <v>14788505010</v>
      </c>
      <c r="AT246">
        <v>14937869997</v>
      </c>
      <c r="AU246">
        <v>246475083</v>
      </c>
      <c r="AV246">
        <v>0</v>
      </c>
      <c r="AW246">
        <v>2489416</v>
      </c>
      <c r="AX246">
        <v>246475083</v>
      </c>
      <c r="AY246">
        <v>248964499</v>
      </c>
      <c r="AZ246">
        <v>16.450500000000002</v>
      </c>
      <c r="BA246">
        <v>6.66221</v>
      </c>
      <c r="BB246">
        <v>2097.6</v>
      </c>
      <c r="BC246">
        <v>1324.65</v>
      </c>
      <c r="BD246">
        <v>2736</v>
      </c>
      <c r="BE246">
        <v>420</v>
      </c>
      <c r="BF246">
        <f t="shared" si="65"/>
        <v>59.856697589442106</v>
      </c>
      <c r="BG246" s="31">
        <f t="shared" si="66"/>
        <v>1.9249221851842107</v>
      </c>
      <c r="BH246">
        <f t="shared" ref="BH246:BH305" si="75">getFieldL($AG246,0)</f>
        <v>29</v>
      </c>
      <c r="BI246">
        <f t="shared" ref="BI246:BI305" si="76">getFieldL($AG246,1)</f>
        <v>94865</v>
      </c>
      <c r="BJ246">
        <f t="shared" ref="BJ246:BJ305" si="77">getFieldL($AG246,2)</f>
        <v>799237</v>
      </c>
      <c r="BK246">
        <f t="shared" ref="BK246:BK305" si="78">getFieldL($AG246,3)</f>
        <v>19989780</v>
      </c>
      <c r="BL246">
        <f t="shared" ref="BL246:BL305" si="79">getFieldL($AG246,4)</f>
        <v>50364</v>
      </c>
      <c r="BM246">
        <f t="shared" ref="BM246:BM305" si="80">getFieldL($AG246,5)</f>
        <v>0</v>
      </c>
      <c r="BN246" t="str">
        <f t="shared" si="67"/>
        <v>u=1%, k=2x10^7</v>
      </c>
      <c r="BO246" t="str">
        <f t="shared" si="68"/>
        <v>u=1%, k=2x10^7, collaborative</v>
      </c>
      <c r="BP246">
        <f t="shared" si="69"/>
        <v>0.31975563884736841</v>
      </c>
      <c r="BQ246">
        <f t="shared" si="70"/>
        <v>3.7280542999999999E-2</v>
      </c>
      <c r="BR246">
        <f t="shared" si="71"/>
        <v>0.6225330114105263</v>
      </c>
      <c r="BS246">
        <f t="shared" si="72"/>
        <v>0.70101455796315792</v>
      </c>
      <c r="BT246">
        <f t="shared" si="73"/>
        <v>0.24433843396315791</v>
      </c>
      <c r="BU246">
        <f t="shared" si="74"/>
        <v>57.931775404257898</v>
      </c>
    </row>
    <row r="247" spans="1:73">
      <c r="A247" t="s">
        <v>823</v>
      </c>
      <c r="B247" t="s">
        <v>158</v>
      </c>
      <c r="C247">
        <v>72</v>
      </c>
      <c r="D247" t="s">
        <v>56</v>
      </c>
      <c r="E247" t="s">
        <v>53</v>
      </c>
      <c r="F247" t="s">
        <v>54</v>
      </c>
      <c r="G247">
        <v>60000</v>
      </c>
      <c r="H247">
        <v>0.5</v>
      </c>
      <c r="I247">
        <v>0.5</v>
      </c>
      <c r="J247">
        <v>0</v>
      </c>
      <c r="K247">
        <v>1</v>
      </c>
      <c r="L247">
        <v>200000000</v>
      </c>
      <c r="M247">
        <v>24</v>
      </c>
      <c r="N247">
        <v>24</v>
      </c>
      <c r="O247">
        <v>24</v>
      </c>
      <c r="P247">
        <v>0</v>
      </c>
      <c r="Q247" t="s">
        <v>55</v>
      </c>
      <c r="R247">
        <v>1.00000337798686E+16</v>
      </c>
      <c r="S247">
        <v>99999272</v>
      </c>
      <c r="T247">
        <v>1.00000337798686E+16</v>
      </c>
      <c r="U247">
        <v>99999272</v>
      </c>
      <c r="V247" t="s">
        <v>63</v>
      </c>
      <c r="W247">
        <v>7</v>
      </c>
      <c r="X247">
        <v>14120040</v>
      </c>
      <c r="Y247">
        <v>116400394</v>
      </c>
      <c r="Z247">
        <v>130520434</v>
      </c>
      <c r="AA247">
        <v>99999272</v>
      </c>
      <c r="AB247">
        <v>9.2436299999999996</v>
      </c>
      <c r="AC247">
        <v>0.859097</v>
      </c>
      <c r="AD247">
        <v>4.0643900000000004</v>
      </c>
      <c r="AE247">
        <v>2994446160</v>
      </c>
      <c r="AF247" t="s">
        <v>824</v>
      </c>
      <c r="AG247" t="s">
        <v>824</v>
      </c>
      <c r="AI247">
        <v>631734</v>
      </c>
      <c r="AJ247">
        <v>1436560629978</v>
      </c>
      <c r="AK247">
        <v>291794183</v>
      </c>
      <c r="AM247">
        <v>814808511</v>
      </c>
      <c r="AN247">
        <v>1552157534</v>
      </c>
      <c r="AO247">
        <v>115459514</v>
      </c>
      <c r="AP247">
        <v>1698765724</v>
      </c>
      <c r="AQ247">
        <v>0</v>
      </c>
      <c r="AR247">
        <v>17160805</v>
      </c>
      <c r="AS247">
        <v>1698765724</v>
      </c>
      <c r="AT247">
        <v>1715926529</v>
      </c>
      <c r="AU247">
        <v>28312762</v>
      </c>
      <c r="AV247">
        <v>0</v>
      </c>
      <c r="AW247">
        <v>286013</v>
      </c>
      <c r="AX247">
        <v>28312762</v>
      </c>
      <c r="AY247">
        <v>28598775</v>
      </c>
      <c r="AZ247">
        <v>18.8965</v>
      </c>
      <c r="BA247">
        <v>8.2720900000000004</v>
      </c>
      <c r="BB247">
        <v>2339.9299999999998</v>
      </c>
      <c r="BC247">
        <v>1745.14</v>
      </c>
      <c r="BD247">
        <v>7484</v>
      </c>
      <c r="BE247">
        <v>1558</v>
      </c>
      <c r="BF247">
        <f t="shared" si="65"/>
        <v>59.856692915749996</v>
      </c>
      <c r="BG247" s="31">
        <f t="shared" si="66"/>
        <v>0.11559248925</v>
      </c>
      <c r="BH247">
        <f t="shared" si="75"/>
        <v>0</v>
      </c>
      <c r="BI247">
        <f t="shared" si="76"/>
        <v>0</v>
      </c>
      <c r="BJ247">
        <f t="shared" si="77"/>
        <v>11</v>
      </c>
      <c r="BK247">
        <f t="shared" si="78"/>
        <v>602772</v>
      </c>
      <c r="BL247">
        <f t="shared" si="79"/>
        <v>200516</v>
      </c>
      <c r="BM247">
        <f t="shared" si="80"/>
        <v>0</v>
      </c>
      <c r="BN247" t="str">
        <f t="shared" si="67"/>
        <v>u=1%, k=2x10^8</v>
      </c>
      <c r="BO247" t="str">
        <f t="shared" si="68"/>
        <v>u=1%, k=2x10^8, collaborative</v>
      </c>
      <c r="BP247">
        <f t="shared" si="69"/>
        <v>1.2158090958333333E-2</v>
      </c>
      <c r="BQ247">
        <f t="shared" si="70"/>
        <v>0</v>
      </c>
      <c r="BR247">
        <f t="shared" si="71"/>
        <v>3.3950354624999998E-2</v>
      </c>
      <c r="BS247">
        <f t="shared" si="72"/>
        <v>6.4673230583333338E-2</v>
      </c>
      <c r="BT247">
        <f t="shared" si="73"/>
        <v>4.810813083333333E-3</v>
      </c>
      <c r="BU247">
        <f t="shared" si="74"/>
        <v>59.741100426499997</v>
      </c>
    </row>
    <row r="248" spans="1:73">
      <c r="A248" t="s">
        <v>825</v>
      </c>
      <c r="B248" t="s">
        <v>158</v>
      </c>
      <c r="C248">
        <v>72</v>
      </c>
      <c r="D248" t="s">
        <v>56</v>
      </c>
      <c r="E248" t="s">
        <v>53</v>
      </c>
      <c r="F248" t="s">
        <v>54</v>
      </c>
      <c r="G248">
        <v>60000</v>
      </c>
      <c r="H248">
        <v>0.5</v>
      </c>
      <c r="I248">
        <v>0.5</v>
      </c>
      <c r="J248">
        <v>0</v>
      </c>
      <c r="K248">
        <v>1</v>
      </c>
      <c r="L248">
        <v>200000000</v>
      </c>
      <c r="M248">
        <v>48</v>
      </c>
      <c r="N248">
        <v>48</v>
      </c>
      <c r="O248">
        <v>48</v>
      </c>
      <c r="P248">
        <v>0</v>
      </c>
      <c r="Q248" t="s">
        <v>55</v>
      </c>
      <c r="R248">
        <v>1.00000739754531E+16</v>
      </c>
      <c r="S248">
        <v>100001940</v>
      </c>
      <c r="T248">
        <v>1.00000739754531E+16</v>
      </c>
      <c r="U248">
        <v>100001940</v>
      </c>
      <c r="V248" t="s">
        <v>63</v>
      </c>
      <c r="W248">
        <v>7</v>
      </c>
      <c r="X248">
        <v>14927302</v>
      </c>
      <c r="Y248">
        <v>118216822</v>
      </c>
      <c r="Z248">
        <v>133144124</v>
      </c>
      <c r="AA248">
        <v>100001940</v>
      </c>
      <c r="AB248">
        <v>8.9194999999999993</v>
      </c>
      <c r="AC248">
        <v>0.84592000000000001</v>
      </c>
      <c r="AD248">
        <v>4.0817899999999998</v>
      </c>
      <c r="AE248">
        <v>3089810080</v>
      </c>
      <c r="AF248" t="s">
        <v>826</v>
      </c>
      <c r="AG248" t="s">
        <v>827</v>
      </c>
      <c r="AI248">
        <v>272222</v>
      </c>
      <c r="AJ248">
        <v>2873121392573</v>
      </c>
      <c r="AK248">
        <v>1455945862</v>
      </c>
      <c r="AM248">
        <v>3541741542</v>
      </c>
      <c r="AN248">
        <v>5545412711</v>
      </c>
      <c r="AO248">
        <v>586874941</v>
      </c>
      <c r="AP248">
        <v>2983314494</v>
      </c>
      <c r="AQ248">
        <v>0</v>
      </c>
      <c r="AR248">
        <v>30141556</v>
      </c>
      <c r="AS248">
        <v>2983314494</v>
      </c>
      <c r="AT248">
        <v>3013456050</v>
      </c>
      <c r="AU248">
        <v>49721908</v>
      </c>
      <c r="AV248">
        <v>0</v>
      </c>
      <c r="AW248">
        <v>502359</v>
      </c>
      <c r="AX248">
        <v>49721908</v>
      </c>
      <c r="AY248">
        <v>50224267</v>
      </c>
      <c r="AZ248">
        <v>19.051200000000001</v>
      </c>
      <c r="BA248">
        <v>8.3641400000000008</v>
      </c>
      <c r="BB248">
        <v>2663.11</v>
      </c>
      <c r="BC248">
        <v>1982.83</v>
      </c>
      <c r="BD248">
        <v>7814</v>
      </c>
      <c r="BE248">
        <v>1298</v>
      </c>
      <c r="BF248">
        <f t="shared" si="65"/>
        <v>59.856695678604162</v>
      </c>
      <c r="BG248" s="31">
        <f t="shared" si="66"/>
        <v>0.23187448033333333</v>
      </c>
      <c r="BH248">
        <f t="shared" si="75"/>
        <v>0</v>
      </c>
      <c r="BI248">
        <f t="shared" si="76"/>
        <v>0</v>
      </c>
      <c r="BJ248">
        <f t="shared" si="77"/>
        <v>14904</v>
      </c>
      <c r="BK248">
        <f t="shared" si="78"/>
        <v>2030563</v>
      </c>
      <c r="BL248">
        <f t="shared" si="79"/>
        <v>421134</v>
      </c>
      <c r="BM248">
        <f t="shared" si="80"/>
        <v>0</v>
      </c>
      <c r="BN248" t="str">
        <f t="shared" si="67"/>
        <v>u=1%, k=2x10^8</v>
      </c>
      <c r="BO248" t="str">
        <f t="shared" si="68"/>
        <v>u=1%, k=2x10^8, collaborative</v>
      </c>
      <c r="BP248">
        <f t="shared" si="69"/>
        <v>3.0332205458333334E-2</v>
      </c>
      <c r="BQ248">
        <f t="shared" si="70"/>
        <v>0</v>
      </c>
      <c r="BR248">
        <f t="shared" si="71"/>
        <v>7.3786282125000005E-2</v>
      </c>
      <c r="BS248">
        <f t="shared" si="72"/>
        <v>0.11552943147916667</v>
      </c>
      <c r="BT248">
        <f t="shared" si="73"/>
        <v>1.2226561270833334E-2</v>
      </c>
      <c r="BU248">
        <f t="shared" si="74"/>
        <v>59.62482119827083</v>
      </c>
    </row>
    <row r="249" spans="1:73">
      <c r="A249" t="s">
        <v>828</v>
      </c>
      <c r="B249" t="s">
        <v>158</v>
      </c>
      <c r="C249">
        <v>72</v>
      </c>
      <c r="D249" t="s">
        <v>56</v>
      </c>
      <c r="E249" t="s">
        <v>53</v>
      </c>
      <c r="F249" t="s">
        <v>54</v>
      </c>
      <c r="G249">
        <v>60000</v>
      </c>
      <c r="H249">
        <v>0.5</v>
      </c>
      <c r="I249">
        <v>0.5</v>
      </c>
      <c r="J249">
        <v>0</v>
      </c>
      <c r="K249">
        <v>1</v>
      </c>
      <c r="L249">
        <v>200000000</v>
      </c>
      <c r="M249">
        <v>96</v>
      </c>
      <c r="N249">
        <v>96</v>
      </c>
      <c r="O249">
        <v>96</v>
      </c>
      <c r="P249">
        <v>0</v>
      </c>
      <c r="Q249" t="s">
        <v>55</v>
      </c>
      <c r="R249">
        <v>9999948849121800</v>
      </c>
      <c r="S249">
        <v>99999482</v>
      </c>
      <c r="T249">
        <v>9999948849121800</v>
      </c>
      <c r="U249">
        <v>99999482</v>
      </c>
      <c r="V249" t="s">
        <v>63</v>
      </c>
      <c r="W249">
        <v>7</v>
      </c>
      <c r="X249">
        <v>12991704</v>
      </c>
      <c r="Y249">
        <v>114018938</v>
      </c>
      <c r="Z249">
        <v>127010642</v>
      </c>
      <c r="AA249">
        <v>99999482</v>
      </c>
      <c r="AB249">
        <v>9.7762899999999995</v>
      </c>
      <c r="AC249">
        <v>0.87704300000000002</v>
      </c>
      <c r="AD249">
        <v>4.0405899999999999</v>
      </c>
      <c r="AE249">
        <v>2864681552</v>
      </c>
      <c r="AF249" t="s">
        <v>829</v>
      </c>
      <c r="AG249" t="s">
        <v>830</v>
      </c>
      <c r="AH249">
        <v>2629</v>
      </c>
      <c r="AI249">
        <v>122558</v>
      </c>
      <c r="AJ249">
        <v>5746258060820</v>
      </c>
      <c r="AK249">
        <v>19421094035</v>
      </c>
      <c r="AL249">
        <v>445135391</v>
      </c>
      <c r="AM249">
        <v>48532476279</v>
      </c>
      <c r="AN249">
        <v>43588279282</v>
      </c>
      <c r="AO249">
        <v>8923951928</v>
      </c>
      <c r="AP249">
        <v>5851188671</v>
      </c>
      <c r="AQ249">
        <v>0</v>
      </c>
      <c r="AR249">
        <v>59095717</v>
      </c>
      <c r="AS249">
        <v>5851188671</v>
      </c>
      <c r="AT249">
        <v>5910284388</v>
      </c>
      <c r="AU249">
        <v>97519811</v>
      </c>
      <c r="AV249">
        <v>0</v>
      </c>
      <c r="AW249">
        <v>984928</v>
      </c>
      <c r="AX249">
        <v>97519811</v>
      </c>
      <c r="AY249">
        <v>98504739</v>
      </c>
      <c r="AZ249">
        <v>19.3201</v>
      </c>
      <c r="BA249">
        <v>9.2985100000000003</v>
      </c>
      <c r="BB249">
        <v>2687.58</v>
      </c>
      <c r="BC249">
        <v>1952.48</v>
      </c>
      <c r="BD249">
        <v>11321</v>
      </c>
      <c r="BE249">
        <v>1075</v>
      </c>
      <c r="BF249">
        <f t="shared" si="65"/>
        <v>59.856854800208332</v>
      </c>
      <c r="BG249" s="31">
        <f t="shared" si="66"/>
        <v>1.2594889261979165</v>
      </c>
      <c r="BH249">
        <f t="shared" si="75"/>
        <v>1</v>
      </c>
      <c r="BI249">
        <f t="shared" si="76"/>
        <v>9910</v>
      </c>
      <c r="BJ249">
        <f t="shared" si="77"/>
        <v>395029</v>
      </c>
      <c r="BK249">
        <f t="shared" si="78"/>
        <v>4120620</v>
      </c>
      <c r="BL249">
        <f t="shared" si="79"/>
        <v>747435</v>
      </c>
      <c r="BM249">
        <f t="shared" si="80"/>
        <v>0</v>
      </c>
      <c r="BN249" t="str">
        <f t="shared" si="67"/>
        <v>u=1%, k=2x10^8</v>
      </c>
      <c r="BO249" t="str">
        <f t="shared" si="68"/>
        <v>u=1%, k=2x10^8, collaborative</v>
      </c>
      <c r="BP249">
        <f t="shared" si="69"/>
        <v>0.20230306286458333</v>
      </c>
      <c r="BQ249">
        <f t="shared" si="70"/>
        <v>4.636826989583333E-3</v>
      </c>
      <c r="BR249">
        <f t="shared" si="71"/>
        <v>0.50554662790625005</v>
      </c>
      <c r="BS249">
        <f t="shared" si="72"/>
        <v>0.45404457585416669</v>
      </c>
      <c r="BT249">
        <f t="shared" si="73"/>
        <v>9.295783258333333E-2</v>
      </c>
      <c r="BU249">
        <f t="shared" si="74"/>
        <v>58.597365874010414</v>
      </c>
    </row>
    <row r="250" spans="1:73">
      <c r="A250" t="s">
        <v>831</v>
      </c>
      <c r="B250" t="s">
        <v>158</v>
      </c>
      <c r="C250">
        <v>72</v>
      </c>
      <c r="D250" t="s">
        <v>56</v>
      </c>
      <c r="E250" t="s">
        <v>53</v>
      </c>
      <c r="F250" t="s">
        <v>54</v>
      </c>
      <c r="G250">
        <v>60000</v>
      </c>
      <c r="H250">
        <v>0.5</v>
      </c>
      <c r="I250">
        <v>0.5</v>
      </c>
      <c r="J250">
        <v>0</v>
      </c>
      <c r="K250">
        <v>1</v>
      </c>
      <c r="L250">
        <v>200000000</v>
      </c>
      <c r="M250">
        <v>144</v>
      </c>
      <c r="N250">
        <v>144</v>
      </c>
      <c r="O250">
        <v>144</v>
      </c>
      <c r="P250">
        <v>0</v>
      </c>
      <c r="Q250" t="s">
        <v>55</v>
      </c>
      <c r="R250">
        <v>1.00004925632637E+16</v>
      </c>
      <c r="S250">
        <v>100004015</v>
      </c>
      <c r="T250">
        <v>1.00004925632637E+16</v>
      </c>
      <c r="U250">
        <v>100004015</v>
      </c>
      <c r="V250" t="s">
        <v>63</v>
      </c>
      <c r="W250">
        <v>7</v>
      </c>
      <c r="X250">
        <v>14867166</v>
      </c>
      <c r="Y250">
        <v>118113906</v>
      </c>
      <c r="Z250">
        <v>132981072</v>
      </c>
      <c r="AA250">
        <v>100004015</v>
      </c>
      <c r="AB250">
        <v>8.9446100000000008</v>
      </c>
      <c r="AC250">
        <v>0.84667400000000004</v>
      </c>
      <c r="AD250">
        <v>4.0797800000000004</v>
      </c>
      <c r="AE250">
        <v>3083515040</v>
      </c>
      <c r="AF250" t="s">
        <v>832</v>
      </c>
      <c r="AG250" t="s">
        <v>833</v>
      </c>
      <c r="AH250">
        <v>3149</v>
      </c>
      <c r="AI250">
        <v>81012</v>
      </c>
      <c r="AJ250">
        <v>8619365842043</v>
      </c>
      <c r="AK250">
        <v>22507783019</v>
      </c>
      <c r="AL250">
        <v>278892810</v>
      </c>
      <c r="AM250">
        <v>80359945823</v>
      </c>
      <c r="AN250">
        <v>52899645914</v>
      </c>
      <c r="AO250">
        <v>11449316490</v>
      </c>
      <c r="AP250">
        <v>8612995865</v>
      </c>
      <c r="AQ250">
        <v>0</v>
      </c>
      <c r="AR250">
        <v>87004229</v>
      </c>
      <c r="AS250">
        <v>8612995865</v>
      </c>
      <c r="AT250">
        <v>8700000094</v>
      </c>
      <c r="AU250">
        <v>143549931</v>
      </c>
      <c r="AV250">
        <v>0</v>
      </c>
      <c r="AW250">
        <v>1450070</v>
      </c>
      <c r="AX250">
        <v>143549931</v>
      </c>
      <c r="AY250">
        <v>145000001</v>
      </c>
      <c r="AZ250">
        <v>19.350000000000001</v>
      </c>
      <c r="BA250">
        <v>9.5077099999999994</v>
      </c>
      <c r="BB250">
        <v>2732.81</v>
      </c>
      <c r="BC250">
        <v>1977.79</v>
      </c>
      <c r="BD250">
        <v>13333</v>
      </c>
      <c r="BE250">
        <v>1230</v>
      </c>
      <c r="BF250">
        <f t="shared" si="65"/>
        <v>59.856707236409726</v>
      </c>
      <c r="BG250" s="31">
        <f t="shared" si="66"/>
        <v>1.1631637781666668</v>
      </c>
      <c r="BH250">
        <f t="shared" si="75"/>
        <v>1</v>
      </c>
      <c r="BI250">
        <f t="shared" si="76"/>
        <v>9993</v>
      </c>
      <c r="BJ250">
        <f t="shared" si="77"/>
        <v>445139</v>
      </c>
      <c r="BK250">
        <f t="shared" si="78"/>
        <v>6826000</v>
      </c>
      <c r="BL250">
        <f t="shared" si="79"/>
        <v>1195547</v>
      </c>
      <c r="BM250">
        <f t="shared" si="80"/>
        <v>0</v>
      </c>
      <c r="BN250" t="str">
        <f t="shared" si="67"/>
        <v>u=1%, k=2x10^8</v>
      </c>
      <c r="BO250" t="str">
        <f t="shared" si="68"/>
        <v>u=1%, k=2x10^8, collaborative</v>
      </c>
      <c r="BP250">
        <f t="shared" si="69"/>
        <v>0.15630404874305556</v>
      </c>
      <c r="BQ250">
        <f t="shared" si="70"/>
        <v>1.936755625E-3</v>
      </c>
      <c r="BR250">
        <f t="shared" si="71"/>
        <v>0.55805517932638893</v>
      </c>
      <c r="BS250">
        <f t="shared" si="72"/>
        <v>0.36735865218055552</v>
      </c>
      <c r="BT250">
        <f t="shared" si="73"/>
        <v>7.9509142291666668E-2</v>
      </c>
      <c r="BU250">
        <f t="shared" si="74"/>
        <v>58.693543458243056</v>
      </c>
    </row>
    <row r="251" spans="1:73">
      <c r="A251" t="s">
        <v>834</v>
      </c>
      <c r="B251" t="s">
        <v>158</v>
      </c>
      <c r="C251">
        <v>72</v>
      </c>
      <c r="D251" t="s">
        <v>56</v>
      </c>
      <c r="E251" t="s">
        <v>53</v>
      </c>
      <c r="F251" t="s">
        <v>54</v>
      </c>
      <c r="G251">
        <v>60000</v>
      </c>
      <c r="H251">
        <v>0.5</v>
      </c>
      <c r="I251">
        <v>0.5</v>
      </c>
      <c r="J251">
        <v>0</v>
      </c>
      <c r="K251">
        <v>1</v>
      </c>
      <c r="L251">
        <v>200000000</v>
      </c>
      <c r="M251">
        <v>190</v>
      </c>
      <c r="N251">
        <v>190</v>
      </c>
      <c r="O251">
        <v>190</v>
      </c>
      <c r="P251">
        <v>0</v>
      </c>
      <c r="Q251" t="s">
        <v>55</v>
      </c>
      <c r="R251">
        <v>1.00013690824703E+16</v>
      </c>
      <c r="S251">
        <v>100000961</v>
      </c>
      <c r="T251">
        <v>1.00013690824703E+16</v>
      </c>
      <c r="U251">
        <v>100000961</v>
      </c>
      <c r="V251" t="s">
        <v>63</v>
      </c>
      <c r="W251">
        <v>7</v>
      </c>
      <c r="X251">
        <v>13564747</v>
      </c>
      <c r="Y251">
        <v>115219246</v>
      </c>
      <c r="Z251">
        <v>128783993</v>
      </c>
      <c r="AA251">
        <v>100000961</v>
      </c>
      <c r="AB251">
        <v>9.4940200000000008</v>
      </c>
      <c r="AC251">
        <v>0.867919</v>
      </c>
      <c r="AD251">
        <v>4.0525900000000004</v>
      </c>
      <c r="AE251">
        <v>2930351152</v>
      </c>
      <c r="AF251" t="s">
        <v>835</v>
      </c>
      <c r="AG251" t="s">
        <v>836</v>
      </c>
      <c r="AH251">
        <v>9118</v>
      </c>
      <c r="AI251">
        <v>58258</v>
      </c>
      <c r="AJ251">
        <v>11372774778906</v>
      </c>
      <c r="AK251">
        <v>41700356652</v>
      </c>
      <c r="AL251">
        <v>1047701452</v>
      </c>
      <c r="AM251">
        <v>177249116617</v>
      </c>
      <c r="AN251">
        <v>85908401268</v>
      </c>
      <c r="AO251">
        <v>23528625172</v>
      </c>
      <c r="AP251">
        <v>11155698011</v>
      </c>
      <c r="AQ251">
        <v>0</v>
      </c>
      <c r="AR251">
        <v>112681156</v>
      </c>
      <c r="AS251">
        <v>11155698011</v>
      </c>
      <c r="AT251">
        <v>11268379167</v>
      </c>
      <c r="AU251">
        <v>185928300</v>
      </c>
      <c r="AV251">
        <v>0</v>
      </c>
      <c r="AW251">
        <v>1878019</v>
      </c>
      <c r="AX251">
        <v>185928300</v>
      </c>
      <c r="AY251">
        <v>187806319</v>
      </c>
      <c r="AZ251">
        <v>19.39</v>
      </c>
      <c r="BA251">
        <v>9.6228999999999996</v>
      </c>
      <c r="BB251">
        <v>2761.64</v>
      </c>
      <c r="BC251">
        <v>2003.89</v>
      </c>
      <c r="BD251">
        <v>13889</v>
      </c>
      <c r="BE251">
        <v>1114</v>
      </c>
      <c r="BF251">
        <f t="shared" si="65"/>
        <v>59.856709362663153</v>
      </c>
      <c r="BG251" s="31">
        <f t="shared" si="66"/>
        <v>1.7338642166368419</v>
      </c>
      <c r="BH251">
        <f t="shared" si="75"/>
        <v>2</v>
      </c>
      <c r="BI251">
        <f t="shared" si="76"/>
        <v>20000</v>
      </c>
      <c r="BJ251">
        <f t="shared" si="77"/>
        <v>688036</v>
      </c>
      <c r="BK251">
        <f t="shared" si="78"/>
        <v>8063574</v>
      </c>
      <c r="BL251">
        <f t="shared" si="79"/>
        <v>1458996</v>
      </c>
      <c r="BM251">
        <f t="shared" si="80"/>
        <v>0</v>
      </c>
      <c r="BN251" t="str">
        <f t="shared" si="67"/>
        <v>u=1%, k=2x10^8</v>
      </c>
      <c r="BO251" t="str">
        <f t="shared" si="68"/>
        <v>u=1%, k=2x10^8, collaborative</v>
      </c>
      <c r="BP251">
        <f t="shared" si="69"/>
        <v>0.21947556132631582</v>
      </c>
      <c r="BQ251">
        <f t="shared" si="70"/>
        <v>5.5142181684210527E-3</v>
      </c>
      <c r="BR251">
        <f t="shared" si="71"/>
        <v>0.9328900874578947</v>
      </c>
      <c r="BS251">
        <f t="shared" si="72"/>
        <v>0.45214948035789476</v>
      </c>
      <c r="BT251">
        <f t="shared" si="73"/>
        <v>0.12383486932631579</v>
      </c>
      <c r="BU251">
        <f t="shared" si="74"/>
        <v>58.122845146026314</v>
      </c>
    </row>
    <row r="252" spans="1:73">
      <c r="A252" t="s">
        <v>837</v>
      </c>
      <c r="B252" t="s">
        <v>158</v>
      </c>
      <c r="C252">
        <v>72</v>
      </c>
      <c r="D252" t="s">
        <v>56</v>
      </c>
      <c r="E252" t="s">
        <v>53</v>
      </c>
      <c r="F252" t="s">
        <v>54</v>
      </c>
      <c r="G252">
        <v>60000</v>
      </c>
      <c r="H252">
        <v>0.5</v>
      </c>
      <c r="I252">
        <v>0.5</v>
      </c>
      <c r="J252">
        <v>0</v>
      </c>
      <c r="K252">
        <v>1</v>
      </c>
      <c r="L252">
        <v>2000000000</v>
      </c>
      <c r="M252">
        <v>24</v>
      </c>
      <c r="N252">
        <v>24</v>
      </c>
      <c r="O252">
        <v>24</v>
      </c>
      <c r="P252">
        <v>0</v>
      </c>
      <c r="Q252" t="s">
        <v>55</v>
      </c>
      <c r="R252">
        <v>9.9999870628993306E+17</v>
      </c>
      <c r="S252">
        <v>1000002782</v>
      </c>
      <c r="T252">
        <v>9.9999870628993306E+17</v>
      </c>
      <c r="U252">
        <v>1000002782</v>
      </c>
      <c r="V252" t="s">
        <v>63</v>
      </c>
      <c r="W252">
        <v>7</v>
      </c>
      <c r="X252">
        <v>87198442</v>
      </c>
      <c r="Y252">
        <v>1084278870</v>
      </c>
      <c r="Z252">
        <v>1171477312</v>
      </c>
      <c r="AA252">
        <v>1000002782</v>
      </c>
      <c r="AB252">
        <v>13.4346</v>
      </c>
      <c r="AC252">
        <v>0.92227499999999996</v>
      </c>
      <c r="AD252">
        <v>4.00549</v>
      </c>
      <c r="AE252">
        <v>24324573920</v>
      </c>
      <c r="AF252" t="s">
        <v>838</v>
      </c>
      <c r="AG252" t="s">
        <v>838</v>
      </c>
      <c r="AI252">
        <v>405002</v>
      </c>
      <c r="AJ252">
        <v>1436560951167</v>
      </c>
      <c r="AK252">
        <v>5470113</v>
      </c>
      <c r="AM252">
        <v>24084345</v>
      </c>
      <c r="AN252">
        <v>701803981</v>
      </c>
      <c r="AO252">
        <v>1836513</v>
      </c>
      <c r="AP252">
        <v>1091797229</v>
      </c>
      <c r="AQ252">
        <v>0</v>
      </c>
      <c r="AR252">
        <v>11027215</v>
      </c>
      <c r="AS252">
        <v>1091797229</v>
      </c>
      <c r="AT252">
        <v>1102824444</v>
      </c>
      <c r="AU252">
        <v>18196620</v>
      </c>
      <c r="AV252">
        <v>0</v>
      </c>
      <c r="AW252">
        <v>183786</v>
      </c>
      <c r="AX252">
        <v>18196620</v>
      </c>
      <c r="AY252">
        <v>18380407</v>
      </c>
      <c r="AZ252">
        <v>21.992100000000001</v>
      </c>
      <c r="BA252">
        <v>12.884600000000001</v>
      </c>
      <c r="BB252">
        <v>3640.08</v>
      </c>
      <c r="BC252">
        <v>2914.51</v>
      </c>
      <c r="BD252">
        <v>59444</v>
      </c>
      <c r="BE252">
        <v>15919</v>
      </c>
      <c r="BF252">
        <f t="shared" si="65"/>
        <v>59.856706298624999</v>
      </c>
      <c r="BG252" s="31">
        <f t="shared" si="66"/>
        <v>3.0549789666666664E-2</v>
      </c>
      <c r="BH252">
        <f t="shared" si="75"/>
        <v>0</v>
      </c>
      <c r="BI252">
        <f t="shared" si="76"/>
        <v>0</v>
      </c>
      <c r="BJ252">
        <f t="shared" si="77"/>
        <v>0</v>
      </c>
      <c r="BK252">
        <f t="shared" si="78"/>
        <v>1334</v>
      </c>
      <c r="BL252">
        <f t="shared" si="79"/>
        <v>14789</v>
      </c>
      <c r="BM252">
        <f t="shared" si="80"/>
        <v>0</v>
      </c>
      <c r="BN252" t="str">
        <f t="shared" si="67"/>
        <v>u=1%, k=2x10^9</v>
      </c>
      <c r="BO252" t="str">
        <f t="shared" si="68"/>
        <v>u=1%, k=2x10^9, collaborative</v>
      </c>
      <c r="BP252">
        <f t="shared" si="69"/>
        <v>2.2792137500000001E-4</v>
      </c>
      <c r="BQ252">
        <f t="shared" si="70"/>
        <v>0</v>
      </c>
      <c r="BR252">
        <f t="shared" si="71"/>
        <v>1.0035143750000001E-3</v>
      </c>
      <c r="BS252">
        <f t="shared" si="72"/>
        <v>2.9241832541666665E-2</v>
      </c>
      <c r="BT252">
        <f t="shared" si="73"/>
        <v>7.6521375000000001E-5</v>
      </c>
      <c r="BU252">
        <f t="shared" si="74"/>
        <v>59.826156508958334</v>
      </c>
    </row>
    <row r="253" spans="1:73">
      <c r="A253" t="s">
        <v>839</v>
      </c>
      <c r="B253" t="s">
        <v>158</v>
      </c>
      <c r="C253">
        <v>72</v>
      </c>
      <c r="D253" t="s">
        <v>56</v>
      </c>
      <c r="E253" t="s">
        <v>53</v>
      </c>
      <c r="F253" t="s">
        <v>54</v>
      </c>
      <c r="G253">
        <v>60000</v>
      </c>
      <c r="H253">
        <v>0.5</v>
      </c>
      <c r="I253">
        <v>0.5</v>
      </c>
      <c r="J253">
        <v>0</v>
      </c>
      <c r="K253">
        <v>1</v>
      </c>
      <c r="L253">
        <v>2000000000</v>
      </c>
      <c r="M253">
        <v>48</v>
      </c>
      <c r="N253">
        <v>48</v>
      </c>
      <c r="O253">
        <v>48</v>
      </c>
      <c r="P253">
        <v>0</v>
      </c>
      <c r="Q253" t="s">
        <v>55</v>
      </c>
      <c r="R253">
        <v>1.0000048625807601E+18</v>
      </c>
      <c r="S253">
        <v>1000002998</v>
      </c>
      <c r="T253">
        <v>1.0000048625807601E+18</v>
      </c>
      <c r="U253">
        <v>1000002998</v>
      </c>
      <c r="V253" t="s">
        <v>63</v>
      </c>
      <c r="W253">
        <v>7</v>
      </c>
      <c r="X253">
        <v>89406048</v>
      </c>
      <c r="Y253">
        <v>1088712080</v>
      </c>
      <c r="Z253">
        <v>1178118128</v>
      </c>
      <c r="AA253">
        <v>1000002998</v>
      </c>
      <c r="AB253">
        <v>13.177199999999999</v>
      </c>
      <c r="AC253">
        <v>0.91851899999999997</v>
      </c>
      <c r="AD253">
        <v>4.0099499999999999</v>
      </c>
      <c r="AE253">
        <v>24572646496</v>
      </c>
      <c r="AF253" t="s">
        <v>840</v>
      </c>
      <c r="AG253" t="s">
        <v>840</v>
      </c>
      <c r="AI253">
        <v>180686</v>
      </c>
      <c r="AJ253">
        <v>2873122100817</v>
      </c>
      <c r="AK253">
        <v>28706725</v>
      </c>
      <c r="AM253">
        <v>109623790</v>
      </c>
      <c r="AN253">
        <v>3274819911</v>
      </c>
      <c r="AO253">
        <v>10939457</v>
      </c>
      <c r="AP253">
        <v>1989650110</v>
      </c>
      <c r="AQ253">
        <v>0</v>
      </c>
      <c r="AR253">
        <v>20098317</v>
      </c>
      <c r="AS253">
        <v>1989650110</v>
      </c>
      <c r="AT253">
        <v>2009748427</v>
      </c>
      <c r="AU253">
        <v>33160835</v>
      </c>
      <c r="AV253">
        <v>0</v>
      </c>
      <c r="AW253">
        <v>334971</v>
      </c>
      <c r="AX253">
        <v>33160835</v>
      </c>
      <c r="AY253">
        <v>33495807</v>
      </c>
      <c r="AZ253">
        <v>22.023299999999999</v>
      </c>
      <c r="BA253">
        <v>12.939500000000001</v>
      </c>
      <c r="BB253">
        <v>3994.82</v>
      </c>
      <c r="BC253">
        <v>3329.37</v>
      </c>
      <c r="BD253">
        <v>59814</v>
      </c>
      <c r="BE253">
        <v>11842</v>
      </c>
      <c r="BF253">
        <f t="shared" si="65"/>
        <v>59.856710433687503</v>
      </c>
      <c r="BG253" s="31">
        <f t="shared" si="66"/>
        <v>7.1335205895833337E-2</v>
      </c>
      <c r="BH253">
        <f t="shared" si="75"/>
        <v>0</v>
      </c>
      <c r="BI253">
        <f t="shared" si="76"/>
        <v>0</v>
      </c>
      <c r="BJ253">
        <f t="shared" si="77"/>
        <v>0</v>
      </c>
      <c r="BK253">
        <f t="shared" si="78"/>
        <v>7956</v>
      </c>
      <c r="BL253">
        <f t="shared" si="79"/>
        <v>48987</v>
      </c>
      <c r="BM253">
        <f t="shared" si="80"/>
        <v>0</v>
      </c>
      <c r="BN253" t="str">
        <f t="shared" si="67"/>
        <v>u=1%, k=2x10^9</v>
      </c>
      <c r="BO253" t="str">
        <f t="shared" si="68"/>
        <v>u=1%, k=2x10^9, collaborative</v>
      </c>
      <c r="BP253">
        <f t="shared" si="69"/>
        <v>5.9805677083333327E-4</v>
      </c>
      <c r="BQ253">
        <f t="shared" si="70"/>
        <v>0</v>
      </c>
      <c r="BR253">
        <f t="shared" si="71"/>
        <v>2.2838289583333332E-3</v>
      </c>
      <c r="BS253">
        <f t="shared" si="72"/>
        <v>6.8225414812499996E-2</v>
      </c>
      <c r="BT253">
        <f t="shared" si="73"/>
        <v>2.2790535416666665E-4</v>
      </c>
      <c r="BU253">
        <f t="shared" si="74"/>
        <v>59.785375227791668</v>
      </c>
    </row>
    <row r="254" spans="1:73">
      <c r="A254" t="s">
        <v>841</v>
      </c>
      <c r="B254" t="s">
        <v>158</v>
      </c>
      <c r="C254">
        <v>72</v>
      </c>
      <c r="D254" t="s">
        <v>56</v>
      </c>
      <c r="E254" t="s">
        <v>53</v>
      </c>
      <c r="F254" t="s">
        <v>54</v>
      </c>
      <c r="G254">
        <v>60000</v>
      </c>
      <c r="H254">
        <v>0.5</v>
      </c>
      <c r="I254">
        <v>0.5</v>
      </c>
      <c r="J254">
        <v>0</v>
      </c>
      <c r="K254">
        <v>1</v>
      </c>
      <c r="L254">
        <v>2000000000</v>
      </c>
      <c r="M254">
        <v>96</v>
      </c>
      <c r="N254">
        <v>96</v>
      </c>
      <c r="O254">
        <v>96</v>
      </c>
      <c r="P254">
        <v>0</v>
      </c>
      <c r="Q254" t="s">
        <v>55</v>
      </c>
      <c r="R254">
        <v>9.9997941306618496E+17</v>
      </c>
      <c r="S254">
        <v>1000003227</v>
      </c>
      <c r="T254">
        <v>9.9997941306618496E+17</v>
      </c>
      <c r="U254">
        <v>1000003227</v>
      </c>
      <c r="V254" t="s">
        <v>63</v>
      </c>
      <c r="W254">
        <v>7</v>
      </c>
      <c r="X254">
        <v>95110110</v>
      </c>
      <c r="Y254">
        <v>1100221495</v>
      </c>
      <c r="Z254">
        <v>1195331605</v>
      </c>
      <c r="AA254">
        <v>1000003227</v>
      </c>
      <c r="AB254">
        <v>12.5679</v>
      </c>
      <c r="AC254">
        <v>0.90891100000000002</v>
      </c>
      <c r="AD254">
        <v>4.0216200000000004</v>
      </c>
      <c r="AE254">
        <v>25215855888</v>
      </c>
      <c r="AF254" t="s">
        <v>842</v>
      </c>
      <c r="AG254" t="s">
        <v>842</v>
      </c>
      <c r="AI254">
        <v>98860</v>
      </c>
      <c r="AJ254">
        <v>5746244409329</v>
      </c>
      <c r="AK254">
        <v>183028048</v>
      </c>
      <c r="AM254">
        <v>658746573</v>
      </c>
      <c r="AN254">
        <v>9967845341</v>
      </c>
      <c r="AO254">
        <v>100055428</v>
      </c>
      <c r="AP254">
        <v>4402711417</v>
      </c>
      <c r="AQ254">
        <v>0</v>
      </c>
      <c r="AR254">
        <v>44471921</v>
      </c>
      <c r="AS254">
        <v>4402711417</v>
      </c>
      <c r="AT254">
        <v>4447183338</v>
      </c>
      <c r="AU254">
        <v>73378523</v>
      </c>
      <c r="AV254">
        <v>0</v>
      </c>
      <c r="AW254">
        <v>741198</v>
      </c>
      <c r="AX254">
        <v>73378523</v>
      </c>
      <c r="AY254">
        <v>74119722</v>
      </c>
      <c r="AZ254">
        <v>22.0944</v>
      </c>
      <c r="BA254">
        <v>13.7751</v>
      </c>
      <c r="BB254">
        <v>3606.4</v>
      </c>
      <c r="BC254">
        <v>2883.68</v>
      </c>
      <c r="BD254">
        <v>60702</v>
      </c>
      <c r="BE254">
        <v>10124</v>
      </c>
      <c r="BF254">
        <f t="shared" si="65"/>
        <v>59.856712597177079</v>
      </c>
      <c r="BG254" s="31">
        <f t="shared" si="66"/>
        <v>0.11364245197916667</v>
      </c>
      <c r="BH254">
        <f t="shared" si="75"/>
        <v>0</v>
      </c>
      <c r="BI254">
        <f t="shared" si="76"/>
        <v>0</v>
      </c>
      <c r="BJ254">
        <f t="shared" si="77"/>
        <v>0</v>
      </c>
      <c r="BK254">
        <f t="shared" si="78"/>
        <v>84913</v>
      </c>
      <c r="BL254">
        <f t="shared" si="79"/>
        <v>226492</v>
      </c>
      <c r="BM254">
        <f t="shared" si="80"/>
        <v>0</v>
      </c>
      <c r="BN254" t="str">
        <f t="shared" si="67"/>
        <v>u=1%, k=2x10^9</v>
      </c>
      <c r="BO254" t="str">
        <f t="shared" si="68"/>
        <v>u=1%, k=2x10^9, collaborative</v>
      </c>
      <c r="BP254">
        <f t="shared" si="69"/>
        <v>1.9065421666666666E-3</v>
      </c>
      <c r="BQ254">
        <f t="shared" si="70"/>
        <v>0</v>
      </c>
      <c r="BR254">
        <f t="shared" si="71"/>
        <v>6.8619434687499994E-3</v>
      </c>
      <c r="BS254">
        <f t="shared" si="72"/>
        <v>0.10383172230208333</v>
      </c>
      <c r="BT254">
        <f t="shared" si="73"/>
        <v>1.0422440416666668E-3</v>
      </c>
      <c r="BU254">
        <f t="shared" si="74"/>
        <v>59.743070145197912</v>
      </c>
    </row>
    <row r="255" spans="1:73">
      <c r="A255" t="s">
        <v>843</v>
      </c>
      <c r="B255" t="s">
        <v>158</v>
      </c>
      <c r="C255">
        <v>72</v>
      </c>
      <c r="D255" t="s">
        <v>56</v>
      </c>
      <c r="E255" t="s">
        <v>53</v>
      </c>
      <c r="F255" t="s">
        <v>54</v>
      </c>
      <c r="G255">
        <v>60000</v>
      </c>
      <c r="H255">
        <v>0.5</v>
      </c>
      <c r="I255">
        <v>0.5</v>
      </c>
      <c r="J255">
        <v>0</v>
      </c>
      <c r="K255">
        <v>1</v>
      </c>
      <c r="L255">
        <v>2000000000</v>
      </c>
      <c r="M255">
        <v>144</v>
      </c>
      <c r="N255">
        <v>144</v>
      </c>
      <c r="O255">
        <v>144</v>
      </c>
      <c r="P255">
        <v>0</v>
      </c>
      <c r="Q255" t="s">
        <v>55</v>
      </c>
      <c r="R255">
        <v>1.00000814672975E+18</v>
      </c>
      <c r="S255">
        <v>1000001457</v>
      </c>
      <c r="T255">
        <v>1.00000814672975E+18</v>
      </c>
      <c r="U255">
        <v>1000001457</v>
      </c>
      <c r="V255" t="s">
        <v>63</v>
      </c>
      <c r="W255">
        <v>7</v>
      </c>
      <c r="X255">
        <v>99949819</v>
      </c>
      <c r="Y255">
        <v>1110058105</v>
      </c>
      <c r="Z255">
        <v>1210007924</v>
      </c>
      <c r="AA255">
        <v>1000001457</v>
      </c>
      <c r="AB255">
        <v>12.106199999999999</v>
      </c>
      <c r="AC255">
        <v>0.90085499999999996</v>
      </c>
      <c r="AD255">
        <v>4.03165</v>
      </c>
      <c r="AE255">
        <v>25764212048</v>
      </c>
      <c r="AF255" t="s">
        <v>844</v>
      </c>
      <c r="AG255" t="s">
        <v>844</v>
      </c>
      <c r="AI255">
        <v>65394</v>
      </c>
      <c r="AJ255">
        <v>8619367291237</v>
      </c>
      <c r="AK255">
        <v>493299927</v>
      </c>
      <c r="AM255">
        <v>1637866049</v>
      </c>
      <c r="AN255">
        <v>12313867865</v>
      </c>
      <c r="AO255">
        <v>290703063</v>
      </c>
      <c r="AP255">
        <v>6592460741</v>
      </c>
      <c r="AQ255">
        <v>0</v>
      </c>
      <c r="AR255">
        <v>66600431</v>
      </c>
      <c r="AS255">
        <v>6592460741</v>
      </c>
      <c r="AT255">
        <v>6659061172</v>
      </c>
      <c r="AU255">
        <v>109874345</v>
      </c>
      <c r="AV255">
        <v>0</v>
      </c>
      <c r="AW255">
        <v>1110007</v>
      </c>
      <c r="AX255">
        <v>109874345</v>
      </c>
      <c r="AY255">
        <v>110984352</v>
      </c>
      <c r="AZ255">
        <v>22.1768</v>
      </c>
      <c r="BA255">
        <v>14.011900000000001</v>
      </c>
      <c r="BB255">
        <v>3612.12</v>
      </c>
      <c r="BC255">
        <v>2880.8</v>
      </c>
      <c r="BD255">
        <v>61551</v>
      </c>
      <c r="BE255">
        <v>9378</v>
      </c>
      <c r="BF255">
        <f t="shared" si="65"/>
        <v>59.856717300256946</v>
      </c>
      <c r="BG255" s="31">
        <f t="shared" si="66"/>
        <v>0.10233150627777778</v>
      </c>
      <c r="BH255">
        <f t="shared" si="75"/>
        <v>0</v>
      </c>
      <c r="BI255">
        <f t="shared" si="76"/>
        <v>0</v>
      </c>
      <c r="BJ255">
        <f t="shared" si="77"/>
        <v>0</v>
      </c>
      <c r="BK255">
        <f t="shared" si="78"/>
        <v>278325</v>
      </c>
      <c r="BL255">
        <f t="shared" si="79"/>
        <v>485157</v>
      </c>
      <c r="BM255">
        <f t="shared" si="80"/>
        <v>0</v>
      </c>
      <c r="BN255" t="str">
        <f t="shared" si="67"/>
        <v>u=1%, k=2x10^9</v>
      </c>
      <c r="BO255" t="str">
        <f t="shared" si="68"/>
        <v>u=1%, k=2x10^9, collaborative</v>
      </c>
      <c r="BP255">
        <f t="shared" si="69"/>
        <v>3.4256939375E-3</v>
      </c>
      <c r="BQ255">
        <f t="shared" si="70"/>
        <v>0</v>
      </c>
      <c r="BR255">
        <f t="shared" si="71"/>
        <v>1.1374069784722224E-2</v>
      </c>
      <c r="BS255">
        <f t="shared" si="72"/>
        <v>8.5512971284722225E-2</v>
      </c>
      <c r="BT255">
        <f t="shared" si="73"/>
        <v>2.0187712708333331E-3</v>
      </c>
      <c r="BU255">
        <f t="shared" si="74"/>
        <v>59.754385793979168</v>
      </c>
    </row>
    <row r="256" spans="1:73">
      <c r="A256" t="s">
        <v>845</v>
      </c>
      <c r="B256" t="s">
        <v>158</v>
      </c>
      <c r="C256">
        <v>72</v>
      </c>
      <c r="D256" t="s">
        <v>56</v>
      </c>
      <c r="E256" t="s">
        <v>53</v>
      </c>
      <c r="F256" t="s">
        <v>54</v>
      </c>
      <c r="G256">
        <v>60000</v>
      </c>
      <c r="H256">
        <v>0.5</v>
      </c>
      <c r="I256">
        <v>0.5</v>
      </c>
      <c r="J256">
        <v>0</v>
      </c>
      <c r="K256">
        <v>1</v>
      </c>
      <c r="L256">
        <v>2000000000</v>
      </c>
      <c r="M256">
        <v>190</v>
      </c>
      <c r="N256">
        <v>190</v>
      </c>
      <c r="O256">
        <v>190</v>
      </c>
      <c r="P256">
        <v>0</v>
      </c>
      <c r="Q256" t="s">
        <v>55</v>
      </c>
      <c r="R256">
        <v>9.9997710319081894E+17</v>
      </c>
      <c r="S256">
        <v>999990057</v>
      </c>
      <c r="T256">
        <v>9.9997710319081894E+17</v>
      </c>
      <c r="U256">
        <v>999990057</v>
      </c>
      <c r="V256" t="s">
        <v>63</v>
      </c>
      <c r="W256">
        <v>7</v>
      </c>
      <c r="X256">
        <v>104084761</v>
      </c>
      <c r="Y256">
        <v>1118530492</v>
      </c>
      <c r="Z256">
        <v>1222615253</v>
      </c>
      <c r="AA256">
        <v>999990057</v>
      </c>
      <c r="AB256">
        <v>11.7463</v>
      </c>
      <c r="AC256">
        <v>0.89402099999999995</v>
      </c>
      <c r="AD256">
        <v>4.0403099999999998</v>
      </c>
      <c r="AE256">
        <v>26234762480</v>
      </c>
      <c r="AF256" t="s">
        <v>846</v>
      </c>
      <c r="AG256" t="s">
        <v>846</v>
      </c>
      <c r="AI256">
        <v>51146</v>
      </c>
      <c r="AJ256">
        <v>11372776257601</v>
      </c>
      <c r="AK256">
        <v>984529466</v>
      </c>
      <c r="AM256">
        <v>3074285834</v>
      </c>
      <c r="AN256">
        <v>15184275238</v>
      </c>
      <c r="AO256">
        <v>588462904</v>
      </c>
      <c r="AP256">
        <v>8614545542</v>
      </c>
      <c r="AQ256">
        <v>0</v>
      </c>
      <c r="AR256">
        <v>87021089</v>
      </c>
      <c r="AS256">
        <v>8614545542</v>
      </c>
      <c r="AT256">
        <v>8701566631</v>
      </c>
      <c r="AU256">
        <v>143575759</v>
      </c>
      <c r="AV256">
        <v>0</v>
      </c>
      <c r="AW256">
        <v>1450351</v>
      </c>
      <c r="AX256">
        <v>143575759</v>
      </c>
      <c r="AY256">
        <v>145026110</v>
      </c>
      <c r="AZ256">
        <v>22.1721</v>
      </c>
      <c r="BA256">
        <v>14.1355</v>
      </c>
      <c r="BB256">
        <v>3646.23</v>
      </c>
      <c r="BC256">
        <v>2905.29</v>
      </c>
      <c r="BD256">
        <v>62223</v>
      </c>
      <c r="BE256">
        <v>9522</v>
      </c>
      <c r="BF256">
        <f t="shared" si="65"/>
        <v>59.856717145268426</v>
      </c>
      <c r="BG256" s="31">
        <f t="shared" si="66"/>
        <v>0.1043765970631579</v>
      </c>
      <c r="BH256">
        <f t="shared" si="75"/>
        <v>0</v>
      </c>
      <c r="BI256">
        <f t="shared" si="76"/>
        <v>0</v>
      </c>
      <c r="BJ256">
        <f t="shared" si="77"/>
        <v>0</v>
      </c>
      <c r="BK256">
        <f t="shared" si="78"/>
        <v>599573</v>
      </c>
      <c r="BL256">
        <f t="shared" si="79"/>
        <v>789150</v>
      </c>
      <c r="BM256">
        <f t="shared" si="80"/>
        <v>0</v>
      </c>
      <c r="BN256" t="str">
        <f t="shared" si="67"/>
        <v>u=1%, k=2x10^9</v>
      </c>
      <c r="BO256" t="str">
        <f t="shared" si="68"/>
        <v>u=1%, k=2x10^9, collaborative</v>
      </c>
      <c r="BP256">
        <f t="shared" si="69"/>
        <v>5.1817340315789473E-3</v>
      </c>
      <c r="BQ256">
        <f t="shared" si="70"/>
        <v>0</v>
      </c>
      <c r="BR256">
        <f t="shared" si="71"/>
        <v>1.6180451757894735E-2</v>
      </c>
      <c r="BS256">
        <f t="shared" si="72"/>
        <v>7.9917238094736845E-2</v>
      </c>
      <c r="BT256">
        <f t="shared" si="73"/>
        <v>3.0971731789473686E-3</v>
      </c>
      <c r="BU256">
        <f t="shared" si="74"/>
        <v>59.752340548205268</v>
      </c>
    </row>
    <row r="257" spans="1:73">
      <c r="A257" t="s">
        <v>847</v>
      </c>
      <c r="B257" t="s">
        <v>158</v>
      </c>
      <c r="C257">
        <v>72</v>
      </c>
      <c r="D257" t="s">
        <v>56</v>
      </c>
      <c r="E257" t="s">
        <v>53</v>
      </c>
      <c r="F257" t="s">
        <v>54</v>
      </c>
      <c r="G257">
        <v>60000</v>
      </c>
      <c r="H257">
        <v>5</v>
      </c>
      <c r="I257">
        <v>5</v>
      </c>
      <c r="J257">
        <v>0</v>
      </c>
      <c r="K257">
        <v>1</v>
      </c>
      <c r="L257">
        <v>2000000</v>
      </c>
      <c r="M257">
        <v>24</v>
      </c>
      <c r="N257">
        <v>24</v>
      </c>
      <c r="O257">
        <v>24</v>
      </c>
      <c r="P257">
        <v>0</v>
      </c>
      <c r="Q257" t="s">
        <v>55</v>
      </c>
      <c r="R257">
        <v>1000984853738</v>
      </c>
      <c r="S257">
        <v>1000021</v>
      </c>
      <c r="T257">
        <v>1000984853738</v>
      </c>
      <c r="U257">
        <v>1000021</v>
      </c>
      <c r="V257" t="s">
        <v>63</v>
      </c>
      <c r="W257">
        <v>6</v>
      </c>
      <c r="X257">
        <v>61256</v>
      </c>
      <c r="Y257">
        <v>1089230</v>
      </c>
      <c r="Z257">
        <v>1150486</v>
      </c>
      <c r="AA257">
        <v>1000021</v>
      </c>
      <c r="AB257">
        <v>18.781600000000001</v>
      </c>
      <c r="AC257">
        <v>0.918099</v>
      </c>
      <c r="AD257">
        <v>3.0591200000000001</v>
      </c>
      <c r="AE257">
        <v>22356624</v>
      </c>
      <c r="AF257" t="s">
        <v>848</v>
      </c>
      <c r="AG257" t="s">
        <v>849</v>
      </c>
      <c r="AH257">
        <v>179459</v>
      </c>
      <c r="AI257">
        <v>1475724</v>
      </c>
      <c r="AJ257">
        <v>1436561163176</v>
      </c>
      <c r="AK257">
        <v>35138604792</v>
      </c>
      <c r="AL257">
        <v>316847376</v>
      </c>
      <c r="AM257">
        <v>41370315332</v>
      </c>
      <c r="AN257">
        <v>32734933227</v>
      </c>
      <c r="AO257">
        <v>16671609715</v>
      </c>
      <c r="AP257">
        <v>3497352480</v>
      </c>
      <c r="AQ257">
        <v>0</v>
      </c>
      <c r="AR257">
        <v>388582834</v>
      </c>
      <c r="AS257">
        <v>3497352480</v>
      </c>
      <c r="AT257">
        <v>3885935314</v>
      </c>
      <c r="AU257">
        <v>58289208</v>
      </c>
      <c r="AV257">
        <v>0</v>
      </c>
      <c r="AW257">
        <v>6476380</v>
      </c>
      <c r="AX257">
        <v>58289208</v>
      </c>
      <c r="AY257">
        <v>64765588</v>
      </c>
      <c r="AZ257">
        <v>10.2318</v>
      </c>
      <c r="BA257">
        <v>0.36218899999999998</v>
      </c>
      <c r="BB257">
        <v>1032.8800000000001</v>
      </c>
      <c r="BC257">
        <v>368.74099999999999</v>
      </c>
      <c r="BD257">
        <v>1207</v>
      </c>
      <c r="BE257">
        <v>31</v>
      </c>
      <c r="BF257">
        <f t="shared" si="65"/>
        <v>59.856715132333335</v>
      </c>
      <c r="BG257" s="31">
        <f t="shared" si="66"/>
        <v>5.2596796017500003</v>
      </c>
      <c r="BH257">
        <f t="shared" si="75"/>
        <v>777</v>
      </c>
      <c r="BI257">
        <f t="shared" si="76"/>
        <v>697154</v>
      </c>
      <c r="BJ257">
        <f t="shared" si="77"/>
        <v>10036997</v>
      </c>
      <c r="BK257">
        <f t="shared" si="78"/>
        <v>11248587</v>
      </c>
      <c r="BL257">
        <f t="shared" si="79"/>
        <v>0</v>
      </c>
      <c r="BM257">
        <f t="shared" si="80"/>
        <v>0</v>
      </c>
      <c r="BN257" t="str">
        <f t="shared" si="67"/>
        <v>u=10%, k=2x10^6</v>
      </c>
      <c r="BO257" t="str">
        <f t="shared" si="68"/>
        <v>u=10%, k=2x10^6, collaborative</v>
      </c>
      <c r="BP257">
        <f t="shared" si="69"/>
        <v>1.4641085330000001</v>
      </c>
      <c r="BQ257">
        <f t="shared" si="70"/>
        <v>1.3201974E-2</v>
      </c>
      <c r="BR257">
        <f t="shared" si="71"/>
        <v>1.7237631388333332</v>
      </c>
      <c r="BS257">
        <f t="shared" si="72"/>
        <v>1.3639555511249999</v>
      </c>
      <c r="BT257">
        <f t="shared" si="73"/>
        <v>0.69465040479166662</v>
      </c>
      <c r="BU257">
        <f t="shared" si="74"/>
        <v>54.597035530583334</v>
      </c>
    </row>
    <row r="258" spans="1:73">
      <c r="A258" t="s">
        <v>850</v>
      </c>
      <c r="B258" t="s">
        <v>158</v>
      </c>
      <c r="C258">
        <v>72</v>
      </c>
      <c r="D258" t="s">
        <v>56</v>
      </c>
      <c r="E258" t="s">
        <v>53</v>
      </c>
      <c r="F258" t="s">
        <v>54</v>
      </c>
      <c r="G258">
        <v>60000</v>
      </c>
      <c r="H258">
        <v>5</v>
      </c>
      <c r="I258">
        <v>5</v>
      </c>
      <c r="J258">
        <v>0</v>
      </c>
      <c r="K258">
        <v>1</v>
      </c>
      <c r="L258">
        <v>2000000</v>
      </c>
      <c r="M258">
        <v>48</v>
      </c>
      <c r="N258">
        <v>48</v>
      </c>
      <c r="O258">
        <v>48</v>
      </c>
      <c r="P258">
        <v>0</v>
      </c>
      <c r="Q258" t="s">
        <v>55</v>
      </c>
      <c r="R258">
        <v>999408976944</v>
      </c>
      <c r="S258">
        <v>999428</v>
      </c>
      <c r="T258">
        <v>999408976944</v>
      </c>
      <c r="U258">
        <v>999428</v>
      </c>
      <c r="V258" t="s">
        <v>63</v>
      </c>
      <c r="W258">
        <v>6</v>
      </c>
      <c r="X258">
        <v>72849</v>
      </c>
      <c r="Y258">
        <v>1113477</v>
      </c>
      <c r="Z258">
        <v>1186326</v>
      </c>
      <c r="AA258">
        <v>999428</v>
      </c>
      <c r="AB258">
        <v>16.284700000000001</v>
      </c>
      <c r="AC258">
        <v>0.89757399999999998</v>
      </c>
      <c r="AD258">
        <v>3.0850599999999999</v>
      </c>
      <c r="AE258">
        <v>23700864</v>
      </c>
      <c r="AF258" t="s">
        <v>851</v>
      </c>
      <c r="AG258" t="s">
        <v>852</v>
      </c>
      <c r="AH258">
        <v>751334</v>
      </c>
      <c r="AI258">
        <v>546506</v>
      </c>
      <c r="AJ258">
        <v>2873122366932</v>
      </c>
      <c r="AK258">
        <v>88077659573</v>
      </c>
      <c r="AL258">
        <v>1540944170</v>
      </c>
      <c r="AM258">
        <v>104548770306</v>
      </c>
      <c r="AN258">
        <v>56755165758</v>
      </c>
      <c r="AO258">
        <v>40649745296</v>
      </c>
      <c r="AP258">
        <v>5193066929</v>
      </c>
      <c r="AQ258">
        <v>0</v>
      </c>
      <c r="AR258">
        <v>577023172</v>
      </c>
      <c r="AS258">
        <v>5193066929</v>
      </c>
      <c r="AT258">
        <v>5770090101</v>
      </c>
      <c r="AU258">
        <v>86551115</v>
      </c>
      <c r="AV258">
        <v>0</v>
      </c>
      <c r="AW258">
        <v>9617052</v>
      </c>
      <c r="AX258">
        <v>86551115</v>
      </c>
      <c r="AY258">
        <v>96168168</v>
      </c>
      <c r="AZ258">
        <v>10.3856</v>
      </c>
      <c r="BA258">
        <v>0.469835</v>
      </c>
      <c r="BB258">
        <v>1380.06</v>
      </c>
      <c r="BC258">
        <v>593.18700000000001</v>
      </c>
      <c r="BD258">
        <v>1254</v>
      </c>
      <c r="BE258">
        <v>39</v>
      </c>
      <c r="BF258">
        <f t="shared" si="65"/>
        <v>59.856715977750007</v>
      </c>
      <c r="BG258" s="31">
        <f t="shared" si="66"/>
        <v>6.0744226063125</v>
      </c>
      <c r="BH258">
        <f t="shared" si="75"/>
        <v>1154</v>
      </c>
      <c r="BI258">
        <f t="shared" si="76"/>
        <v>1138088</v>
      </c>
      <c r="BJ258">
        <f t="shared" si="77"/>
        <v>10809267</v>
      </c>
      <c r="BK258">
        <f t="shared" si="78"/>
        <v>15697319</v>
      </c>
      <c r="BL258">
        <f t="shared" si="79"/>
        <v>0</v>
      </c>
      <c r="BM258">
        <f t="shared" si="80"/>
        <v>0</v>
      </c>
      <c r="BN258" t="str">
        <f t="shared" si="67"/>
        <v>u=10%, k=2x10^6</v>
      </c>
      <c r="BO258" t="str">
        <f t="shared" si="68"/>
        <v>u=10%, k=2x10^6, collaborative</v>
      </c>
      <c r="BP258">
        <f t="shared" si="69"/>
        <v>1.8349512411041669</v>
      </c>
      <c r="BQ258">
        <f t="shared" si="70"/>
        <v>3.2103003541666668E-2</v>
      </c>
      <c r="BR258">
        <f t="shared" si="71"/>
        <v>2.178099381375</v>
      </c>
      <c r="BS258">
        <f t="shared" si="72"/>
        <v>1.1823992866249999</v>
      </c>
      <c r="BT258">
        <f t="shared" si="73"/>
        <v>0.84686969366666665</v>
      </c>
      <c r="BU258">
        <f t="shared" si="74"/>
        <v>53.782293371437504</v>
      </c>
    </row>
    <row r="259" spans="1:73">
      <c r="A259" t="s">
        <v>853</v>
      </c>
      <c r="B259" t="s">
        <v>158</v>
      </c>
      <c r="C259">
        <v>72</v>
      </c>
      <c r="D259" t="s">
        <v>56</v>
      </c>
      <c r="E259" t="s">
        <v>53</v>
      </c>
      <c r="F259" t="s">
        <v>54</v>
      </c>
      <c r="G259">
        <v>60000</v>
      </c>
      <c r="H259">
        <v>5</v>
      </c>
      <c r="I259">
        <v>5</v>
      </c>
      <c r="J259">
        <v>0</v>
      </c>
      <c r="K259">
        <v>1</v>
      </c>
      <c r="L259">
        <v>2000000</v>
      </c>
      <c r="M259">
        <v>96</v>
      </c>
      <c r="N259">
        <v>96</v>
      </c>
      <c r="O259">
        <v>96</v>
      </c>
      <c r="P259">
        <v>0</v>
      </c>
      <c r="Q259" t="s">
        <v>55</v>
      </c>
      <c r="R259">
        <v>999937083175</v>
      </c>
      <c r="S259">
        <v>999934</v>
      </c>
      <c r="T259">
        <v>999937083175</v>
      </c>
      <c r="U259">
        <v>999934</v>
      </c>
      <c r="V259" t="s">
        <v>63</v>
      </c>
      <c r="W259">
        <v>6</v>
      </c>
      <c r="X259">
        <v>66733</v>
      </c>
      <c r="Y259">
        <v>1100807</v>
      </c>
      <c r="Z259">
        <v>1167540</v>
      </c>
      <c r="AA259">
        <v>999934</v>
      </c>
      <c r="AB259">
        <v>17.495699999999999</v>
      </c>
      <c r="AC259">
        <v>0.90836399999999995</v>
      </c>
      <c r="AD259">
        <v>3.0714899999999998</v>
      </c>
      <c r="AE259">
        <v>22995040</v>
      </c>
      <c r="AF259" t="s">
        <v>854</v>
      </c>
      <c r="AG259" t="s">
        <v>855</v>
      </c>
      <c r="AH259">
        <v>3737587</v>
      </c>
      <c r="AI259">
        <v>218094</v>
      </c>
      <c r="AJ259">
        <v>5746244973989</v>
      </c>
      <c r="AK259">
        <v>268125244934</v>
      </c>
      <c r="AL259">
        <v>9242380954</v>
      </c>
      <c r="AM259">
        <v>332752446229</v>
      </c>
      <c r="AN259">
        <v>146102762796</v>
      </c>
      <c r="AO259">
        <v>261118063193</v>
      </c>
      <c r="AP259">
        <v>7912675286</v>
      </c>
      <c r="AQ259">
        <v>0</v>
      </c>
      <c r="AR259">
        <v>879179401</v>
      </c>
      <c r="AS259">
        <v>7912675286</v>
      </c>
      <c r="AT259">
        <v>8791854687</v>
      </c>
      <c r="AU259">
        <v>131877921</v>
      </c>
      <c r="AV259">
        <v>0</v>
      </c>
      <c r="AW259">
        <v>14652990</v>
      </c>
      <c r="AX259">
        <v>131877921</v>
      </c>
      <c r="AY259">
        <v>146530911</v>
      </c>
      <c r="AZ259">
        <v>11.1381</v>
      </c>
      <c r="BA259">
        <v>1.6150500000000001</v>
      </c>
      <c r="BB259">
        <v>1823.43</v>
      </c>
      <c r="BC259">
        <v>996.10400000000004</v>
      </c>
      <c r="BD259">
        <v>1366</v>
      </c>
      <c r="BE259">
        <v>251</v>
      </c>
      <c r="BF259">
        <f t="shared" si="65"/>
        <v>59.856718479052084</v>
      </c>
      <c r="BG259" s="31">
        <f t="shared" si="66"/>
        <v>10.597301021937501</v>
      </c>
      <c r="BH259">
        <f t="shared" si="75"/>
        <v>1759</v>
      </c>
      <c r="BI259">
        <f t="shared" si="76"/>
        <v>2747337</v>
      </c>
      <c r="BJ259">
        <f t="shared" si="77"/>
        <v>4772576</v>
      </c>
      <c r="BK259">
        <f t="shared" si="78"/>
        <v>20317157</v>
      </c>
      <c r="BL259">
        <f t="shared" si="79"/>
        <v>0</v>
      </c>
      <c r="BM259">
        <f t="shared" si="80"/>
        <v>0</v>
      </c>
      <c r="BN259" t="str">
        <f t="shared" si="67"/>
        <v>u=10%, k=2x10^6</v>
      </c>
      <c r="BO259" t="str">
        <f t="shared" si="68"/>
        <v>u=10%, k=2x10^6, collaborative</v>
      </c>
      <c r="BP259">
        <f t="shared" si="69"/>
        <v>2.7929713013958337</v>
      </c>
      <c r="BQ259">
        <f t="shared" si="70"/>
        <v>9.6274801604166668E-2</v>
      </c>
      <c r="BR259">
        <f t="shared" si="71"/>
        <v>3.4661713148854165</v>
      </c>
      <c r="BS259">
        <f t="shared" si="72"/>
        <v>1.5219037791250001</v>
      </c>
      <c r="BT259">
        <f t="shared" si="73"/>
        <v>2.7199798249270835</v>
      </c>
      <c r="BU259">
        <f t="shared" si="74"/>
        <v>49.25941745711458</v>
      </c>
    </row>
    <row r="260" spans="1:73">
      <c r="A260" t="s">
        <v>856</v>
      </c>
      <c r="B260" t="s">
        <v>158</v>
      </c>
      <c r="C260">
        <v>72</v>
      </c>
      <c r="D260" t="s">
        <v>56</v>
      </c>
      <c r="E260" t="s">
        <v>53</v>
      </c>
      <c r="F260" t="s">
        <v>54</v>
      </c>
      <c r="G260">
        <v>60000</v>
      </c>
      <c r="H260">
        <v>5</v>
      </c>
      <c r="I260">
        <v>5</v>
      </c>
      <c r="J260">
        <v>0</v>
      </c>
      <c r="K260">
        <v>1</v>
      </c>
      <c r="L260">
        <v>2000000</v>
      </c>
      <c r="M260">
        <v>144</v>
      </c>
      <c r="N260">
        <v>144</v>
      </c>
      <c r="O260">
        <v>144</v>
      </c>
      <c r="P260">
        <v>0</v>
      </c>
      <c r="Q260" t="s">
        <v>55</v>
      </c>
      <c r="R260">
        <v>1000291221975</v>
      </c>
      <c r="S260">
        <v>1000330</v>
      </c>
      <c r="T260">
        <v>1000291221975</v>
      </c>
      <c r="U260">
        <v>1000330</v>
      </c>
      <c r="V260" t="s">
        <v>63</v>
      </c>
      <c r="W260">
        <v>6</v>
      </c>
      <c r="X260">
        <v>51282</v>
      </c>
      <c r="Y260">
        <v>1069516</v>
      </c>
      <c r="Z260">
        <v>1120798</v>
      </c>
      <c r="AA260">
        <v>1000330</v>
      </c>
      <c r="AB260">
        <v>21.855599999999999</v>
      </c>
      <c r="AC260">
        <v>0.935311</v>
      </c>
      <c r="AD260">
        <v>3.0379499999999999</v>
      </c>
      <c r="AE260">
        <v>21230720</v>
      </c>
      <c r="AF260" t="s">
        <v>857</v>
      </c>
      <c r="AG260" t="s">
        <v>858</v>
      </c>
      <c r="AH260">
        <v>10098916</v>
      </c>
      <c r="AI260">
        <v>124326</v>
      </c>
      <c r="AJ260">
        <v>8619368450253</v>
      </c>
      <c r="AK260">
        <v>530389361459</v>
      </c>
      <c r="AL260">
        <v>24383963118</v>
      </c>
      <c r="AM260">
        <v>701657193135</v>
      </c>
      <c r="AN260">
        <v>179269921091</v>
      </c>
      <c r="AO260">
        <v>637195847762</v>
      </c>
      <c r="AP260">
        <v>9733195814</v>
      </c>
      <c r="AQ260">
        <v>0</v>
      </c>
      <c r="AR260">
        <v>1081496159</v>
      </c>
      <c r="AS260">
        <v>9733195814</v>
      </c>
      <c r="AT260">
        <v>10814691973</v>
      </c>
      <c r="AU260">
        <v>162219930</v>
      </c>
      <c r="AV260">
        <v>0</v>
      </c>
      <c r="AW260">
        <v>18024935</v>
      </c>
      <c r="AX260">
        <v>162219930</v>
      </c>
      <c r="AY260">
        <v>180244866</v>
      </c>
      <c r="AZ260">
        <v>12.3416</v>
      </c>
      <c r="BA260">
        <v>2.7103999999999999</v>
      </c>
      <c r="BB260">
        <v>2220.98</v>
      </c>
      <c r="BC260">
        <v>1359.05</v>
      </c>
      <c r="BD260">
        <v>1515</v>
      </c>
      <c r="BE260">
        <v>320</v>
      </c>
      <c r="BF260">
        <f t="shared" si="65"/>
        <v>59.856725348979161</v>
      </c>
      <c r="BG260" s="31">
        <f t="shared" si="66"/>
        <v>14.395113101145833</v>
      </c>
      <c r="BH260">
        <f t="shared" si="75"/>
        <v>2164</v>
      </c>
      <c r="BI260">
        <f t="shared" si="76"/>
        <v>6282860</v>
      </c>
      <c r="BJ260">
        <f t="shared" si="77"/>
        <v>1132142</v>
      </c>
      <c r="BK260">
        <f t="shared" si="78"/>
        <v>17567251</v>
      </c>
      <c r="BL260">
        <f t="shared" si="79"/>
        <v>0</v>
      </c>
      <c r="BM260">
        <f t="shared" si="80"/>
        <v>0</v>
      </c>
      <c r="BN260" t="str">
        <f t="shared" si="67"/>
        <v>u=10%, k=2x10^6</v>
      </c>
      <c r="BO260" t="str">
        <f t="shared" si="68"/>
        <v>u=10%, k=2x10^6, collaborative</v>
      </c>
      <c r="BP260">
        <f t="shared" si="69"/>
        <v>3.683259454576389</v>
      </c>
      <c r="BQ260">
        <f t="shared" si="70"/>
        <v>0.16933307720833335</v>
      </c>
      <c r="BR260">
        <f t="shared" si="71"/>
        <v>4.8726193967708333</v>
      </c>
      <c r="BS260">
        <f t="shared" si="72"/>
        <v>1.2449300075763887</v>
      </c>
      <c r="BT260">
        <f t="shared" si="73"/>
        <v>4.424971165013889</v>
      </c>
      <c r="BU260">
        <f t="shared" si="74"/>
        <v>45.46161224783333</v>
      </c>
    </row>
    <row r="261" spans="1:73">
      <c r="A261" t="s">
        <v>859</v>
      </c>
      <c r="B261" t="s">
        <v>158</v>
      </c>
      <c r="C261">
        <v>72</v>
      </c>
      <c r="D261" t="s">
        <v>56</v>
      </c>
      <c r="E261" t="s">
        <v>53</v>
      </c>
      <c r="F261" t="s">
        <v>54</v>
      </c>
      <c r="G261">
        <v>60000</v>
      </c>
      <c r="H261">
        <v>5</v>
      </c>
      <c r="I261">
        <v>5</v>
      </c>
      <c r="J261">
        <v>0</v>
      </c>
      <c r="K261">
        <v>1</v>
      </c>
      <c r="L261">
        <v>2000000</v>
      </c>
      <c r="M261">
        <v>190</v>
      </c>
      <c r="N261">
        <v>190</v>
      </c>
      <c r="O261">
        <v>190</v>
      </c>
      <c r="P261">
        <v>0</v>
      </c>
      <c r="Q261" t="s">
        <v>55</v>
      </c>
      <c r="R261">
        <v>1000687280568</v>
      </c>
      <c r="S261">
        <v>999993</v>
      </c>
      <c r="T261">
        <v>1000687280568</v>
      </c>
      <c r="U261">
        <v>999993</v>
      </c>
      <c r="V261" t="s">
        <v>63</v>
      </c>
      <c r="W261">
        <v>6</v>
      </c>
      <c r="X261">
        <v>54070</v>
      </c>
      <c r="Y261">
        <v>1074380</v>
      </c>
      <c r="Z261">
        <v>1128450</v>
      </c>
      <c r="AA261">
        <v>999993</v>
      </c>
      <c r="AB261">
        <v>20.870200000000001</v>
      </c>
      <c r="AC261">
        <v>0.93076300000000001</v>
      </c>
      <c r="AD261">
        <v>3.0439099999999999</v>
      </c>
      <c r="AE261">
        <v>21534736</v>
      </c>
      <c r="AF261" t="s">
        <v>860</v>
      </c>
      <c r="AG261" t="s">
        <v>861</v>
      </c>
      <c r="AH261">
        <v>13241255</v>
      </c>
      <c r="AI261">
        <v>86036</v>
      </c>
      <c r="AJ261">
        <v>11372777853259</v>
      </c>
      <c r="AK261">
        <v>652757608340</v>
      </c>
      <c r="AL261">
        <v>36919756518</v>
      </c>
      <c r="AM261">
        <v>953349037923</v>
      </c>
      <c r="AN261">
        <v>236868645854</v>
      </c>
      <c r="AO261">
        <v>1137163386128</v>
      </c>
      <c r="AP261">
        <v>11461297265</v>
      </c>
      <c r="AQ261">
        <v>0</v>
      </c>
      <c r="AR261">
        <v>1273450189</v>
      </c>
      <c r="AS261">
        <v>11461297265</v>
      </c>
      <c r="AT261">
        <v>12734747454</v>
      </c>
      <c r="AU261">
        <v>191021621</v>
      </c>
      <c r="AV261">
        <v>0</v>
      </c>
      <c r="AW261">
        <v>21224169</v>
      </c>
      <c r="AX261">
        <v>191021621</v>
      </c>
      <c r="AY261">
        <v>212245790</v>
      </c>
      <c r="AZ261">
        <v>12.6098</v>
      </c>
      <c r="BA261">
        <v>3.1173500000000001</v>
      </c>
      <c r="BB261">
        <v>2489.89</v>
      </c>
      <c r="BC261">
        <v>1616.31</v>
      </c>
      <c r="BD261">
        <v>1651</v>
      </c>
      <c r="BE261">
        <v>345</v>
      </c>
      <c r="BF261">
        <f t="shared" si="65"/>
        <v>59.856725543468421</v>
      </c>
      <c r="BG261" s="31">
        <f t="shared" si="66"/>
        <v>15.879254919805264</v>
      </c>
      <c r="BH261">
        <f t="shared" si="75"/>
        <v>2549</v>
      </c>
      <c r="BI261">
        <f t="shared" si="76"/>
        <v>5952740</v>
      </c>
      <c r="BJ261">
        <f t="shared" si="77"/>
        <v>2897670</v>
      </c>
      <c r="BK261">
        <f t="shared" si="78"/>
        <v>23901136</v>
      </c>
      <c r="BL261">
        <f t="shared" si="79"/>
        <v>0</v>
      </c>
      <c r="BM261">
        <f t="shared" si="80"/>
        <v>0</v>
      </c>
      <c r="BN261" t="str">
        <f t="shared" si="67"/>
        <v>u=10%, k=2x10^6</v>
      </c>
      <c r="BO261" t="str">
        <f t="shared" si="68"/>
        <v>u=10%, k=2x10^6, collaborative</v>
      </c>
      <c r="BP261">
        <f t="shared" si="69"/>
        <v>3.435566359684211</v>
      </c>
      <c r="BQ261">
        <f t="shared" si="70"/>
        <v>0.19431450798947369</v>
      </c>
      <c r="BR261">
        <f t="shared" si="71"/>
        <v>5.0176265153842108</v>
      </c>
      <c r="BS261">
        <f t="shared" si="72"/>
        <v>1.2466770834421053</v>
      </c>
      <c r="BT261">
        <f t="shared" si="73"/>
        <v>5.985070453305263</v>
      </c>
      <c r="BU261">
        <f t="shared" si="74"/>
        <v>43.977470623663159</v>
      </c>
    </row>
    <row r="262" spans="1:73">
      <c r="A262" t="s">
        <v>862</v>
      </c>
      <c r="B262" t="s">
        <v>158</v>
      </c>
      <c r="C262">
        <v>72</v>
      </c>
      <c r="D262" t="s">
        <v>56</v>
      </c>
      <c r="E262" t="s">
        <v>53</v>
      </c>
      <c r="F262" t="s">
        <v>54</v>
      </c>
      <c r="G262">
        <v>60000</v>
      </c>
      <c r="H262">
        <v>5</v>
      </c>
      <c r="I262">
        <v>5</v>
      </c>
      <c r="J262">
        <v>0</v>
      </c>
      <c r="K262">
        <v>1</v>
      </c>
      <c r="L262">
        <v>20000000</v>
      </c>
      <c r="M262">
        <v>24</v>
      </c>
      <c r="N262">
        <v>24</v>
      </c>
      <c r="O262">
        <v>24</v>
      </c>
      <c r="P262">
        <v>0</v>
      </c>
      <c r="Q262" t="s">
        <v>55</v>
      </c>
      <c r="R262">
        <v>99982725323013</v>
      </c>
      <c r="S262">
        <v>9998491</v>
      </c>
      <c r="T262">
        <v>99982725323013</v>
      </c>
      <c r="U262">
        <v>9998491</v>
      </c>
      <c r="V262" t="s">
        <v>63</v>
      </c>
      <c r="W262">
        <v>7</v>
      </c>
      <c r="X262">
        <v>1898240</v>
      </c>
      <c r="Y262">
        <v>12011703</v>
      </c>
      <c r="Z262">
        <v>13909943</v>
      </c>
      <c r="AA262">
        <v>9998491</v>
      </c>
      <c r="AB262">
        <v>7.3278100000000004</v>
      </c>
      <c r="AC262">
        <v>0.83239600000000002</v>
      </c>
      <c r="AD262">
        <v>4.0546699999999998</v>
      </c>
      <c r="AE262">
        <v>344073152</v>
      </c>
      <c r="AF262" t="s">
        <v>863</v>
      </c>
      <c r="AG262" t="s">
        <v>864</v>
      </c>
      <c r="AH262">
        <v>25769</v>
      </c>
      <c r="AI262">
        <v>613384</v>
      </c>
      <c r="AJ262">
        <v>1436561244616</v>
      </c>
      <c r="AK262">
        <v>50870159651</v>
      </c>
      <c r="AL262">
        <v>207984199</v>
      </c>
      <c r="AM262">
        <v>58928256445</v>
      </c>
      <c r="AN262">
        <v>38967164936</v>
      </c>
      <c r="AO262">
        <v>22943909470</v>
      </c>
      <c r="AP262">
        <v>1551856058</v>
      </c>
      <c r="AQ262">
        <v>0</v>
      </c>
      <c r="AR262">
        <v>172430257</v>
      </c>
      <c r="AS262">
        <v>1551856058</v>
      </c>
      <c r="AT262">
        <v>1724286315</v>
      </c>
      <c r="AU262">
        <v>25864267</v>
      </c>
      <c r="AV262">
        <v>0</v>
      </c>
      <c r="AW262">
        <v>2873837</v>
      </c>
      <c r="AX262">
        <v>25864267</v>
      </c>
      <c r="AY262">
        <v>28738105</v>
      </c>
      <c r="AZ262">
        <v>18.505500000000001</v>
      </c>
      <c r="BA262">
        <v>7.3171799999999996</v>
      </c>
      <c r="BB262">
        <v>2305.62</v>
      </c>
      <c r="BC262">
        <v>1497.01</v>
      </c>
      <c r="BD262">
        <v>2439</v>
      </c>
      <c r="BE262">
        <v>154</v>
      </c>
      <c r="BF262">
        <f t="shared" si="65"/>
        <v>59.856718525666672</v>
      </c>
      <c r="BG262" s="31">
        <f t="shared" si="66"/>
        <v>7.1632281125416668</v>
      </c>
      <c r="BH262">
        <f t="shared" si="75"/>
        <v>34</v>
      </c>
      <c r="BI262">
        <f t="shared" si="76"/>
        <v>94773</v>
      </c>
      <c r="BJ262">
        <f t="shared" si="77"/>
        <v>2726840</v>
      </c>
      <c r="BK262">
        <f t="shared" si="78"/>
        <v>25190659</v>
      </c>
      <c r="BL262">
        <f t="shared" si="79"/>
        <v>84430</v>
      </c>
      <c r="BM262">
        <f t="shared" si="80"/>
        <v>0</v>
      </c>
      <c r="BN262" t="str">
        <f t="shared" si="67"/>
        <v>u=10%, k=2x10^7</v>
      </c>
      <c r="BO262" t="str">
        <f t="shared" si="68"/>
        <v>u=10%, k=2x10^7, collaborative</v>
      </c>
      <c r="BP262">
        <f t="shared" si="69"/>
        <v>2.1195899854583335</v>
      </c>
      <c r="BQ262">
        <f t="shared" si="70"/>
        <v>8.6660082916666676E-3</v>
      </c>
      <c r="BR262">
        <f t="shared" si="71"/>
        <v>2.4553440185416666</v>
      </c>
      <c r="BS262">
        <f t="shared" si="72"/>
        <v>1.6236318723333334</v>
      </c>
      <c r="BT262">
        <f t="shared" si="73"/>
        <v>0.95599622791666672</v>
      </c>
      <c r="BU262">
        <f t="shared" si="74"/>
        <v>52.693490413125005</v>
      </c>
    </row>
    <row r="263" spans="1:73">
      <c r="A263" t="s">
        <v>865</v>
      </c>
      <c r="B263" t="s">
        <v>158</v>
      </c>
      <c r="C263">
        <v>72</v>
      </c>
      <c r="D263" t="s">
        <v>56</v>
      </c>
      <c r="E263" t="s">
        <v>53</v>
      </c>
      <c r="F263" t="s">
        <v>54</v>
      </c>
      <c r="G263">
        <v>60000</v>
      </c>
      <c r="H263">
        <v>5</v>
      </c>
      <c r="I263">
        <v>5</v>
      </c>
      <c r="J263">
        <v>0</v>
      </c>
      <c r="K263">
        <v>1</v>
      </c>
      <c r="L263">
        <v>20000000</v>
      </c>
      <c r="M263">
        <v>48</v>
      </c>
      <c r="N263">
        <v>48</v>
      </c>
      <c r="O263">
        <v>48</v>
      </c>
      <c r="P263">
        <v>0</v>
      </c>
      <c r="Q263" t="s">
        <v>55</v>
      </c>
      <c r="R263">
        <v>99994787316387</v>
      </c>
      <c r="S263">
        <v>10002505</v>
      </c>
      <c r="T263">
        <v>99994787316387</v>
      </c>
      <c r="U263">
        <v>10002505</v>
      </c>
      <c r="V263" t="s">
        <v>63</v>
      </c>
      <c r="W263">
        <v>7</v>
      </c>
      <c r="X263">
        <v>1903773</v>
      </c>
      <c r="Y263">
        <v>12034904</v>
      </c>
      <c r="Z263">
        <v>13938677</v>
      </c>
      <c r="AA263">
        <v>10002505</v>
      </c>
      <c r="AB263">
        <v>7.3216099999999997</v>
      </c>
      <c r="AC263">
        <v>0.831125</v>
      </c>
      <c r="AD263">
        <v>4.0550499999999996</v>
      </c>
      <c r="AE263">
        <v>344904880</v>
      </c>
      <c r="AF263" t="s">
        <v>866</v>
      </c>
      <c r="AG263" t="s">
        <v>867</v>
      </c>
      <c r="AH263">
        <v>113556</v>
      </c>
      <c r="AI263">
        <v>256794</v>
      </c>
      <c r="AJ263">
        <v>2873122468455</v>
      </c>
      <c r="AK263">
        <v>111304384954</v>
      </c>
      <c r="AL263">
        <v>1024717165</v>
      </c>
      <c r="AM263">
        <v>143797683267</v>
      </c>
      <c r="AN263">
        <v>86044865088</v>
      </c>
      <c r="AO263">
        <v>52561961640</v>
      </c>
      <c r="AP263">
        <v>2639941206</v>
      </c>
      <c r="AQ263">
        <v>0</v>
      </c>
      <c r="AR263">
        <v>293340226</v>
      </c>
      <c r="AS263">
        <v>2639941206</v>
      </c>
      <c r="AT263">
        <v>2933281432</v>
      </c>
      <c r="AU263">
        <v>43999020</v>
      </c>
      <c r="AV263">
        <v>0</v>
      </c>
      <c r="AW263">
        <v>4889003</v>
      </c>
      <c r="AX263">
        <v>43999020</v>
      </c>
      <c r="AY263">
        <v>48888023</v>
      </c>
      <c r="AZ263">
        <v>18.7605</v>
      </c>
      <c r="BA263">
        <v>7.5007400000000004</v>
      </c>
      <c r="BB263">
        <v>2706.86</v>
      </c>
      <c r="BC263">
        <v>1851.85</v>
      </c>
      <c r="BD263">
        <v>2488</v>
      </c>
      <c r="BE263">
        <v>159</v>
      </c>
      <c r="BF263">
        <f t="shared" si="65"/>
        <v>59.856718092812507</v>
      </c>
      <c r="BG263" s="31">
        <f t="shared" si="66"/>
        <v>8.2236169190416657</v>
      </c>
      <c r="BH263">
        <f t="shared" si="75"/>
        <v>58</v>
      </c>
      <c r="BI263">
        <f t="shared" si="76"/>
        <v>180162</v>
      </c>
      <c r="BJ263">
        <f t="shared" si="77"/>
        <v>3958757</v>
      </c>
      <c r="BK263">
        <f t="shared" si="78"/>
        <v>41739423</v>
      </c>
      <c r="BL263">
        <f t="shared" si="79"/>
        <v>135543</v>
      </c>
      <c r="BM263">
        <f t="shared" si="80"/>
        <v>0</v>
      </c>
      <c r="BN263" t="str">
        <f t="shared" si="67"/>
        <v>u=10%, k=2x10^7</v>
      </c>
      <c r="BO263" t="str">
        <f t="shared" si="68"/>
        <v>u=10%, k=2x10^7, collaborative</v>
      </c>
      <c r="BP263">
        <f t="shared" si="69"/>
        <v>2.3188413532083332</v>
      </c>
      <c r="BQ263">
        <f t="shared" si="70"/>
        <v>2.1348274270833332E-2</v>
      </c>
      <c r="BR263">
        <f t="shared" si="71"/>
        <v>2.9957850680624998</v>
      </c>
      <c r="BS263">
        <f t="shared" si="72"/>
        <v>1.7926013559999998</v>
      </c>
      <c r="BT263">
        <f t="shared" si="73"/>
        <v>1.0950408675000001</v>
      </c>
      <c r="BU263">
        <f t="shared" si="74"/>
        <v>51.633101173770839</v>
      </c>
    </row>
    <row r="264" spans="1:73">
      <c r="A264" t="s">
        <v>868</v>
      </c>
      <c r="B264" t="s">
        <v>158</v>
      </c>
      <c r="C264">
        <v>72</v>
      </c>
      <c r="D264" t="s">
        <v>56</v>
      </c>
      <c r="E264" t="s">
        <v>53</v>
      </c>
      <c r="F264" t="s">
        <v>54</v>
      </c>
      <c r="G264">
        <v>60000</v>
      </c>
      <c r="H264">
        <v>5</v>
      </c>
      <c r="I264">
        <v>5</v>
      </c>
      <c r="J264">
        <v>0</v>
      </c>
      <c r="K264">
        <v>1</v>
      </c>
      <c r="L264">
        <v>20000000</v>
      </c>
      <c r="M264">
        <v>96</v>
      </c>
      <c r="N264">
        <v>96</v>
      </c>
      <c r="O264">
        <v>96</v>
      </c>
      <c r="P264">
        <v>0</v>
      </c>
      <c r="Q264" t="s">
        <v>55</v>
      </c>
      <c r="R264">
        <v>100000206278370</v>
      </c>
      <c r="S264">
        <v>9998781</v>
      </c>
      <c r="T264">
        <v>100000206278370</v>
      </c>
      <c r="U264">
        <v>9998781</v>
      </c>
      <c r="V264" t="s">
        <v>63</v>
      </c>
      <c r="W264">
        <v>7</v>
      </c>
      <c r="X264">
        <v>1905109</v>
      </c>
      <c r="Y264">
        <v>12027469</v>
      </c>
      <c r="Z264">
        <v>13932578</v>
      </c>
      <c r="AA264">
        <v>9998781</v>
      </c>
      <c r="AB264">
        <v>7.3132700000000002</v>
      </c>
      <c r="AC264">
        <v>0.83132899999999998</v>
      </c>
      <c r="AD264">
        <v>4.05593</v>
      </c>
      <c r="AE264">
        <v>344879264</v>
      </c>
      <c r="AF264" t="s">
        <v>869</v>
      </c>
      <c r="AG264" t="s">
        <v>870</v>
      </c>
      <c r="AH264">
        <v>471620</v>
      </c>
      <c r="AI264">
        <v>133178</v>
      </c>
      <c r="AJ264">
        <v>5746245230506</v>
      </c>
      <c r="AK264">
        <v>221416746201</v>
      </c>
      <c r="AL264">
        <v>4906099769</v>
      </c>
      <c r="AM264">
        <v>325906255153</v>
      </c>
      <c r="AN264">
        <v>289308636390</v>
      </c>
      <c r="AO264">
        <v>109488254613</v>
      </c>
      <c r="AP264">
        <v>5243872688</v>
      </c>
      <c r="AQ264">
        <v>0</v>
      </c>
      <c r="AR264">
        <v>582700274</v>
      </c>
      <c r="AS264">
        <v>5243872688</v>
      </c>
      <c r="AT264">
        <v>5826572962</v>
      </c>
      <c r="AU264">
        <v>87397878</v>
      </c>
      <c r="AV264">
        <v>0</v>
      </c>
      <c r="AW264">
        <v>9711671</v>
      </c>
      <c r="AX264">
        <v>87397878</v>
      </c>
      <c r="AY264">
        <v>97109549</v>
      </c>
      <c r="AZ264">
        <v>18.990500000000001</v>
      </c>
      <c r="BA264">
        <v>7.9494800000000003</v>
      </c>
      <c r="BB264">
        <v>2717.69</v>
      </c>
      <c r="BC264">
        <v>1822.65</v>
      </c>
      <c r="BD264">
        <v>2612</v>
      </c>
      <c r="BE264">
        <v>219</v>
      </c>
      <c r="BF264">
        <f t="shared" si="65"/>
        <v>59.856721151104161</v>
      </c>
      <c r="BG264" s="31">
        <f t="shared" si="66"/>
        <v>9.9065207513125006</v>
      </c>
      <c r="BH264">
        <f t="shared" si="75"/>
        <v>116</v>
      </c>
      <c r="BI264">
        <f t="shared" si="76"/>
        <v>366750</v>
      </c>
      <c r="BJ264">
        <f t="shared" si="77"/>
        <v>5354333</v>
      </c>
      <c r="BK264">
        <f t="shared" si="78"/>
        <v>79853608</v>
      </c>
      <c r="BL264">
        <f t="shared" si="79"/>
        <v>232611</v>
      </c>
      <c r="BM264">
        <f t="shared" si="80"/>
        <v>0</v>
      </c>
      <c r="BN264" t="str">
        <f t="shared" si="67"/>
        <v>u=10%, k=2x10^7</v>
      </c>
      <c r="BO264" t="str">
        <f t="shared" si="68"/>
        <v>u=10%, k=2x10^7, collaborative</v>
      </c>
      <c r="BP264">
        <f t="shared" si="69"/>
        <v>2.3064244395937501</v>
      </c>
      <c r="BQ264">
        <f t="shared" si="70"/>
        <v>5.1105205927083334E-2</v>
      </c>
      <c r="BR264">
        <f t="shared" si="71"/>
        <v>3.3948568245104167</v>
      </c>
      <c r="BS264">
        <f t="shared" si="72"/>
        <v>3.0136316290625</v>
      </c>
      <c r="BT264">
        <f t="shared" si="73"/>
        <v>1.14050265221875</v>
      </c>
      <c r="BU264">
        <f t="shared" si="74"/>
        <v>49.950200399791662</v>
      </c>
    </row>
    <row r="265" spans="1:73">
      <c r="A265" t="s">
        <v>871</v>
      </c>
      <c r="B265" t="s">
        <v>158</v>
      </c>
      <c r="C265">
        <v>72</v>
      </c>
      <c r="D265" t="s">
        <v>56</v>
      </c>
      <c r="E265" t="s">
        <v>53</v>
      </c>
      <c r="F265" t="s">
        <v>54</v>
      </c>
      <c r="G265">
        <v>60000</v>
      </c>
      <c r="H265">
        <v>5</v>
      </c>
      <c r="I265">
        <v>5</v>
      </c>
      <c r="J265">
        <v>0</v>
      </c>
      <c r="K265">
        <v>1</v>
      </c>
      <c r="L265">
        <v>20000000</v>
      </c>
      <c r="M265">
        <v>144</v>
      </c>
      <c r="N265">
        <v>144</v>
      </c>
      <c r="O265">
        <v>144</v>
      </c>
      <c r="P265">
        <v>0</v>
      </c>
      <c r="Q265" t="s">
        <v>55</v>
      </c>
      <c r="R265">
        <v>100026169697482</v>
      </c>
      <c r="S265">
        <v>10002621</v>
      </c>
      <c r="T265">
        <v>100026169697482</v>
      </c>
      <c r="U265">
        <v>10002621</v>
      </c>
      <c r="V265" t="s">
        <v>63</v>
      </c>
      <c r="W265">
        <v>7</v>
      </c>
      <c r="X265">
        <v>1819933</v>
      </c>
      <c r="Y265">
        <v>11847652</v>
      </c>
      <c r="Z265">
        <v>13667585</v>
      </c>
      <c r="AA265">
        <v>10002621</v>
      </c>
      <c r="AB265">
        <v>7.5099400000000003</v>
      </c>
      <c r="AC265">
        <v>0.84426999999999996</v>
      </c>
      <c r="AD265">
        <v>4.0396000000000001</v>
      </c>
      <c r="AE265">
        <v>335162432</v>
      </c>
      <c r="AF265" t="s">
        <v>872</v>
      </c>
      <c r="AG265" t="s">
        <v>873</v>
      </c>
      <c r="AH265">
        <v>989592</v>
      </c>
      <c r="AI265">
        <v>88320</v>
      </c>
      <c r="AJ265">
        <v>8619367414481</v>
      </c>
      <c r="AK265">
        <v>319690351170</v>
      </c>
      <c r="AL265">
        <v>8673661124</v>
      </c>
      <c r="AM265">
        <v>481352525431</v>
      </c>
      <c r="AN265">
        <v>511012731791</v>
      </c>
      <c r="AO265">
        <v>169598140677</v>
      </c>
      <c r="AP265">
        <v>7559256966</v>
      </c>
      <c r="AQ265">
        <v>0</v>
      </c>
      <c r="AR265">
        <v>839888873</v>
      </c>
      <c r="AS265">
        <v>7559256966</v>
      </c>
      <c r="AT265">
        <v>8399145839</v>
      </c>
      <c r="AU265">
        <v>125987616</v>
      </c>
      <c r="AV265">
        <v>0</v>
      </c>
      <c r="AW265">
        <v>13998147</v>
      </c>
      <c r="AX265">
        <v>125987616</v>
      </c>
      <c r="AY265">
        <v>139985763</v>
      </c>
      <c r="AZ265">
        <v>19.121600000000001</v>
      </c>
      <c r="BA265">
        <v>8.2679600000000004</v>
      </c>
      <c r="BB265">
        <v>2822.05</v>
      </c>
      <c r="BC265">
        <v>1911.41</v>
      </c>
      <c r="BD265">
        <v>2775</v>
      </c>
      <c r="BE265">
        <v>318</v>
      </c>
      <c r="BF265">
        <f t="shared" si="65"/>
        <v>59.856718156118049</v>
      </c>
      <c r="BG265" s="31">
        <f t="shared" si="66"/>
        <v>10.349495904118056</v>
      </c>
      <c r="BH265">
        <f t="shared" si="75"/>
        <v>167</v>
      </c>
      <c r="BI265">
        <f t="shared" si="76"/>
        <v>531373</v>
      </c>
      <c r="BJ265">
        <f t="shared" si="77"/>
        <v>4449485</v>
      </c>
      <c r="BK265">
        <f t="shared" si="78"/>
        <v>112383105</v>
      </c>
      <c r="BL265">
        <f t="shared" si="79"/>
        <v>281768</v>
      </c>
      <c r="BM265">
        <f t="shared" si="80"/>
        <v>0</v>
      </c>
      <c r="BN265" t="str">
        <f t="shared" si="67"/>
        <v>u=10%, k=2x10^7</v>
      </c>
      <c r="BO265" t="str">
        <f t="shared" si="68"/>
        <v>u=10%, k=2x10^7, collaborative</v>
      </c>
      <c r="BP265">
        <f t="shared" si="69"/>
        <v>2.2200718831249997</v>
      </c>
      <c r="BQ265">
        <f t="shared" si="70"/>
        <v>6.0233757805555559E-2</v>
      </c>
      <c r="BR265">
        <f t="shared" si="71"/>
        <v>3.3427258710486112</v>
      </c>
      <c r="BS265">
        <f t="shared" si="72"/>
        <v>3.5486995263263892</v>
      </c>
      <c r="BT265">
        <f t="shared" si="73"/>
        <v>1.1777648658125</v>
      </c>
      <c r="BU265">
        <f t="shared" si="74"/>
        <v>49.507222251999991</v>
      </c>
    </row>
    <row r="266" spans="1:73">
      <c r="A266" t="s">
        <v>874</v>
      </c>
      <c r="B266" t="s">
        <v>158</v>
      </c>
      <c r="C266">
        <v>72</v>
      </c>
      <c r="D266" t="s">
        <v>56</v>
      </c>
      <c r="E266" t="s">
        <v>53</v>
      </c>
      <c r="F266" t="s">
        <v>54</v>
      </c>
      <c r="G266">
        <v>60000</v>
      </c>
      <c r="H266">
        <v>5</v>
      </c>
      <c r="I266">
        <v>5</v>
      </c>
      <c r="J266">
        <v>0</v>
      </c>
      <c r="K266">
        <v>1</v>
      </c>
      <c r="L266">
        <v>20000000</v>
      </c>
      <c r="M266">
        <v>190</v>
      </c>
      <c r="N266">
        <v>190</v>
      </c>
      <c r="O266">
        <v>190</v>
      </c>
      <c r="P266">
        <v>0</v>
      </c>
      <c r="Q266" t="s">
        <v>55</v>
      </c>
      <c r="R266">
        <v>99977374080090</v>
      </c>
      <c r="S266">
        <v>9997072</v>
      </c>
      <c r="T266">
        <v>99977374080090</v>
      </c>
      <c r="U266">
        <v>9997072</v>
      </c>
      <c r="V266" t="s">
        <v>63</v>
      </c>
      <c r="W266">
        <v>7</v>
      </c>
      <c r="X266">
        <v>1625319</v>
      </c>
      <c r="Y266">
        <v>11439042</v>
      </c>
      <c r="Z266">
        <v>13064361</v>
      </c>
      <c r="AA266">
        <v>9997072</v>
      </c>
      <c r="AB266">
        <v>8.0380299999999991</v>
      </c>
      <c r="AC266">
        <v>0.87394300000000003</v>
      </c>
      <c r="AD266">
        <v>4.0000099999999996</v>
      </c>
      <c r="AE266">
        <v>313050176</v>
      </c>
      <c r="AF266" t="s">
        <v>875</v>
      </c>
      <c r="AG266" t="s">
        <v>876</v>
      </c>
      <c r="AH266">
        <v>1634640</v>
      </c>
      <c r="AI266">
        <v>67648</v>
      </c>
      <c r="AJ266">
        <v>11373258998331</v>
      </c>
      <c r="AK266">
        <v>418539368697</v>
      </c>
      <c r="AL266">
        <v>16184840703</v>
      </c>
      <c r="AM266">
        <v>672314597747</v>
      </c>
      <c r="AN266">
        <v>772359703589</v>
      </c>
      <c r="AO266">
        <v>238372451667</v>
      </c>
      <c r="AP266">
        <v>9358255191</v>
      </c>
      <c r="AQ266">
        <v>0</v>
      </c>
      <c r="AR266">
        <v>1039847250</v>
      </c>
      <c r="AS266">
        <v>9358255191</v>
      </c>
      <c r="AT266">
        <v>10398102441</v>
      </c>
      <c r="AU266">
        <v>155970919</v>
      </c>
      <c r="AV266">
        <v>0</v>
      </c>
      <c r="AW266">
        <v>17330787</v>
      </c>
      <c r="AX266">
        <v>155970919</v>
      </c>
      <c r="AY266">
        <v>173301707</v>
      </c>
      <c r="AZ266">
        <v>19.340199999999999</v>
      </c>
      <c r="BA266">
        <v>8.5379100000000001</v>
      </c>
      <c r="BB266">
        <v>2996.53</v>
      </c>
      <c r="BC266">
        <v>2058.2800000000002</v>
      </c>
      <c r="BD266">
        <v>2875</v>
      </c>
      <c r="BE266">
        <v>461</v>
      </c>
      <c r="BF266">
        <f t="shared" si="65"/>
        <v>59.859257885952637</v>
      </c>
      <c r="BG266" s="31">
        <f t="shared" si="66"/>
        <v>11.146162960015788</v>
      </c>
      <c r="BH266">
        <f t="shared" si="75"/>
        <v>208</v>
      </c>
      <c r="BI266">
        <f t="shared" si="76"/>
        <v>657865</v>
      </c>
      <c r="BJ266">
        <f t="shared" si="77"/>
        <v>5544675</v>
      </c>
      <c r="BK266">
        <f t="shared" si="78"/>
        <v>139196237</v>
      </c>
      <c r="BL266">
        <f t="shared" si="79"/>
        <v>347670</v>
      </c>
      <c r="BM266">
        <f t="shared" si="80"/>
        <v>0</v>
      </c>
      <c r="BN266" t="str">
        <f t="shared" si="67"/>
        <v>u=10%, k=2x10^7</v>
      </c>
      <c r="BO266" t="str">
        <f t="shared" si="68"/>
        <v>u=10%, k=2x10^7, collaborative</v>
      </c>
      <c r="BP266">
        <f t="shared" si="69"/>
        <v>2.2028387826157894</v>
      </c>
      <c r="BQ266">
        <f t="shared" si="70"/>
        <v>8.518337212105262E-2</v>
      </c>
      <c r="BR266">
        <f t="shared" si="71"/>
        <v>3.5384978828789473</v>
      </c>
      <c r="BS266">
        <f t="shared" si="72"/>
        <v>4.0650510715210526</v>
      </c>
      <c r="BT266">
        <f t="shared" si="73"/>
        <v>1.2545918508789473</v>
      </c>
      <c r="BU266">
        <f t="shared" si="74"/>
        <v>48.713094925936851</v>
      </c>
    </row>
    <row r="267" spans="1:73">
      <c r="A267" t="s">
        <v>877</v>
      </c>
      <c r="B267" t="s">
        <v>158</v>
      </c>
      <c r="C267">
        <v>72</v>
      </c>
      <c r="D267" t="s">
        <v>56</v>
      </c>
      <c r="E267" t="s">
        <v>53</v>
      </c>
      <c r="F267" t="s">
        <v>54</v>
      </c>
      <c r="G267">
        <v>60000</v>
      </c>
      <c r="H267">
        <v>5</v>
      </c>
      <c r="I267">
        <v>5</v>
      </c>
      <c r="J267">
        <v>0</v>
      </c>
      <c r="K267">
        <v>1</v>
      </c>
      <c r="L267">
        <v>200000000</v>
      </c>
      <c r="M267">
        <v>24</v>
      </c>
      <c r="N267">
        <v>24</v>
      </c>
      <c r="O267">
        <v>24</v>
      </c>
      <c r="P267">
        <v>0</v>
      </c>
      <c r="Q267" t="s">
        <v>55</v>
      </c>
      <c r="R267">
        <v>1.00008043475473E+16</v>
      </c>
      <c r="S267">
        <v>100005027</v>
      </c>
      <c r="T267">
        <v>1.00008043475473E+16</v>
      </c>
      <c r="U267">
        <v>100005027</v>
      </c>
      <c r="V267" t="s">
        <v>63</v>
      </c>
      <c r="W267">
        <v>7</v>
      </c>
      <c r="X267">
        <v>14401895</v>
      </c>
      <c r="Y267">
        <v>117018096</v>
      </c>
      <c r="Z267">
        <v>131419991</v>
      </c>
      <c r="AA267">
        <v>100005027</v>
      </c>
      <c r="AB267">
        <v>9.1251899999999999</v>
      </c>
      <c r="AC267">
        <v>0.85461200000000004</v>
      </c>
      <c r="AD267">
        <v>4.06731</v>
      </c>
      <c r="AE267">
        <v>3028085024</v>
      </c>
      <c r="AF267" t="s">
        <v>878</v>
      </c>
      <c r="AG267" t="s">
        <v>879</v>
      </c>
      <c r="AH267">
        <v>2190</v>
      </c>
      <c r="AI267">
        <v>529278</v>
      </c>
      <c r="AJ267">
        <v>1436561204554</v>
      </c>
      <c r="AK267">
        <v>28806433894</v>
      </c>
      <c r="AL267">
        <v>30061818</v>
      </c>
      <c r="AM267">
        <v>38088003065</v>
      </c>
      <c r="AN267">
        <v>29622233469</v>
      </c>
      <c r="AO267">
        <v>12067310574</v>
      </c>
      <c r="AP267">
        <v>1306476884</v>
      </c>
      <c r="AQ267">
        <v>0</v>
      </c>
      <c r="AR267">
        <v>145147230</v>
      </c>
      <c r="AS267">
        <v>1306476884</v>
      </c>
      <c r="AT267">
        <v>1451624114</v>
      </c>
      <c r="AU267">
        <v>21774614</v>
      </c>
      <c r="AV267">
        <v>0</v>
      </c>
      <c r="AW267">
        <v>2419120</v>
      </c>
      <c r="AX267">
        <v>21774614</v>
      </c>
      <c r="AY267">
        <v>24193735</v>
      </c>
      <c r="AZ267">
        <v>20.8751</v>
      </c>
      <c r="BA267">
        <v>9.4337499999999999</v>
      </c>
      <c r="BB267">
        <v>2740.67</v>
      </c>
      <c r="BC267">
        <v>2019.45</v>
      </c>
      <c r="BD267">
        <v>9947</v>
      </c>
      <c r="BE267">
        <v>1546</v>
      </c>
      <c r="BF267">
        <f t="shared" si="65"/>
        <v>59.856716856416661</v>
      </c>
      <c r="BG267" s="31">
        <f t="shared" si="66"/>
        <v>4.5255851174999995</v>
      </c>
      <c r="BH267">
        <f t="shared" si="75"/>
        <v>2</v>
      </c>
      <c r="BI267">
        <f t="shared" si="76"/>
        <v>12682</v>
      </c>
      <c r="BJ267">
        <f t="shared" si="77"/>
        <v>1332543</v>
      </c>
      <c r="BK267">
        <f t="shared" si="78"/>
        <v>12276114</v>
      </c>
      <c r="BL267">
        <f t="shared" si="79"/>
        <v>2026881</v>
      </c>
      <c r="BM267">
        <f t="shared" si="80"/>
        <v>0</v>
      </c>
      <c r="BN267" t="str">
        <f t="shared" si="67"/>
        <v>u=10%, k=2x10^8</v>
      </c>
      <c r="BO267" t="str">
        <f t="shared" si="68"/>
        <v>u=10%, k=2x10^8, collaborative</v>
      </c>
      <c r="BP267">
        <f t="shared" si="69"/>
        <v>1.2002680789166666</v>
      </c>
      <c r="BQ267">
        <f t="shared" si="70"/>
        <v>1.25257575E-3</v>
      </c>
      <c r="BR267">
        <f t="shared" si="71"/>
        <v>1.5870001277083334</v>
      </c>
      <c r="BS267">
        <f t="shared" si="72"/>
        <v>1.234259727875</v>
      </c>
      <c r="BT267">
        <f t="shared" si="73"/>
        <v>0.50280460724999998</v>
      </c>
      <c r="BU267">
        <f t="shared" si="74"/>
        <v>55.33113173891666</v>
      </c>
    </row>
    <row r="268" spans="1:73">
      <c r="A268" t="s">
        <v>880</v>
      </c>
      <c r="B268" t="s">
        <v>158</v>
      </c>
      <c r="C268">
        <v>72</v>
      </c>
      <c r="D268" t="s">
        <v>56</v>
      </c>
      <c r="E268" t="s">
        <v>53</v>
      </c>
      <c r="F268" t="s">
        <v>54</v>
      </c>
      <c r="G268">
        <v>60000</v>
      </c>
      <c r="H268">
        <v>5</v>
      </c>
      <c r="I268">
        <v>5</v>
      </c>
      <c r="J268">
        <v>0</v>
      </c>
      <c r="K268">
        <v>1</v>
      </c>
      <c r="L268">
        <v>200000000</v>
      </c>
      <c r="M268">
        <v>48</v>
      </c>
      <c r="N268">
        <v>48</v>
      </c>
      <c r="O268">
        <v>48</v>
      </c>
      <c r="P268">
        <v>0</v>
      </c>
      <c r="Q268" t="s">
        <v>55</v>
      </c>
      <c r="R268">
        <v>1.00001997056742E+16</v>
      </c>
      <c r="S268">
        <v>100005832</v>
      </c>
      <c r="T268">
        <v>1.00001997056742E+16</v>
      </c>
      <c r="U268">
        <v>100005832</v>
      </c>
      <c r="V268" t="s">
        <v>63</v>
      </c>
      <c r="W268">
        <v>7</v>
      </c>
      <c r="X268">
        <v>14587693</v>
      </c>
      <c r="Y268">
        <v>117471012</v>
      </c>
      <c r="Z268">
        <v>132058705</v>
      </c>
      <c r="AA268">
        <v>100005832</v>
      </c>
      <c r="AB268">
        <v>9.0527499999999996</v>
      </c>
      <c r="AC268">
        <v>0.85132300000000005</v>
      </c>
      <c r="AD268">
        <v>4.0723900000000004</v>
      </c>
      <c r="AE268">
        <v>3050581952</v>
      </c>
      <c r="AF268" t="s">
        <v>881</v>
      </c>
      <c r="AG268" t="s">
        <v>882</v>
      </c>
      <c r="AH268">
        <v>13887</v>
      </c>
      <c r="AI268">
        <v>211716</v>
      </c>
      <c r="AJ268">
        <v>2873122484433</v>
      </c>
      <c r="AK268">
        <v>82467453250</v>
      </c>
      <c r="AL268">
        <v>202911077</v>
      </c>
      <c r="AM268">
        <v>109921797673</v>
      </c>
      <c r="AN268">
        <v>76774538521</v>
      </c>
      <c r="AO268">
        <v>35055913053</v>
      </c>
      <c r="AP268">
        <v>2180350645</v>
      </c>
      <c r="AQ268">
        <v>0</v>
      </c>
      <c r="AR268">
        <v>242269897</v>
      </c>
      <c r="AS268">
        <v>2180350645</v>
      </c>
      <c r="AT268">
        <v>2422620542</v>
      </c>
      <c r="AU268">
        <v>36339177</v>
      </c>
      <c r="AV268">
        <v>0</v>
      </c>
      <c r="AW268">
        <v>4037831</v>
      </c>
      <c r="AX268">
        <v>36339177</v>
      </c>
      <c r="AY268">
        <v>40377009</v>
      </c>
      <c r="AZ268">
        <v>21.513500000000001</v>
      </c>
      <c r="BA268">
        <v>9.8269199999999994</v>
      </c>
      <c r="BB268">
        <v>3249.05</v>
      </c>
      <c r="BC268">
        <v>2428.6799999999998</v>
      </c>
      <c r="BD268">
        <v>13517</v>
      </c>
      <c r="BE268">
        <v>1290</v>
      </c>
      <c r="BF268">
        <f t="shared" si="65"/>
        <v>59.856718425687497</v>
      </c>
      <c r="BG268" s="31">
        <f t="shared" si="66"/>
        <v>6.3421377827916672</v>
      </c>
      <c r="BH268">
        <f t="shared" si="75"/>
        <v>4</v>
      </c>
      <c r="BI268">
        <f t="shared" si="76"/>
        <v>34382</v>
      </c>
      <c r="BJ268">
        <f t="shared" si="77"/>
        <v>2115957</v>
      </c>
      <c r="BK268">
        <f t="shared" si="78"/>
        <v>20183607</v>
      </c>
      <c r="BL268">
        <f t="shared" si="79"/>
        <v>3346391</v>
      </c>
      <c r="BM268">
        <f t="shared" si="80"/>
        <v>0</v>
      </c>
      <c r="BN268" t="str">
        <f t="shared" si="67"/>
        <v>u=10%, k=2x10^8</v>
      </c>
      <c r="BO268" t="str">
        <f t="shared" si="68"/>
        <v>u=10%, k=2x10^8, collaborative</v>
      </c>
      <c r="BP268">
        <f t="shared" si="69"/>
        <v>1.7180719427083335</v>
      </c>
      <c r="BQ268">
        <f t="shared" si="70"/>
        <v>4.2273141041666669E-3</v>
      </c>
      <c r="BR268">
        <f t="shared" si="71"/>
        <v>2.2900374515208335</v>
      </c>
      <c r="BS268">
        <f t="shared" si="72"/>
        <v>1.5994695525208333</v>
      </c>
      <c r="BT268">
        <f t="shared" si="73"/>
        <v>0.73033152193749995</v>
      </c>
      <c r="BU268">
        <f t="shared" si="74"/>
        <v>53.514580642895829</v>
      </c>
    </row>
    <row r="269" spans="1:73">
      <c r="A269" t="s">
        <v>883</v>
      </c>
      <c r="B269" t="s">
        <v>158</v>
      </c>
      <c r="C269">
        <v>72</v>
      </c>
      <c r="D269" t="s">
        <v>56</v>
      </c>
      <c r="E269" t="s">
        <v>53</v>
      </c>
      <c r="F269" t="s">
        <v>54</v>
      </c>
      <c r="G269">
        <v>60000</v>
      </c>
      <c r="H269">
        <v>5</v>
      </c>
      <c r="I269">
        <v>5</v>
      </c>
      <c r="J269">
        <v>0</v>
      </c>
      <c r="K269">
        <v>1</v>
      </c>
      <c r="L269">
        <v>200000000</v>
      </c>
      <c r="M269">
        <v>96</v>
      </c>
      <c r="N269">
        <v>96</v>
      </c>
      <c r="O269">
        <v>96</v>
      </c>
      <c r="P269">
        <v>0</v>
      </c>
      <c r="Q269" t="s">
        <v>55</v>
      </c>
      <c r="R269">
        <v>9999670858946940</v>
      </c>
      <c r="S269">
        <v>99994181</v>
      </c>
      <c r="T269">
        <v>9999670858946940</v>
      </c>
      <c r="U269">
        <v>99994181</v>
      </c>
      <c r="V269" t="s">
        <v>63</v>
      </c>
      <c r="W269">
        <v>7</v>
      </c>
      <c r="X269">
        <v>11938474</v>
      </c>
      <c r="Y269">
        <v>111860409</v>
      </c>
      <c r="Z269">
        <v>123798883</v>
      </c>
      <c r="AA269">
        <v>99994181</v>
      </c>
      <c r="AB269">
        <v>10.3697</v>
      </c>
      <c r="AC269">
        <v>0.89391900000000002</v>
      </c>
      <c r="AD269">
        <v>4.0187999999999997</v>
      </c>
      <c r="AE269">
        <v>2745094832</v>
      </c>
      <c r="AF269" t="s">
        <v>884</v>
      </c>
      <c r="AG269" t="s">
        <v>885</v>
      </c>
      <c r="AH269">
        <v>84364</v>
      </c>
      <c r="AI269">
        <v>82008</v>
      </c>
      <c r="AJ269">
        <v>5746297984293</v>
      </c>
      <c r="AK269">
        <v>182918131988</v>
      </c>
      <c r="AL269">
        <v>1626985054</v>
      </c>
      <c r="AM269">
        <v>325904356122</v>
      </c>
      <c r="AN269">
        <v>256941459497</v>
      </c>
      <c r="AO269">
        <v>85380296244</v>
      </c>
      <c r="AP269">
        <v>4084711170</v>
      </c>
      <c r="AQ269">
        <v>0</v>
      </c>
      <c r="AR269">
        <v>453861092</v>
      </c>
      <c r="AS269">
        <v>4084711170</v>
      </c>
      <c r="AT269">
        <v>4538572262</v>
      </c>
      <c r="AU269">
        <v>68078519</v>
      </c>
      <c r="AV269">
        <v>0</v>
      </c>
      <c r="AW269">
        <v>7564351</v>
      </c>
      <c r="AX269">
        <v>68078519</v>
      </c>
      <c r="AY269">
        <v>75642871</v>
      </c>
      <c r="AZ269">
        <v>22.0976</v>
      </c>
      <c r="BA269">
        <v>10.8492</v>
      </c>
      <c r="BB269">
        <v>3355.8</v>
      </c>
      <c r="BC269">
        <v>2483.31</v>
      </c>
      <c r="BD269">
        <v>13208</v>
      </c>
      <c r="BE269">
        <v>1220</v>
      </c>
      <c r="BF269">
        <f t="shared" si="65"/>
        <v>59.857270669718751</v>
      </c>
      <c r="BG269" s="31">
        <f t="shared" si="66"/>
        <v>8.8830336344270844</v>
      </c>
      <c r="BH269">
        <f t="shared" si="75"/>
        <v>9</v>
      </c>
      <c r="BI269">
        <f t="shared" si="76"/>
        <v>89145</v>
      </c>
      <c r="BJ269">
        <f t="shared" si="77"/>
        <v>3553009</v>
      </c>
      <c r="BK269">
        <f t="shared" si="78"/>
        <v>35998846</v>
      </c>
      <c r="BL269">
        <f t="shared" si="79"/>
        <v>6070692</v>
      </c>
      <c r="BM269">
        <f t="shared" si="80"/>
        <v>0</v>
      </c>
      <c r="BN269" t="str">
        <f t="shared" si="67"/>
        <v>u=10%, k=2x10^8</v>
      </c>
      <c r="BO269" t="str">
        <f t="shared" si="68"/>
        <v>u=10%, k=2x10^8, collaborative</v>
      </c>
      <c r="BP269">
        <f t="shared" si="69"/>
        <v>1.9053972082083332</v>
      </c>
      <c r="BQ269">
        <f t="shared" si="70"/>
        <v>1.6947760979166667E-2</v>
      </c>
      <c r="BR269">
        <f t="shared" si="71"/>
        <v>3.3948370429375001</v>
      </c>
      <c r="BS269">
        <f t="shared" si="72"/>
        <v>2.6764735364270833</v>
      </c>
      <c r="BT269">
        <f t="shared" si="73"/>
        <v>0.88937808587499989</v>
      </c>
      <c r="BU269">
        <f t="shared" si="74"/>
        <v>50.974237035291665</v>
      </c>
    </row>
    <row r="270" spans="1:73">
      <c r="A270" t="s">
        <v>886</v>
      </c>
      <c r="B270" t="s">
        <v>158</v>
      </c>
      <c r="C270">
        <v>72</v>
      </c>
      <c r="D270" t="s">
        <v>56</v>
      </c>
      <c r="E270" t="s">
        <v>53</v>
      </c>
      <c r="F270" t="s">
        <v>54</v>
      </c>
      <c r="G270">
        <v>60000</v>
      </c>
      <c r="H270">
        <v>5</v>
      </c>
      <c r="I270">
        <v>5</v>
      </c>
      <c r="J270">
        <v>0</v>
      </c>
      <c r="K270">
        <v>1</v>
      </c>
      <c r="L270">
        <v>200000000</v>
      </c>
      <c r="M270">
        <v>144</v>
      </c>
      <c r="N270">
        <v>144</v>
      </c>
      <c r="O270">
        <v>144</v>
      </c>
      <c r="P270">
        <v>0</v>
      </c>
      <c r="Q270" t="s">
        <v>55</v>
      </c>
      <c r="R270">
        <v>1.00002201800542E+16</v>
      </c>
      <c r="S270">
        <v>100000466</v>
      </c>
      <c r="T270">
        <v>1.00002201800542E+16</v>
      </c>
      <c r="U270">
        <v>100000466</v>
      </c>
      <c r="V270" t="s">
        <v>63</v>
      </c>
      <c r="W270">
        <v>7</v>
      </c>
      <c r="X270">
        <v>11544789</v>
      </c>
      <c r="Y270">
        <v>111072222</v>
      </c>
      <c r="Z270">
        <v>122617011</v>
      </c>
      <c r="AA270">
        <v>100000466</v>
      </c>
      <c r="AB270">
        <v>10.621</v>
      </c>
      <c r="AC270">
        <v>0.90031899999999998</v>
      </c>
      <c r="AD270">
        <v>4.0107499999999998</v>
      </c>
      <c r="AE270">
        <v>2700824256</v>
      </c>
      <c r="AF270" t="s">
        <v>887</v>
      </c>
      <c r="AG270" t="s">
        <v>888</v>
      </c>
      <c r="AH270">
        <v>175893</v>
      </c>
      <c r="AI270">
        <v>48674</v>
      </c>
      <c r="AJ270">
        <v>8619527614925</v>
      </c>
      <c r="AK270">
        <v>266005441240</v>
      </c>
      <c r="AL270">
        <v>5300049169</v>
      </c>
      <c r="AM270">
        <v>578300031468</v>
      </c>
      <c r="AN270">
        <v>483769676469</v>
      </c>
      <c r="AO270">
        <v>135219224784</v>
      </c>
      <c r="AP270">
        <v>5869608429</v>
      </c>
      <c r="AQ270">
        <v>0</v>
      </c>
      <c r="AR270">
        <v>652165818</v>
      </c>
      <c r="AS270">
        <v>5869608429</v>
      </c>
      <c r="AT270">
        <v>6521774247</v>
      </c>
      <c r="AU270">
        <v>97826807</v>
      </c>
      <c r="AV270">
        <v>0</v>
      </c>
      <c r="AW270">
        <v>10869430</v>
      </c>
      <c r="AX270">
        <v>97826807</v>
      </c>
      <c r="AY270">
        <v>108696237</v>
      </c>
      <c r="AZ270">
        <v>22.247699999999998</v>
      </c>
      <c r="BA270">
        <v>11.186199999999999</v>
      </c>
      <c r="BB270">
        <v>3431.86</v>
      </c>
      <c r="BC270">
        <v>2545.41</v>
      </c>
      <c r="BD270">
        <v>14034</v>
      </c>
      <c r="BE270">
        <v>1166</v>
      </c>
      <c r="BF270">
        <f t="shared" si="65"/>
        <v>59.85783065920139</v>
      </c>
      <c r="BG270" s="31">
        <f t="shared" si="66"/>
        <v>10.198572382847223</v>
      </c>
      <c r="BH270">
        <f t="shared" si="75"/>
        <v>13</v>
      </c>
      <c r="BI270">
        <f t="shared" si="76"/>
        <v>129963</v>
      </c>
      <c r="BJ270">
        <f t="shared" si="77"/>
        <v>4548904</v>
      </c>
      <c r="BK270">
        <f t="shared" si="78"/>
        <v>50694820</v>
      </c>
      <c r="BL270">
        <f t="shared" si="79"/>
        <v>8666691</v>
      </c>
      <c r="BM270">
        <f t="shared" si="80"/>
        <v>0</v>
      </c>
      <c r="BN270" t="str">
        <f t="shared" si="67"/>
        <v>u=10%, k=2x10^8</v>
      </c>
      <c r="BO270" t="str">
        <f t="shared" si="68"/>
        <v>u=10%, k=2x10^8, collaborative</v>
      </c>
      <c r="BP270">
        <f t="shared" si="69"/>
        <v>1.8472600086111111</v>
      </c>
      <c r="BQ270">
        <f t="shared" si="70"/>
        <v>3.6805897006944449E-2</v>
      </c>
      <c r="BR270">
        <f t="shared" si="71"/>
        <v>4.0159724407500006</v>
      </c>
      <c r="BS270">
        <f t="shared" si="72"/>
        <v>3.3595116421458333</v>
      </c>
      <c r="BT270">
        <f t="shared" si="73"/>
        <v>0.93902239433333334</v>
      </c>
      <c r="BU270">
        <f t="shared" si="74"/>
        <v>49.659258276354166</v>
      </c>
    </row>
    <row r="271" spans="1:73">
      <c r="A271" t="s">
        <v>889</v>
      </c>
      <c r="B271" t="s">
        <v>158</v>
      </c>
      <c r="C271">
        <v>72</v>
      </c>
      <c r="D271" t="s">
        <v>56</v>
      </c>
      <c r="E271" t="s">
        <v>53</v>
      </c>
      <c r="F271" t="s">
        <v>54</v>
      </c>
      <c r="G271">
        <v>60000</v>
      </c>
      <c r="H271">
        <v>5</v>
      </c>
      <c r="I271">
        <v>5</v>
      </c>
      <c r="J271">
        <v>0</v>
      </c>
      <c r="K271">
        <v>1</v>
      </c>
      <c r="L271">
        <v>200000000</v>
      </c>
      <c r="M271">
        <v>190</v>
      </c>
      <c r="N271">
        <v>190</v>
      </c>
      <c r="O271">
        <v>190</v>
      </c>
      <c r="P271">
        <v>0</v>
      </c>
      <c r="Q271" t="s">
        <v>55</v>
      </c>
      <c r="R271">
        <v>9999595126894270</v>
      </c>
      <c r="S271">
        <v>100003369</v>
      </c>
      <c r="T271">
        <v>9999595126894270</v>
      </c>
      <c r="U271">
        <v>100003369</v>
      </c>
      <c r="V271" t="s">
        <v>63</v>
      </c>
      <c r="W271">
        <v>7</v>
      </c>
      <c r="X271">
        <v>14913202</v>
      </c>
      <c r="Y271">
        <v>118185412</v>
      </c>
      <c r="Z271">
        <v>133098614</v>
      </c>
      <c r="AA271">
        <v>100003369</v>
      </c>
      <c r="AB271">
        <v>8.9248899999999995</v>
      </c>
      <c r="AC271">
        <v>0.84615700000000005</v>
      </c>
      <c r="AD271">
        <v>4.0815000000000001</v>
      </c>
      <c r="AE271">
        <v>3088108736</v>
      </c>
      <c r="AF271" t="s">
        <v>890</v>
      </c>
      <c r="AG271" t="s">
        <v>891</v>
      </c>
      <c r="AH271">
        <v>271971</v>
      </c>
      <c r="AI271">
        <v>34340</v>
      </c>
      <c r="AJ271">
        <v>11373222645064</v>
      </c>
      <c r="AK271">
        <v>337823711414</v>
      </c>
      <c r="AL271">
        <v>12108002339</v>
      </c>
      <c r="AM271">
        <v>823949260513</v>
      </c>
      <c r="AN271">
        <v>723682470506</v>
      </c>
      <c r="AO271">
        <v>183931493236</v>
      </c>
      <c r="AP271">
        <v>7464618983</v>
      </c>
      <c r="AQ271">
        <v>0</v>
      </c>
      <c r="AR271">
        <v>829431775</v>
      </c>
      <c r="AS271">
        <v>7464618983</v>
      </c>
      <c r="AT271">
        <v>8294050758</v>
      </c>
      <c r="AU271">
        <v>124410316</v>
      </c>
      <c r="AV271">
        <v>0</v>
      </c>
      <c r="AW271">
        <v>13823862</v>
      </c>
      <c r="AX271">
        <v>124410316</v>
      </c>
      <c r="AY271">
        <v>138234179</v>
      </c>
      <c r="AZ271">
        <v>22.266500000000001</v>
      </c>
      <c r="BA271">
        <v>11.3538</v>
      </c>
      <c r="BB271">
        <v>3512.79</v>
      </c>
      <c r="BC271">
        <v>2629.62</v>
      </c>
      <c r="BD271">
        <v>14308</v>
      </c>
      <c r="BE271">
        <v>1144</v>
      </c>
      <c r="BF271">
        <f t="shared" si="65"/>
        <v>59.859066552968414</v>
      </c>
      <c r="BG271" s="31">
        <f t="shared" si="66"/>
        <v>10.955236515831579</v>
      </c>
      <c r="BH271">
        <f t="shared" si="75"/>
        <v>16</v>
      </c>
      <c r="BI271">
        <f t="shared" si="76"/>
        <v>159976</v>
      </c>
      <c r="BJ271">
        <f t="shared" si="77"/>
        <v>5516130</v>
      </c>
      <c r="BK271">
        <f t="shared" si="78"/>
        <v>64125335</v>
      </c>
      <c r="BL271">
        <f t="shared" si="79"/>
        <v>11064996</v>
      </c>
      <c r="BM271">
        <f t="shared" si="80"/>
        <v>0</v>
      </c>
      <c r="BN271" t="str">
        <f t="shared" si="67"/>
        <v>u=10%, k=2x10^8</v>
      </c>
      <c r="BO271" t="str">
        <f t="shared" si="68"/>
        <v>u=10%, k=2x10^8, collaborative</v>
      </c>
      <c r="BP271">
        <f t="shared" si="69"/>
        <v>1.7780195337578948</v>
      </c>
      <c r="BQ271">
        <f t="shared" si="70"/>
        <v>6.3726328100000007E-2</v>
      </c>
      <c r="BR271">
        <f t="shared" si="71"/>
        <v>4.3365750553315792</v>
      </c>
      <c r="BS271">
        <f t="shared" si="72"/>
        <v>3.8088551079263158</v>
      </c>
      <c r="BT271">
        <f t="shared" si="73"/>
        <v>0.96806049071578948</v>
      </c>
      <c r="BU271">
        <f t="shared" si="74"/>
        <v>48.903830037136835</v>
      </c>
    </row>
    <row r="272" spans="1:73">
      <c r="A272" t="s">
        <v>892</v>
      </c>
      <c r="B272" t="s">
        <v>158</v>
      </c>
      <c r="C272">
        <v>72</v>
      </c>
      <c r="D272" t="s">
        <v>56</v>
      </c>
      <c r="E272" t="s">
        <v>53</v>
      </c>
      <c r="F272" t="s">
        <v>54</v>
      </c>
      <c r="G272">
        <v>60000</v>
      </c>
      <c r="H272">
        <v>5</v>
      </c>
      <c r="I272">
        <v>5</v>
      </c>
      <c r="J272">
        <v>0</v>
      </c>
      <c r="K272">
        <v>1</v>
      </c>
      <c r="L272">
        <v>2000000000</v>
      </c>
      <c r="M272">
        <v>24</v>
      </c>
      <c r="N272">
        <v>24</v>
      </c>
      <c r="O272">
        <v>24</v>
      </c>
      <c r="P272">
        <v>0</v>
      </c>
      <c r="Q272" t="s">
        <v>55</v>
      </c>
      <c r="R272">
        <v>1.00002197258095E+18</v>
      </c>
      <c r="S272">
        <v>1000003626</v>
      </c>
      <c r="T272">
        <v>1.00002197258095E+18</v>
      </c>
      <c r="U272">
        <v>1000003626</v>
      </c>
      <c r="V272" t="s">
        <v>63</v>
      </c>
      <c r="W272">
        <v>7</v>
      </c>
      <c r="X272">
        <v>107438223</v>
      </c>
      <c r="Y272">
        <v>1125452151</v>
      </c>
      <c r="Z272">
        <v>1232890374</v>
      </c>
      <c r="AA272">
        <v>1000003626</v>
      </c>
      <c r="AB272">
        <v>11.475300000000001</v>
      </c>
      <c r="AC272">
        <v>0.88853499999999996</v>
      </c>
      <c r="AD272">
        <v>4.0473999999999997</v>
      </c>
      <c r="AE272">
        <v>26618050048</v>
      </c>
      <c r="AF272" t="s">
        <v>893</v>
      </c>
      <c r="AG272" t="s">
        <v>893</v>
      </c>
      <c r="AI272">
        <v>388406</v>
      </c>
      <c r="AJ272">
        <v>1436563520940</v>
      </c>
      <c r="AK272">
        <v>867282399</v>
      </c>
      <c r="AM272">
        <v>1760520834</v>
      </c>
      <c r="AN272">
        <v>2111020848</v>
      </c>
      <c r="AO272">
        <v>255562258</v>
      </c>
      <c r="AP272">
        <v>945729721</v>
      </c>
      <c r="AQ272">
        <v>0</v>
      </c>
      <c r="AR272">
        <v>105064311</v>
      </c>
      <c r="AS272">
        <v>945729721</v>
      </c>
      <c r="AT272">
        <v>1050794032</v>
      </c>
      <c r="AU272">
        <v>15762162</v>
      </c>
      <c r="AV272">
        <v>0</v>
      </c>
      <c r="AW272">
        <v>1751071</v>
      </c>
      <c r="AX272">
        <v>15762162</v>
      </c>
      <c r="AY272">
        <v>17513233</v>
      </c>
      <c r="AZ272">
        <v>22.930900000000001</v>
      </c>
      <c r="BA272">
        <v>13.508800000000001</v>
      </c>
      <c r="BB272">
        <v>3814.33</v>
      </c>
      <c r="BC272">
        <v>3044.16</v>
      </c>
      <c r="BD272">
        <v>61803</v>
      </c>
      <c r="BE272">
        <v>16546</v>
      </c>
      <c r="BF272">
        <f t="shared" si="65"/>
        <v>59.8568133725</v>
      </c>
      <c r="BG272" s="31">
        <f t="shared" si="66"/>
        <v>0.20809943079166668</v>
      </c>
      <c r="BH272">
        <f t="shared" si="75"/>
        <v>0</v>
      </c>
      <c r="BI272">
        <f t="shared" si="76"/>
        <v>0</v>
      </c>
      <c r="BJ272">
        <f t="shared" si="77"/>
        <v>0</v>
      </c>
      <c r="BK272">
        <f t="shared" si="78"/>
        <v>1020749</v>
      </c>
      <c r="BL272">
        <f t="shared" si="79"/>
        <v>1102434</v>
      </c>
      <c r="BM272">
        <f t="shared" si="80"/>
        <v>0</v>
      </c>
      <c r="BN272" t="str">
        <f t="shared" si="67"/>
        <v>u=10%, k=2x10^9</v>
      </c>
      <c r="BO272" t="str">
        <f t="shared" si="68"/>
        <v>u=10%, k=2x10^9, collaborative</v>
      </c>
      <c r="BP272">
        <f t="shared" si="69"/>
        <v>3.6136766625000004E-2</v>
      </c>
      <c r="BQ272">
        <f t="shared" si="70"/>
        <v>0</v>
      </c>
      <c r="BR272">
        <f t="shared" si="71"/>
        <v>7.3355034750000006E-2</v>
      </c>
      <c r="BS272">
        <f t="shared" si="72"/>
        <v>8.7959202E-2</v>
      </c>
      <c r="BT272">
        <f t="shared" si="73"/>
        <v>1.0648427416666667E-2</v>
      </c>
      <c r="BU272">
        <f t="shared" si="74"/>
        <v>59.64871394170833</v>
      </c>
    </row>
    <row r="273" spans="1:73">
      <c r="A273" t="s">
        <v>894</v>
      </c>
      <c r="B273" t="s">
        <v>158</v>
      </c>
      <c r="C273">
        <v>72</v>
      </c>
      <c r="D273" t="s">
        <v>56</v>
      </c>
      <c r="E273" t="s">
        <v>53</v>
      </c>
      <c r="F273" t="s">
        <v>54</v>
      </c>
      <c r="G273">
        <v>60000</v>
      </c>
      <c r="H273">
        <v>5</v>
      </c>
      <c r="I273">
        <v>5</v>
      </c>
      <c r="J273">
        <v>0</v>
      </c>
      <c r="K273">
        <v>1</v>
      </c>
      <c r="L273">
        <v>2000000000</v>
      </c>
      <c r="M273">
        <v>48</v>
      </c>
      <c r="N273">
        <v>48</v>
      </c>
      <c r="O273">
        <v>48</v>
      </c>
      <c r="P273">
        <v>0</v>
      </c>
      <c r="Q273" t="s">
        <v>55</v>
      </c>
      <c r="R273">
        <v>9.9999761702464102E+17</v>
      </c>
      <c r="S273">
        <v>999991176</v>
      </c>
      <c r="T273">
        <v>9.9999761702464102E+17</v>
      </c>
      <c r="U273">
        <v>999991176</v>
      </c>
      <c r="V273" t="s">
        <v>63</v>
      </c>
      <c r="W273">
        <v>7</v>
      </c>
      <c r="X273">
        <v>119359960</v>
      </c>
      <c r="Y273">
        <v>1150604373</v>
      </c>
      <c r="Z273">
        <v>1269964333</v>
      </c>
      <c r="AA273">
        <v>999991176</v>
      </c>
      <c r="AB273">
        <v>10.639799999999999</v>
      </c>
      <c r="AC273">
        <v>0.86910100000000001</v>
      </c>
      <c r="AD273">
        <v>4.0731400000000004</v>
      </c>
      <c r="AE273">
        <v>27995435024</v>
      </c>
      <c r="AF273" t="s">
        <v>895</v>
      </c>
      <c r="AG273" t="s">
        <v>895</v>
      </c>
      <c r="AI273">
        <v>171586</v>
      </c>
      <c r="AJ273">
        <v>2873126301033</v>
      </c>
      <c r="AK273">
        <v>5138571996</v>
      </c>
      <c r="AM273">
        <v>9112750155</v>
      </c>
      <c r="AN273">
        <v>9196083163</v>
      </c>
      <c r="AO273">
        <v>1741489249</v>
      </c>
      <c r="AP273">
        <v>1701338973</v>
      </c>
      <c r="AQ273">
        <v>0</v>
      </c>
      <c r="AR273">
        <v>189013226</v>
      </c>
      <c r="AS273">
        <v>1701338973</v>
      </c>
      <c r="AT273">
        <v>1890352199</v>
      </c>
      <c r="AU273">
        <v>28355649</v>
      </c>
      <c r="AV273">
        <v>0</v>
      </c>
      <c r="AW273">
        <v>3150220</v>
      </c>
      <c r="AX273">
        <v>28355649</v>
      </c>
      <c r="AY273">
        <v>31505869</v>
      </c>
      <c r="AZ273">
        <v>23.1645</v>
      </c>
      <c r="BA273">
        <v>13.7094</v>
      </c>
      <c r="BB273">
        <v>4239.6899999999996</v>
      </c>
      <c r="BC273">
        <v>3533.69</v>
      </c>
      <c r="BD273">
        <v>63672</v>
      </c>
      <c r="BE273">
        <v>12554</v>
      </c>
      <c r="BF273">
        <f t="shared" si="65"/>
        <v>59.856797938187498</v>
      </c>
      <c r="BG273" s="31">
        <f t="shared" si="66"/>
        <v>0.52476863672916674</v>
      </c>
      <c r="BH273">
        <f t="shared" si="75"/>
        <v>0</v>
      </c>
      <c r="BI273">
        <f t="shared" si="76"/>
        <v>0</v>
      </c>
      <c r="BJ273">
        <f t="shared" si="77"/>
        <v>0</v>
      </c>
      <c r="BK273">
        <f t="shared" si="78"/>
        <v>4907540</v>
      </c>
      <c r="BL273">
        <f t="shared" si="79"/>
        <v>2907374</v>
      </c>
      <c r="BM273">
        <f t="shared" si="80"/>
        <v>0</v>
      </c>
      <c r="BN273" t="str">
        <f t="shared" si="67"/>
        <v>u=10%, k=2x10^9</v>
      </c>
      <c r="BO273" t="str">
        <f t="shared" si="68"/>
        <v>u=10%, k=2x10^9, collaborative</v>
      </c>
      <c r="BP273">
        <f t="shared" si="69"/>
        <v>0.10705358324999999</v>
      </c>
      <c r="BQ273">
        <f t="shared" si="70"/>
        <v>0</v>
      </c>
      <c r="BR273">
        <f t="shared" si="71"/>
        <v>0.1898489615625</v>
      </c>
      <c r="BS273">
        <f t="shared" si="72"/>
        <v>0.19158506589583335</v>
      </c>
      <c r="BT273">
        <f t="shared" si="73"/>
        <v>3.6281026020833336E-2</v>
      </c>
      <c r="BU273">
        <f t="shared" si="74"/>
        <v>59.332029301458334</v>
      </c>
    </row>
    <row r="274" spans="1:73">
      <c r="A274" t="s">
        <v>896</v>
      </c>
      <c r="B274" t="s">
        <v>158</v>
      </c>
      <c r="C274">
        <v>72</v>
      </c>
      <c r="D274" t="s">
        <v>56</v>
      </c>
      <c r="E274" t="s">
        <v>53</v>
      </c>
      <c r="F274" t="s">
        <v>54</v>
      </c>
      <c r="G274">
        <v>60000</v>
      </c>
      <c r="H274">
        <v>5</v>
      </c>
      <c r="I274">
        <v>5</v>
      </c>
      <c r="J274">
        <v>0</v>
      </c>
      <c r="K274">
        <v>1</v>
      </c>
      <c r="L274">
        <v>2000000000</v>
      </c>
      <c r="M274">
        <v>96</v>
      </c>
      <c r="N274">
        <v>96</v>
      </c>
      <c r="O274">
        <v>96</v>
      </c>
      <c r="P274">
        <v>0</v>
      </c>
      <c r="Q274" t="s">
        <v>55</v>
      </c>
      <c r="R274">
        <v>9.9998397807577894E+17</v>
      </c>
      <c r="S274">
        <v>999995161</v>
      </c>
      <c r="T274">
        <v>9.9998397807577894E+17</v>
      </c>
      <c r="U274">
        <v>999995161</v>
      </c>
      <c r="V274" t="s">
        <v>63</v>
      </c>
      <c r="W274">
        <v>7</v>
      </c>
      <c r="X274">
        <v>126481582</v>
      </c>
      <c r="Y274">
        <v>1167766879</v>
      </c>
      <c r="Z274">
        <v>1294248461</v>
      </c>
      <c r="AA274">
        <v>999995161</v>
      </c>
      <c r="AB274">
        <v>10.232699999999999</v>
      </c>
      <c r="AC274">
        <v>0.85633099999999995</v>
      </c>
      <c r="AD274">
        <v>4.0897699999999997</v>
      </c>
      <c r="AE274">
        <v>28867387568</v>
      </c>
      <c r="AF274" t="s">
        <v>897</v>
      </c>
      <c r="AG274" t="s">
        <v>898</v>
      </c>
      <c r="AH274">
        <v>14</v>
      </c>
      <c r="AI274">
        <v>89686</v>
      </c>
      <c r="AJ274">
        <v>5746252186245</v>
      </c>
      <c r="AK274">
        <v>31488380338</v>
      </c>
      <c r="AL274">
        <v>20756</v>
      </c>
      <c r="AM274">
        <v>45497033176</v>
      </c>
      <c r="AN274">
        <v>40747339190</v>
      </c>
      <c r="AO274">
        <v>11239674828</v>
      </c>
      <c r="AP274">
        <v>3575779019</v>
      </c>
      <c r="AQ274">
        <v>0</v>
      </c>
      <c r="AR274">
        <v>397373330</v>
      </c>
      <c r="AS274">
        <v>3575779019</v>
      </c>
      <c r="AT274">
        <v>3973152349</v>
      </c>
      <c r="AU274">
        <v>59596316</v>
      </c>
      <c r="AV274">
        <v>0</v>
      </c>
      <c r="AW274">
        <v>6622888</v>
      </c>
      <c r="AX274">
        <v>59596316</v>
      </c>
      <c r="AY274">
        <v>66219205</v>
      </c>
      <c r="AZ274">
        <v>23.625499999999999</v>
      </c>
      <c r="BA274">
        <v>14.6854</v>
      </c>
      <c r="BB274">
        <v>4030.8</v>
      </c>
      <c r="BC274">
        <v>3262.13</v>
      </c>
      <c r="BD274">
        <v>66638</v>
      </c>
      <c r="BE274">
        <v>9676</v>
      </c>
      <c r="BF274">
        <f t="shared" si="65"/>
        <v>59.856793606718753</v>
      </c>
      <c r="BG274" s="31">
        <f t="shared" si="66"/>
        <v>1.3434630030000001</v>
      </c>
      <c r="BH274">
        <f t="shared" si="75"/>
        <v>0</v>
      </c>
      <c r="BI274">
        <f t="shared" si="76"/>
        <v>0</v>
      </c>
      <c r="BJ274">
        <f t="shared" si="77"/>
        <v>417915</v>
      </c>
      <c r="BK274">
        <f t="shared" si="78"/>
        <v>25508020</v>
      </c>
      <c r="BL274">
        <f t="shared" si="79"/>
        <v>7834827</v>
      </c>
      <c r="BM274">
        <f t="shared" si="80"/>
        <v>0</v>
      </c>
      <c r="BN274" t="str">
        <f t="shared" si="67"/>
        <v>u=10%, k=2x10^9</v>
      </c>
      <c r="BO274" t="str">
        <f t="shared" si="68"/>
        <v>u=10%, k=2x10^9, collaborative</v>
      </c>
      <c r="BP274">
        <f t="shared" si="69"/>
        <v>0.32800396185416664</v>
      </c>
      <c r="BQ274">
        <f t="shared" si="70"/>
        <v>2.1620833333333332E-7</v>
      </c>
      <c r="BR274">
        <f t="shared" si="71"/>
        <v>0.47392742891666667</v>
      </c>
      <c r="BS274">
        <f t="shared" si="72"/>
        <v>0.42445144989583333</v>
      </c>
      <c r="BT274">
        <f t="shared" si="73"/>
        <v>0.117079946125</v>
      </c>
      <c r="BU274">
        <f t="shared" si="74"/>
        <v>58.513330603718757</v>
      </c>
    </row>
    <row r="275" spans="1:73">
      <c r="A275" t="s">
        <v>899</v>
      </c>
      <c r="B275" t="s">
        <v>158</v>
      </c>
      <c r="C275">
        <v>72</v>
      </c>
      <c r="D275" t="s">
        <v>56</v>
      </c>
      <c r="E275" t="s">
        <v>53</v>
      </c>
      <c r="F275" t="s">
        <v>54</v>
      </c>
      <c r="G275">
        <v>60000</v>
      </c>
      <c r="H275">
        <v>5</v>
      </c>
      <c r="I275">
        <v>5</v>
      </c>
      <c r="J275">
        <v>0</v>
      </c>
      <c r="K275">
        <v>1</v>
      </c>
      <c r="L275">
        <v>2000000000</v>
      </c>
      <c r="M275">
        <v>144</v>
      </c>
      <c r="N275">
        <v>144</v>
      </c>
      <c r="O275">
        <v>144</v>
      </c>
      <c r="P275">
        <v>0</v>
      </c>
      <c r="Q275" t="s">
        <v>55</v>
      </c>
      <c r="R275">
        <v>1.00005445699961E+18</v>
      </c>
      <c r="S275">
        <v>1000023353</v>
      </c>
      <c r="T275">
        <v>1.00005445699961E+18</v>
      </c>
      <c r="U275">
        <v>1000023353</v>
      </c>
      <c r="V275" t="s">
        <v>63</v>
      </c>
      <c r="W275">
        <v>7</v>
      </c>
      <c r="X275">
        <v>89142354</v>
      </c>
      <c r="Y275">
        <v>1088197338</v>
      </c>
      <c r="Z275">
        <v>1177339692</v>
      </c>
      <c r="AA275">
        <v>1000023353</v>
      </c>
      <c r="AB275">
        <v>13.2074</v>
      </c>
      <c r="AC275">
        <v>0.91897200000000001</v>
      </c>
      <c r="AD275">
        <v>4.0094099999999999</v>
      </c>
      <c r="AE275">
        <v>24543238400</v>
      </c>
      <c r="AF275" t="s">
        <v>900</v>
      </c>
      <c r="AG275" t="s">
        <v>901</v>
      </c>
      <c r="AH275">
        <v>25521</v>
      </c>
      <c r="AI275">
        <v>48484</v>
      </c>
      <c r="AJ275">
        <v>8621736547242</v>
      </c>
      <c r="AK275">
        <v>187234226123</v>
      </c>
      <c r="AL275">
        <v>3129003459</v>
      </c>
      <c r="AM275">
        <v>699214191331</v>
      </c>
      <c r="AN275">
        <v>204600217170</v>
      </c>
      <c r="AO275">
        <v>106541863018</v>
      </c>
      <c r="AP275">
        <v>4671236151</v>
      </c>
      <c r="AQ275">
        <v>0</v>
      </c>
      <c r="AR275">
        <v>519027777</v>
      </c>
      <c r="AS275">
        <v>4671236151</v>
      </c>
      <c r="AT275">
        <v>5190263928</v>
      </c>
      <c r="AU275">
        <v>77853935</v>
      </c>
      <c r="AV275">
        <v>0</v>
      </c>
      <c r="AW275">
        <v>8650462</v>
      </c>
      <c r="AX275">
        <v>77853935</v>
      </c>
      <c r="AY275">
        <v>86504398</v>
      </c>
      <c r="AZ275">
        <v>25.143000000000001</v>
      </c>
      <c r="BA275">
        <v>15.882999999999999</v>
      </c>
      <c r="BB275">
        <v>4326.33</v>
      </c>
      <c r="BC275">
        <v>3487.82</v>
      </c>
      <c r="BD275">
        <v>103140</v>
      </c>
      <c r="BE275">
        <v>9083</v>
      </c>
      <c r="BF275">
        <f t="shared" si="65"/>
        <v>59.873170466958335</v>
      </c>
      <c r="BG275" s="31">
        <f t="shared" si="66"/>
        <v>8.3383298687569454</v>
      </c>
      <c r="BH275">
        <f t="shared" si="75"/>
        <v>1</v>
      </c>
      <c r="BI275">
        <f t="shared" si="76"/>
        <v>31583</v>
      </c>
      <c r="BJ275">
        <f t="shared" si="77"/>
        <v>2161491</v>
      </c>
      <c r="BK275">
        <f t="shared" si="78"/>
        <v>33496663</v>
      </c>
      <c r="BL275">
        <f t="shared" si="79"/>
        <v>9481828</v>
      </c>
      <c r="BM275">
        <f t="shared" si="80"/>
        <v>0</v>
      </c>
      <c r="BN275" t="str">
        <f t="shared" si="67"/>
        <v>u=10%, k=2x10^9</v>
      </c>
      <c r="BO275" t="str">
        <f t="shared" si="68"/>
        <v>u=10%, k=2x10^9, collaborative</v>
      </c>
      <c r="BP275">
        <f t="shared" si="69"/>
        <v>1.3002376814097223</v>
      </c>
      <c r="BQ275">
        <f t="shared" si="70"/>
        <v>2.17291906875E-2</v>
      </c>
      <c r="BR275">
        <f t="shared" si="71"/>
        <v>4.8556541064652778</v>
      </c>
      <c r="BS275">
        <f t="shared" si="72"/>
        <v>1.4208348414583334</v>
      </c>
      <c r="BT275">
        <f t="shared" si="73"/>
        <v>0.73987404873611107</v>
      </c>
      <c r="BU275">
        <f t="shared" si="74"/>
        <v>51.534840598201392</v>
      </c>
    </row>
    <row r="276" spans="1:73">
      <c r="A276" t="s">
        <v>902</v>
      </c>
      <c r="B276" t="s">
        <v>158</v>
      </c>
      <c r="C276">
        <v>72</v>
      </c>
      <c r="D276" t="s">
        <v>56</v>
      </c>
      <c r="E276" t="s">
        <v>53</v>
      </c>
      <c r="F276" t="s">
        <v>54</v>
      </c>
      <c r="G276">
        <v>60000</v>
      </c>
      <c r="H276">
        <v>5</v>
      </c>
      <c r="I276">
        <v>5</v>
      </c>
      <c r="J276">
        <v>0</v>
      </c>
      <c r="K276">
        <v>1</v>
      </c>
      <c r="L276">
        <v>2000000000</v>
      </c>
      <c r="M276">
        <v>190</v>
      </c>
      <c r="N276">
        <v>190</v>
      </c>
      <c r="O276">
        <v>190</v>
      </c>
      <c r="P276">
        <v>0</v>
      </c>
      <c r="Q276" t="s">
        <v>55</v>
      </c>
      <c r="R276">
        <v>1.00003471679518E+18</v>
      </c>
      <c r="S276">
        <v>1000010319</v>
      </c>
      <c r="T276">
        <v>1.00003471679518E+18</v>
      </c>
      <c r="U276">
        <v>1000010319</v>
      </c>
      <c r="V276" t="s">
        <v>63</v>
      </c>
      <c r="W276">
        <v>7</v>
      </c>
      <c r="X276">
        <v>116975072</v>
      </c>
      <c r="Y276">
        <v>1145494549</v>
      </c>
      <c r="Z276">
        <v>1262469621</v>
      </c>
      <c r="AA276">
        <v>1000010319</v>
      </c>
      <c r="AB276">
        <v>10.7926</v>
      </c>
      <c r="AC276">
        <v>0.87299400000000005</v>
      </c>
      <c r="AD276">
        <v>4.0679100000000004</v>
      </c>
      <c r="AE276">
        <v>27717543696</v>
      </c>
      <c r="AF276" t="s">
        <v>903</v>
      </c>
      <c r="AG276" t="s">
        <v>904</v>
      </c>
      <c r="AH276">
        <v>33989</v>
      </c>
      <c r="AI276">
        <v>35068</v>
      </c>
      <c r="AJ276">
        <v>11372788794649</v>
      </c>
      <c r="AK276">
        <v>239409107972</v>
      </c>
      <c r="AL276">
        <v>4011734946</v>
      </c>
      <c r="AM276">
        <v>737926253083</v>
      </c>
      <c r="AN276">
        <v>233737160725</v>
      </c>
      <c r="AO276">
        <v>320880452295</v>
      </c>
      <c r="AP276">
        <v>6013968705</v>
      </c>
      <c r="AQ276">
        <v>0</v>
      </c>
      <c r="AR276">
        <v>668204499</v>
      </c>
      <c r="AS276">
        <v>6013968705</v>
      </c>
      <c r="AT276">
        <v>6682173204</v>
      </c>
      <c r="AU276">
        <v>100232811</v>
      </c>
      <c r="AV276">
        <v>0</v>
      </c>
      <c r="AW276">
        <v>11136741</v>
      </c>
      <c r="AX276">
        <v>100232811</v>
      </c>
      <c r="AY276">
        <v>111369553</v>
      </c>
      <c r="AZ276">
        <v>24.862400000000001</v>
      </c>
      <c r="BA276">
        <v>15.7202</v>
      </c>
      <c r="BB276">
        <v>4481.21</v>
      </c>
      <c r="BC276">
        <v>3619.93</v>
      </c>
      <c r="BD276">
        <v>120122</v>
      </c>
      <c r="BE276">
        <v>9100</v>
      </c>
      <c r="BF276">
        <f t="shared" si="65"/>
        <v>59.856783129731575</v>
      </c>
      <c r="BG276" s="31">
        <f t="shared" si="66"/>
        <v>8.0840247843210538</v>
      </c>
      <c r="BH276">
        <f t="shared" si="75"/>
        <v>1</v>
      </c>
      <c r="BI276">
        <f t="shared" si="76"/>
        <v>31592</v>
      </c>
      <c r="BJ276">
        <f t="shared" si="77"/>
        <v>2149488</v>
      </c>
      <c r="BK276">
        <f t="shared" si="78"/>
        <v>37101717</v>
      </c>
      <c r="BL276">
        <f t="shared" si="79"/>
        <v>11861609</v>
      </c>
      <c r="BM276">
        <f t="shared" si="80"/>
        <v>0</v>
      </c>
      <c r="BN276" t="str">
        <f t="shared" si="67"/>
        <v>u=10%, k=2x10^9</v>
      </c>
      <c r="BO276" t="str">
        <f t="shared" si="68"/>
        <v>u=10%, k=2x10^9, collaborative</v>
      </c>
      <c r="BP276">
        <f t="shared" si="69"/>
        <v>1.2600479366947368</v>
      </c>
      <c r="BQ276">
        <f t="shared" si="70"/>
        <v>2.1114394452631576E-2</v>
      </c>
      <c r="BR276">
        <f t="shared" si="71"/>
        <v>3.8838223846473685</v>
      </c>
      <c r="BS276">
        <f t="shared" si="72"/>
        <v>1.2301955827631579</v>
      </c>
      <c r="BT276">
        <f t="shared" si="73"/>
        <v>1.6888444857631579</v>
      </c>
      <c r="BU276">
        <f t="shared" si="74"/>
        <v>51.772758345410523</v>
      </c>
    </row>
    <row r="277" spans="1:73">
      <c r="A277" t="s">
        <v>905</v>
      </c>
      <c r="B277" t="s">
        <v>158</v>
      </c>
      <c r="C277">
        <v>72</v>
      </c>
      <c r="D277" t="s">
        <v>56</v>
      </c>
      <c r="E277" t="s">
        <v>53</v>
      </c>
      <c r="F277" t="s">
        <v>54</v>
      </c>
      <c r="G277">
        <v>60000</v>
      </c>
      <c r="H277">
        <v>20</v>
      </c>
      <c r="I277">
        <v>20</v>
      </c>
      <c r="J277">
        <v>0</v>
      </c>
      <c r="K277">
        <v>1</v>
      </c>
      <c r="L277">
        <v>2000000</v>
      </c>
      <c r="M277">
        <v>24</v>
      </c>
      <c r="N277">
        <v>24</v>
      </c>
      <c r="O277">
        <v>24</v>
      </c>
      <c r="P277">
        <v>0</v>
      </c>
      <c r="Q277" t="s">
        <v>55</v>
      </c>
      <c r="R277">
        <v>1000751882144</v>
      </c>
      <c r="S277">
        <v>1000525</v>
      </c>
      <c r="T277">
        <v>1000751882144</v>
      </c>
      <c r="U277">
        <v>1000525</v>
      </c>
      <c r="V277" t="s">
        <v>63</v>
      </c>
      <c r="W277">
        <v>6</v>
      </c>
      <c r="X277">
        <v>34540</v>
      </c>
      <c r="Y277">
        <v>1035543</v>
      </c>
      <c r="Z277">
        <v>1070083</v>
      </c>
      <c r="AA277">
        <v>1000525</v>
      </c>
      <c r="AB277">
        <v>30.981000000000002</v>
      </c>
      <c r="AC277">
        <v>0.96618400000000004</v>
      </c>
      <c r="AD277">
        <v>3.0030199999999998</v>
      </c>
      <c r="AE277">
        <v>19331952</v>
      </c>
      <c r="AF277" t="s">
        <v>906</v>
      </c>
      <c r="AG277" t="s">
        <v>907</v>
      </c>
      <c r="AH277">
        <v>910928</v>
      </c>
      <c r="AI277">
        <v>1034816</v>
      </c>
      <c r="AJ277">
        <v>1436567694044</v>
      </c>
      <c r="AK277">
        <v>93662503601</v>
      </c>
      <c r="AL277">
        <v>1083499720</v>
      </c>
      <c r="AM277">
        <v>108870940705</v>
      </c>
      <c r="AN277">
        <v>79161552395</v>
      </c>
      <c r="AO277">
        <v>44119291935</v>
      </c>
      <c r="AP277">
        <v>1523143056</v>
      </c>
      <c r="AQ277">
        <v>0</v>
      </c>
      <c r="AR277">
        <v>1015417959</v>
      </c>
      <c r="AS277">
        <v>1523143056</v>
      </c>
      <c r="AT277">
        <v>2538561015</v>
      </c>
      <c r="AU277">
        <v>25385717</v>
      </c>
      <c r="AV277">
        <v>0</v>
      </c>
      <c r="AW277">
        <v>16923632</v>
      </c>
      <c r="AX277">
        <v>25385717</v>
      </c>
      <c r="AY277">
        <v>42309350</v>
      </c>
      <c r="AZ277">
        <v>15.706</v>
      </c>
      <c r="BA277">
        <v>1.05277</v>
      </c>
      <c r="BB277">
        <v>1580.39</v>
      </c>
      <c r="BC277">
        <v>623.63300000000004</v>
      </c>
      <c r="BD277">
        <v>1238</v>
      </c>
      <c r="BE277">
        <v>26</v>
      </c>
      <c r="BF277">
        <f t="shared" si="65"/>
        <v>59.856987251833338</v>
      </c>
      <c r="BG277" s="31">
        <f t="shared" si="66"/>
        <v>13.6207411815</v>
      </c>
      <c r="BH277">
        <f t="shared" si="75"/>
        <v>2031</v>
      </c>
      <c r="BI277">
        <f t="shared" si="76"/>
        <v>1818973</v>
      </c>
      <c r="BJ277">
        <f t="shared" si="77"/>
        <v>26231587</v>
      </c>
      <c r="BK277">
        <f t="shared" si="78"/>
        <v>29415584</v>
      </c>
      <c r="BL277">
        <f t="shared" si="79"/>
        <v>0</v>
      </c>
      <c r="BM277">
        <f t="shared" si="80"/>
        <v>0</v>
      </c>
      <c r="BN277" t="str">
        <f t="shared" si="67"/>
        <v>u=40%, k=2x10^6</v>
      </c>
      <c r="BO277" t="str">
        <f t="shared" si="68"/>
        <v>u=40%, k=2x10^6, collaborative</v>
      </c>
      <c r="BP277">
        <f t="shared" si="69"/>
        <v>3.9026043167083331</v>
      </c>
      <c r="BQ277">
        <f t="shared" si="70"/>
        <v>4.5145821666666669E-2</v>
      </c>
      <c r="BR277">
        <f t="shared" si="71"/>
        <v>4.5362891960416665</v>
      </c>
      <c r="BS277">
        <f t="shared" si="72"/>
        <v>3.2983980164583335</v>
      </c>
      <c r="BT277">
        <f t="shared" si="73"/>
        <v>1.8383038306249999</v>
      </c>
      <c r="BU277">
        <f t="shared" si="74"/>
        <v>46.236246070333337</v>
      </c>
    </row>
    <row r="278" spans="1:73">
      <c r="A278" t="s">
        <v>908</v>
      </c>
      <c r="B278" t="s">
        <v>158</v>
      </c>
      <c r="C278">
        <v>72</v>
      </c>
      <c r="D278" t="s">
        <v>56</v>
      </c>
      <c r="E278" t="s">
        <v>53</v>
      </c>
      <c r="F278" t="s">
        <v>54</v>
      </c>
      <c r="G278">
        <v>60000</v>
      </c>
      <c r="H278">
        <v>20</v>
      </c>
      <c r="I278">
        <v>20</v>
      </c>
      <c r="J278">
        <v>0</v>
      </c>
      <c r="K278">
        <v>1</v>
      </c>
      <c r="L278">
        <v>2000000</v>
      </c>
      <c r="M278">
        <v>48</v>
      </c>
      <c r="N278">
        <v>48</v>
      </c>
      <c r="O278">
        <v>48</v>
      </c>
      <c r="P278">
        <v>0</v>
      </c>
      <c r="Q278" t="s">
        <v>55</v>
      </c>
      <c r="R278">
        <v>999069891071</v>
      </c>
      <c r="S278">
        <v>999794</v>
      </c>
      <c r="T278">
        <v>999069891071</v>
      </c>
      <c r="U278">
        <v>999794</v>
      </c>
      <c r="V278" t="s">
        <v>63</v>
      </c>
      <c r="W278">
        <v>6</v>
      </c>
      <c r="X278">
        <v>64689</v>
      </c>
      <c r="Y278">
        <v>1097998</v>
      </c>
      <c r="Z278">
        <v>1162687</v>
      </c>
      <c r="AA278">
        <v>999794</v>
      </c>
      <c r="AB278">
        <v>17.973500000000001</v>
      </c>
      <c r="AC278">
        <v>0.91056099999999995</v>
      </c>
      <c r="AD278">
        <v>3.0689299999999999</v>
      </c>
      <c r="AE278">
        <v>22804176</v>
      </c>
      <c r="AF278" t="s">
        <v>909</v>
      </c>
      <c r="AG278" t="s">
        <v>910</v>
      </c>
      <c r="AH278">
        <v>3699297</v>
      </c>
      <c r="AI278">
        <v>376956</v>
      </c>
      <c r="AJ278">
        <v>2873125435062</v>
      </c>
      <c r="AK278">
        <v>244172007272</v>
      </c>
      <c r="AL278">
        <v>5082643721</v>
      </c>
      <c r="AM278">
        <v>271409830259</v>
      </c>
      <c r="AN278">
        <v>151916803045</v>
      </c>
      <c r="AO278">
        <v>102624104945</v>
      </c>
      <c r="AP278">
        <v>2171260326</v>
      </c>
      <c r="AQ278">
        <v>0</v>
      </c>
      <c r="AR278">
        <v>1447544518</v>
      </c>
      <c r="AS278">
        <v>2171260326</v>
      </c>
      <c r="AT278">
        <v>3618804844</v>
      </c>
      <c r="AU278">
        <v>36187672</v>
      </c>
      <c r="AV278">
        <v>0</v>
      </c>
      <c r="AW278">
        <v>24125741</v>
      </c>
      <c r="AX278">
        <v>36187672</v>
      </c>
      <c r="AY278">
        <v>60313414</v>
      </c>
      <c r="AZ278">
        <v>16.207100000000001</v>
      </c>
      <c r="BA278">
        <v>1.5250600000000001</v>
      </c>
      <c r="BB278">
        <v>2171.7399999999998</v>
      </c>
      <c r="BC278">
        <v>1030.9100000000001</v>
      </c>
      <c r="BD278">
        <v>1305</v>
      </c>
      <c r="BE278">
        <v>34</v>
      </c>
      <c r="BF278">
        <f t="shared" si="65"/>
        <v>59.856779897125001</v>
      </c>
      <c r="BG278" s="31">
        <f t="shared" si="66"/>
        <v>16.150112275874999</v>
      </c>
      <c r="BH278">
        <f t="shared" si="75"/>
        <v>2895</v>
      </c>
      <c r="BI278">
        <f t="shared" si="76"/>
        <v>2853345</v>
      </c>
      <c r="BJ278">
        <f t="shared" si="77"/>
        <v>27119166</v>
      </c>
      <c r="BK278">
        <f t="shared" si="78"/>
        <v>39395139</v>
      </c>
      <c r="BL278">
        <f t="shared" si="79"/>
        <v>0</v>
      </c>
      <c r="BM278">
        <f t="shared" si="80"/>
        <v>0</v>
      </c>
      <c r="BN278" t="str">
        <f t="shared" si="67"/>
        <v>u=40%, k=2x10^6</v>
      </c>
      <c r="BO278" t="str">
        <f t="shared" si="68"/>
        <v>u=40%, k=2x10^6, collaborative</v>
      </c>
      <c r="BP278">
        <f t="shared" si="69"/>
        <v>5.0869168181666664</v>
      </c>
      <c r="BQ278">
        <f t="shared" si="70"/>
        <v>0.10588841085416667</v>
      </c>
      <c r="BR278">
        <f t="shared" si="71"/>
        <v>5.6543714637291664</v>
      </c>
      <c r="BS278">
        <f t="shared" si="72"/>
        <v>3.1649333967708331</v>
      </c>
      <c r="BT278">
        <f t="shared" si="73"/>
        <v>2.1380021863541665</v>
      </c>
      <c r="BU278">
        <f t="shared" si="74"/>
        <v>43.706667621250006</v>
      </c>
    </row>
    <row r="279" spans="1:73">
      <c r="A279" t="s">
        <v>911</v>
      </c>
      <c r="B279" t="s">
        <v>158</v>
      </c>
      <c r="C279">
        <v>72</v>
      </c>
      <c r="D279" t="s">
        <v>56</v>
      </c>
      <c r="E279" t="s">
        <v>53</v>
      </c>
      <c r="F279" t="s">
        <v>54</v>
      </c>
      <c r="G279">
        <v>60000</v>
      </c>
      <c r="H279">
        <v>20</v>
      </c>
      <c r="I279">
        <v>20</v>
      </c>
      <c r="J279">
        <v>0</v>
      </c>
      <c r="K279">
        <v>1</v>
      </c>
      <c r="L279">
        <v>2000000</v>
      </c>
      <c r="M279">
        <v>96</v>
      </c>
      <c r="N279">
        <v>96</v>
      </c>
      <c r="O279">
        <v>96</v>
      </c>
      <c r="P279">
        <v>0</v>
      </c>
      <c r="Q279" t="s">
        <v>55</v>
      </c>
      <c r="R279">
        <v>1000940500385</v>
      </c>
      <c r="S279">
        <v>1000085</v>
      </c>
      <c r="T279">
        <v>1000940500385</v>
      </c>
      <c r="U279">
        <v>1000085</v>
      </c>
      <c r="V279" t="s">
        <v>63</v>
      </c>
      <c r="W279">
        <v>6</v>
      </c>
      <c r="X279">
        <v>33064</v>
      </c>
      <c r="Y279">
        <v>1032161</v>
      </c>
      <c r="Z279">
        <v>1065225</v>
      </c>
      <c r="AA279">
        <v>1000085</v>
      </c>
      <c r="AB279">
        <v>32.217100000000002</v>
      </c>
      <c r="AC279">
        <v>0.96892299999999998</v>
      </c>
      <c r="AD279">
        <v>3.0000599999999999</v>
      </c>
      <c r="AE279">
        <v>19159680</v>
      </c>
      <c r="AF279" t="s">
        <v>912</v>
      </c>
      <c r="AG279" t="s">
        <v>913</v>
      </c>
      <c r="AH279">
        <v>14907051</v>
      </c>
      <c r="AI279">
        <v>125264</v>
      </c>
      <c r="AJ279">
        <v>5746329050091</v>
      </c>
      <c r="AK279">
        <v>692934436104</v>
      </c>
      <c r="AL279">
        <v>26367424603</v>
      </c>
      <c r="AM279">
        <v>746680537388</v>
      </c>
      <c r="AN279">
        <v>311107296621</v>
      </c>
      <c r="AO279">
        <v>500258101499</v>
      </c>
      <c r="AP279">
        <v>2639542055</v>
      </c>
      <c r="AQ279">
        <v>0</v>
      </c>
      <c r="AR279">
        <v>1759631784</v>
      </c>
      <c r="AS279">
        <v>2639542055</v>
      </c>
      <c r="AT279">
        <v>4399173839</v>
      </c>
      <c r="AU279">
        <v>43992367</v>
      </c>
      <c r="AV279">
        <v>0</v>
      </c>
      <c r="AW279">
        <v>29327196</v>
      </c>
      <c r="AX279">
        <v>43992367</v>
      </c>
      <c r="AY279">
        <v>73319563</v>
      </c>
      <c r="AZ279">
        <v>19.4437</v>
      </c>
      <c r="BA279">
        <v>6.0476099999999997</v>
      </c>
      <c r="BB279">
        <v>3643.95</v>
      </c>
      <c r="BC279">
        <v>2400.65</v>
      </c>
      <c r="BD279">
        <v>1444</v>
      </c>
      <c r="BE279">
        <v>147</v>
      </c>
      <c r="BF279">
        <f t="shared" si="65"/>
        <v>59.857594271781245</v>
      </c>
      <c r="BG279" s="31">
        <f t="shared" si="66"/>
        <v>23.722372877239582</v>
      </c>
      <c r="BH279">
        <f t="shared" si="75"/>
        <v>3521</v>
      </c>
      <c r="BI279">
        <f t="shared" si="76"/>
        <v>5475430</v>
      </c>
      <c r="BJ279">
        <f t="shared" si="77"/>
        <v>9549903</v>
      </c>
      <c r="BK279">
        <f t="shared" si="78"/>
        <v>40665248</v>
      </c>
      <c r="BL279">
        <f t="shared" si="79"/>
        <v>0</v>
      </c>
      <c r="BM279">
        <f t="shared" si="80"/>
        <v>0</v>
      </c>
      <c r="BN279" t="str">
        <f t="shared" si="67"/>
        <v>u=40%, k=2x10^6</v>
      </c>
      <c r="BO279" t="str">
        <f t="shared" si="68"/>
        <v>u=40%, k=2x10^6, collaborative</v>
      </c>
      <c r="BP279">
        <f t="shared" si="69"/>
        <v>7.2180670427500004</v>
      </c>
      <c r="BQ279">
        <f t="shared" si="70"/>
        <v>0.27466067294791668</v>
      </c>
      <c r="BR279">
        <f t="shared" si="71"/>
        <v>7.7779222644583328</v>
      </c>
      <c r="BS279">
        <f t="shared" si="72"/>
        <v>3.24070100646875</v>
      </c>
      <c r="BT279">
        <f t="shared" si="73"/>
        <v>5.2110218906145835</v>
      </c>
      <c r="BU279">
        <f t="shared" si="74"/>
        <v>36.135221394541659</v>
      </c>
    </row>
    <row r="280" spans="1:73">
      <c r="A280" t="s">
        <v>914</v>
      </c>
      <c r="B280" t="s">
        <v>158</v>
      </c>
      <c r="C280">
        <v>72</v>
      </c>
      <c r="D280" t="s">
        <v>56</v>
      </c>
      <c r="E280" t="s">
        <v>53</v>
      </c>
      <c r="F280" t="s">
        <v>54</v>
      </c>
      <c r="G280">
        <v>60000</v>
      </c>
      <c r="H280">
        <v>20</v>
      </c>
      <c r="I280">
        <v>20</v>
      </c>
      <c r="J280">
        <v>0</v>
      </c>
      <c r="K280">
        <v>1</v>
      </c>
      <c r="L280">
        <v>2000000</v>
      </c>
      <c r="M280">
        <v>144</v>
      </c>
      <c r="N280">
        <v>144</v>
      </c>
      <c r="O280">
        <v>144</v>
      </c>
      <c r="P280">
        <v>0</v>
      </c>
      <c r="Q280" t="s">
        <v>55</v>
      </c>
      <c r="R280">
        <v>1001014493145</v>
      </c>
      <c r="S280">
        <v>1000598</v>
      </c>
      <c r="T280">
        <v>1001014493145</v>
      </c>
      <c r="U280">
        <v>1000598</v>
      </c>
      <c r="V280" t="s">
        <v>63</v>
      </c>
      <c r="W280">
        <v>6</v>
      </c>
      <c r="X280">
        <v>51500</v>
      </c>
      <c r="Y280">
        <v>1069931</v>
      </c>
      <c r="Z280">
        <v>1121431</v>
      </c>
      <c r="AA280">
        <v>1000598</v>
      </c>
      <c r="AB280">
        <v>21.775400000000001</v>
      </c>
      <c r="AC280">
        <v>0.935199</v>
      </c>
      <c r="AD280">
        <v>3.0383599999999999</v>
      </c>
      <c r="AE280">
        <v>21255104</v>
      </c>
      <c r="AF280" t="s">
        <v>915</v>
      </c>
      <c r="AG280" t="s">
        <v>916</v>
      </c>
      <c r="AH280">
        <v>36441618</v>
      </c>
      <c r="AI280">
        <v>61780</v>
      </c>
      <c r="AJ280">
        <v>8619377502633</v>
      </c>
      <c r="AK280">
        <v>1357364580848</v>
      </c>
      <c r="AL280">
        <v>67560451955</v>
      </c>
      <c r="AM280">
        <v>1498301735384</v>
      </c>
      <c r="AN280">
        <v>398545139417</v>
      </c>
      <c r="AO280">
        <v>1075121543161</v>
      </c>
      <c r="AP280">
        <v>2865109205</v>
      </c>
      <c r="AQ280">
        <v>0</v>
      </c>
      <c r="AR280">
        <v>1910009327</v>
      </c>
      <c r="AS280">
        <v>2865109205</v>
      </c>
      <c r="AT280">
        <v>4775118532</v>
      </c>
      <c r="AU280">
        <v>47751820</v>
      </c>
      <c r="AV280">
        <v>0</v>
      </c>
      <c r="AW280">
        <v>31833488</v>
      </c>
      <c r="AX280">
        <v>47751820</v>
      </c>
      <c r="AY280">
        <v>79585308</v>
      </c>
      <c r="AZ280">
        <v>24.331</v>
      </c>
      <c r="BA280">
        <v>10.456799999999999</v>
      </c>
      <c r="BB280">
        <v>5035.9799999999996</v>
      </c>
      <c r="BC280">
        <v>3562.43</v>
      </c>
      <c r="BD280">
        <v>1658</v>
      </c>
      <c r="BE280">
        <v>297</v>
      </c>
      <c r="BF280">
        <f t="shared" si="65"/>
        <v>59.856788212729171</v>
      </c>
      <c r="BG280" s="31">
        <f t="shared" si="66"/>
        <v>30.533982296979168</v>
      </c>
      <c r="BH280">
        <f t="shared" si="75"/>
        <v>3822</v>
      </c>
      <c r="BI280">
        <f t="shared" si="76"/>
        <v>11061944</v>
      </c>
      <c r="BJ280">
        <f t="shared" si="77"/>
        <v>1995621</v>
      </c>
      <c r="BK280">
        <f t="shared" si="78"/>
        <v>31009004</v>
      </c>
      <c r="BL280">
        <f t="shared" si="79"/>
        <v>0</v>
      </c>
      <c r="BM280">
        <f t="shared" si="80"/>
        <v>0</v>
      </c>
      <c r="BN280" t="str">
        <f t="shared" si="67"/>
        <v>u=40%, k=2x10^6</v>
      </c>
      <c r="BO280" t="str">
        <f t="shared" si="68"/>
        <v>u=40%, k=2x10^6, collaborative</v>
      </c>
      <c r="BP280">
        <f t="shared" si="69"/>
        <v>9.426142922555556</v>
      </c>
      <c r="BQ280">
        <f t="shared" si="70"/>
        <v>0.46916980524305557</v>
      </c>
      <c r="BR280">
        <f t="shared" si="71"/>
        <v>10.404873162388888</v>
      </c>
      <c r="BS280">
        <f t="shared" si="72"/>
        <v>2.7676745792847219</v>
      </c>
      <c r="BT280">
        <f t="shared" si="73"/>
        <v>7.466121827506945</v>
      </c>
      <c r="BU280">
        <f t="shared" si="74"/>
        <v>29.322805915750003</v>
      </c>
    </row>
    <row r="281" spans="1:73">
      <c r="A281" t="s">
        <v>917</v>
      </c>
      <c r="B281" t="s">
        <v>158</v>
      </c>
      <c r="C281">
        <v>72</v>
      </c>
      <c r="D281" t="s">
        <v>56</v>
      </c>
      <c r="E281" t="s">
        <v>53</v>
      </c>
      <c r="F281" t="s">
        <v>54</v>
      </c>
      <c r="G281">
        <v>60000</v>
      </c>
      <c r="H281">
        <v>20</v>
      </c>
      <c r="I281">
        <v>20</v>
      </c>
      <c r="J281">
        <v>0</v>
      </c>
      <c r="K281">
        <v>1</v>
      </c>
      <c r="L281">
        <v>2000000</v>
      </c>
      <c r="M281">
        <v>190</v>
      </c>
      <c r="N281">
        <v>190</v>
      </c>
      <c r="O281">
        <v>190</v>
      </c>
      <c r="P281">
        <v>0</v>
      </c>
      <c r="Q281" t="s">
        <v>55</v>
      </c>
      <c r="R281">
        <v>999838569426</v>
      </c>
      <c r="S281">
        <v>999639</v>
      </c>
      <c r="T281">
        <v>999838569426</v>
      </c>
      <c r="U281">
        <v>999639</v>
      </c>
      <c r="V281" t="s">
        <v>63</v>
      </c>
      <c r="W281">
        <v>6</v>
      </c>
      <c r="X281">
        <v>53637</v>
      </c>
      <c r="Y281">
        <v>1073589</v>
      </c>
      <c r="Z281">
        <v>1127226</v>
      </c>
      <c r="AA281">
        <v>999639</v>
      </c>
      <c r="AB281">
        <v>21.015799999999999</v>
      </c>
      <c r="AC281">
        <v>0.93111900000000003</v>
      </c>
      <c r="AD281">
        <v>3.0431300000000001</v>
      </c>
      <c r="AE281">
        <v>21489472</v>
      </c>
      <c r="AF281" t="s">
        <v>918</v>
      </c>
      <c r="AG281" t="s">
        <v>919</v>
      </c>
      <c r="AH281">
        <v>49215151</v>
      </c>
      <c r="AI281">
        <v>40356</v>
      </c>
      <c r="AJ281">
        <v>11372784126947</v>
      </c>
      <c r="AK281">
        <v>1752142798368</v>
      </c>
      <c r="AL281">
        <v>103056428700</v>
      </c>
      <c r="AM281">
        <v>2013691568466</v>
      </c>
      <c r="AN281">
        <v>538307990962</v>
      </c>
      <c r="AO281">
        <v>1883353270573</v>
      </c>
      <c r="AP281">
        <v>3296284470</v>
      </c>
      <c r="AQ281">
        <v>0</v>
      </c>
      <c r="AR281">
        <v>2197509953</v>
      </c>
      <c r="AS281">
        <v>3296284470</v>
      </c>
      <c r="AT281">
        <v>5493794423</v>
      </c>
      <c r="AU281">
        <v>54938074</v>
      </c>
      <c r="AV281">
        <v>0</v>
      </c>
      <c r="AW281">
        <v>36625165</v>
      </c>
      <c r="AX281">
        <v>54938074</v>
      </c>
      <c r="AY281">
        <v>91563240</v>
      </c>
      <c r="AZ281">
        <v>24.843800000000002</v>
      </c>
      <c r="BA281">
        <v>11.6854</v>
      </c>
      <c r="BB281">
        <v>5773.2</v>
      </c>
      <c r="BC281">
        <v>4271.91</v>
      </c>
      <c r="BD281">
        <v>1855</v>
      </c>
      <c r="BE281">
        <v>203</v>
      </c>
      <c r="BF281">
        <f t="shared" si="65"/>
        <v>59.856758562878944</v>
      </c>
      <c r="BG281" s="31">
        <f t="shared" si="66"/>
        <v>33.108168721415787</v>
      </c>
      <c r="BH281">
        <f t="shared" si="75"/>
        <v>4399</v>
      </c>
      <c r="BI281">
        <f t="shared" si="76"/>
        <v>10227464</v>
      </c>
      <c r="BJ281">
        <f t="shared" si="77"/>
        <v>4991053</v>
      </c>
      <c r="BK281">
        <f t="shared" si="78"/>
        <v>41250458</v>
      </c>
      <c r="BL281">
        <f t="shared" si="79"/>
        <v>0</v>
      </c>
      <c r="BM281">
        <f t="shared" si="80"/>
        <v>0</v>
      </c>
      <c r="BN281" t="str">
        <f t="shared" si="67"/>
        <v>u=40%, k=2x10^6</v>
      </c>
      <c r="BO281" t="str">
        <f t="shared" si="68"/>
        <v>u=40%, k=2x10^6, collaborative</v>
      </c>
      <c r="BP281">
        <f t="shared" si="69"/>
        <v>9.2218042019368429</v>
      </c>
      <c r="BQ281">
        <f t="shared" si="70"/>
        <v>0.54240225631578942</v>
      </c>
      <c r="BR281">
        <f t="shared" si="71"/>
        <v>10.598376676136843</v>
      </c>
      <c r="BS281">
        <f t="shared" si="72"/>
        <v>2.833199952431579</v>
      </c>
      <c r="BT281">
        <f t="shared" si="73"/>
        <v>9.9123856345947363</v>
      </c>
      <c r="BU281">
        <f t="shared" si="74"/>
        <v>26.748589841463158</v>
      </c>
    </row>
    <row r="282" spans="1:73">
      <c r="A282" t="s">
        <v>920</v>
      </c>
      <c r="B282" t="s">
        <v>158</v>
      </c>
      <c r="C282">
        <v>72</v>
      </c>
      <c r="D282" t="s">
        <v>56</v>
      </c>
      <c r="E282" t="s">
        <v>53</v>
      </c>
      <c r="F282" t="s">
        <v>54</v>
      </c>
      <c r="G282">
        <v>60000</v>
      </c>
      <c r="H282">
        <v>20</v>
      </c>
      <c r="I282">
        <v>20</v>
      </c>
      <c r="J282">
        <v>0</v>
      </c>
      <c r="K282">
        <v>1</v>
      </c>
      <c r="L282">
        <v>20000000</v>
      </c>
      <c r="M282">
        <v>24</v>
      </c>
      <c r="N282">
        <v>24</v>
      </c>
      <c r="O282">
        <v>24</v>
      </c>
      <c r="P282">
        <v>0</v>
      </c>
      <c r="Q282" t="s">
        <v>55</v>
      </c>
      <c r="R282">
        <v>99971811743005</v>
      </c>
      <c r="S282">
        <v>9997007</v>
      </c>
      <c r="T282">
        <v>99971811743005</v>
      </c>
      <c r="U282">
        <v>9997007</v>
      </c>
      <c r="V282" t="s">
        <v>63</v>
      </c>
      <c r="W282">
        <v>7</v>
      </c>
      <c r="X282">
        <v>1805798</v>
      </c>
      <c r="Y282">
        <v>11809080</v>
      </c>
      <c r="Z282">
        <v>13614878</v>
      </c>
      <c r="AA282">
        <v>9997007</v>
      </c>
      <c r="AB282">
        <v>7.5395399999999997</v>
      </c>
      <c r="AC282">
        <v>0.846553</v>
      </c>
      <c r="AD282">
        <v>4.0360300000000002</v>
      </c>
      <c r="AE282">
        <v>333412208</v>
      </c>
      <c r="AF282" t="s">
        <v>921</v>
      </c>
      <c r="AG282" t="s">
        <v>922</v>
      </c>
      <c r="AH282">
        <v>128204</v>
      </c>
      <c r="AI282">
        <v>447300</v>
      </c>
      <c r="AJ282">
        <v>1436562186559</v>
      </c>
      <c r="AK282">
        <v>137450156414</v>
      </c>
      <c r="AL282">
        <v>608003080</v>
      </c>
      <c r="AM282">
        <v>155499178930</v>
      </c>
      <c r="AN282">
        <v>91038185112</v>
      </c>
      <c r="AO282">
        <v>64653845249</v>
      </c>
      <c r="AP282">
        <v>706669827</v>
      </c>
      <c r="AQ282">
        <v>0</v>
      </c>
      <c r="AR282">
        <v>471098384</v>
      </c>
      <c r="AS282">
        <v>706669827</v>
      </c>
      <c r="AT282">
        <v>1177768211</v>
      </c>
      <c r="AU282">
        <v>11777830</v>
      </c>
      <c r="AV282">
        <v>0</v>
      </c>
      <c r="AW282">
        <v>7851639</v>
      </c>
      <c r="AX282">
        <v>11777830</v>
      </c>
      <c r="AY282">
        <v>19629470</v>
      </c>
      <c r="AZ282">
        <v>25.9267</v>
      </c>
      <c r="BA282">
        <v>11.072800000000001</v>
      </c>
      <c r="BB282">
        <v>3380.54</v>
      </c>
      <c r="BC282">
        <v>2133.34</v>
      </c>
      <c r="BD282">
        <v>2449</v>
      </c>
      <c r="BE282">
        <v>155</v>
      </c>
      <c r="BF282">
        <f t="shared" si="65"/>
        <v>59.856757773291669</v>
      </c>
      <c r="BG282" s="31">
        <f t="shared" si="66"/>
        <v>18.718723699375001</v>
      </c>
      <c r="BH282">
        <f t="shared" si="75"/>
        <v>94</v>
      </c>
      <c r="BI282">
        <f t="shared" si="76"/>
        <v>262411</v>
      </c>
      <c r="BJ282">
        <f t="shared" si="77"/>
        <v>7536889</v>
      </c>
      <c r="BK282">
        <f t="shared" si="78"/>
        <v>68849303</v>
      </c>
      <c r="BL282">
        <f t="shared" si="79"/>
        <v>232384</v>
      </c>
      <c r="BM282">
        <f t="shared" si="80"/>
        <v>0</v>
      </c>
      <c r="BN282" t="str">
        <f t="shared" si="67"/>
        <v>u=40%, k=2x10^7</v>
      </c>
      <c r="BO282" t="str">
        <f t="shared" si="68"/>
        <v>u=40%, k=2x10^7, collaborative</v>
      </c>
      <c r="BP282">
        <f t="shared" si="69"/>
        <v>5.727089850583333</v>
      </c>
      <c r="BQ282">
        <f t="shared" si="70"/>
        <v>2.5333461666666668E-2</v>
      </c>
      <c r="BR282">
        <f t="shared" si="71"/>
        <v>6.4791324554166669</v>
      </c>
      <c r="BS282">
        <f t="shared" si="72"/>
        <v>3.7932577129999996</v>
      </c>
      <c r="BT282">
        <f t="shared" si="73"/>
        <v>2.6939102187083335</v>
      </c>
      <c r="BU282">
        <f t="shared" si="74"/>
        <v>41.138034073916671</v>
      </c>
    </row>
    <row r="283" spans="1:73">
      <c r="A283" t="s">
        <v>923</v>
      </c>
      <c r="B283" t="s">
        <v>158</v>
      </c>
      <c r="C283">
        <v>72</v>
      </c>
      <c r="D283" t="s">
        <v>56</v>
      </c>
      <c r="E283" t="s">
        <v>53</v>
      </c>
      <c r="F283" t="s">
        <v>54</v>
      </c>
      <c r="G283">
        <v>60000</v>
      </c>
      <c r="H283">
        <v>20</v>
      </c>
      <c r="I283">
        <v>20</v>
      </c>
      <c r="J283">
        <v>0</v>
      </c>
      <c r="K283">
        <v>1</v>
      </c>
      <c r="L283">
        <v>20000000</v>
      </c>
      <c r="M283">
        <v>48</v>
      </c>
      <c r="N283">
        <v>48</v>
      </c>
      <c r="O283">
        <v>48</v>
      </c>
      <c r="P283">
        <v>0</v>
      </c>
      <c r="Q283" t="s">
        <v>55</v>
      </c>
      <c r="R283">
        <v>100006379189101</v>
      </c>
      <c r="S283">
        <v>10000728</v>
      </c>
      <c r="T283">
        <v>100006379189101</v>
      </c>
      <c r="U283">
        <v>10000728</v>
      </c>
      <c r="V283" t="s">
        <v>63</v>
      </c>
      <c r="W283">
        <v>7</v>
      </c>
      <c r="X283">
        <v>1760129</v>
      </c>
      <c r="Y283">
        <v>11716464</v>
      </c>
      <c r="Z283">
        <v>13476593</v>
      </c>
      <c r="AA283">
        <v>10000728</v>
      </c>
      <c r="AB283">
        <v>7.6565899999999996</v>
      </c>
      <c r="AC283">
        <v>0.85356200000000004</v>
      </c>
      <c r="AD283">
        <v>4.0268699999999997</v>
      </c>
      <c r="AE283">
        <v>328274896</v>
      </c>
      <c r="AF283" t="s">
        <v>924</v>
      </c>
      <c r="AG283" t="s">
        <v>925</v>
      </c>
      <c r="AH283">
        <v>522699</v>
      </c>
      <c r="AI283">
        <v>187974</v>
      </c>
      <c r="AJ283">
        <v>2873124149651</v>
      </c>
      <c r="AK283">
        <v>282830561200</v>
      </c>
      <c r="AL283">
        <v>2777077066</v>
      </c>
      <c r="AM283">
        <v>362929921785</v>
      </c>
      <c r="AN283">
        <v>203729978625</v>
      </c>
      <c r="AO283">
        <v>138265446845</v>
      </c>
      <c r="AP283">
        <v>1148479566</v>
      </c>
      <c r="AQ283">
        <v>0</v>
      </c>
      <c r="AR283">
        <v>765654699</v>
      </c>
      <c r="AS283">
        <v>1148479566</v>
      </c>
      <c r="AT283">
        <v>1914134265</v>
      </c>
      <c r="AU283">
        <v>19141326</v>
      </c>
      <c r="AV283">
        <v>0</v>
      </c>
      <c r="AW283">
        <v>12760911</v>
      </c>
      <c r="AX283">
        <v>19141326</v>
      </c>
      <c r="AY283">
        <v>31902237</v>
      </c>
      <c r="AZ283">
        <v>26.703900000000001</v>
      </c>
      <c r="BA283">
        <v>11.6851</v>
      </c>
      <c r="BB283">
        <v>4154.71</v>
      </c>
      <c r="BC283">
        <v>2778.04</v>
      </c>
      <c r="BD283">
        <v>2509</v>
      </c>
      <c r="BE283">
        <v>192</v>
      </c>
      <c r="BF283">
        <f t="shared" si="65"/>
        <v>59.85675311772917</v>
      </c>
      <c r="BG283" s="31">
        <f t="shared" si="66"/>
        <v>20.636103865020832</v>
      </c>
      <c r="BH283">
        <f t="shared" si="75"/>
        <v>153</v>
      </c>
      <c r="BI283">
        <f t="shared" si="76"/>
        <v>474881</v>
      </c>
      <c r="BJ283">
        <f t="shared" si="77"/>
        <v>10389084</v>
      </c>
      <c r="BK283">
        <f t="shared" si="78"/>
        <v>108816905</v>
      </c>
      <c r="BL283">
        <f t="shared" si="79"/>
        <v>355147</v>
      </c>
      <c r="BM283">
        <f t="shared" si="80"/>
        <v>0</v>
      </c>
      <c r="BN283" t="str">
        <f t="shared" si="67"/>
        <v>u=40%, k=2x10^7</v>
      </c>
      <c r="BO283" t="str">
        <f t="shared" si="68"/>
        <v>u=40%, k=2x10^7, collaborative</v>
      </c>
      <c r="BP283">
        <f t="shared" si="69"/>
        <v>5.8923033583333329</v>
      </c>
      <c r="BQ283">
        <f t="shared" si="70"/>
        <v>5.785577220833333E-2</v>
      </c>
      <c r="BR283">
        <f t="shared" si="71"/>
        <v>7.5610400371874995</v>
      </c>
      <c r="BS283">
        <f t="shared" si="72"/>
        <v>4.2443745546875</v>
      </c>
      <c r="BT283">
        <f t="shared" si="73"/>
        <v>2.880530142604167</v>
      </c>
      <c r="BU283">
        <f t="shared" si="74"/>
        <v>39.220649252708334</v>
      </c>
    </row>
    <row r="284" spans="1:73">
      <c r="A284" t="s">
        <v>926</v>
      </c>
      <c r="B284" t="s">
        <v>158</v>
      </c>
      <c r="C284">
        <v>72</v>
      </c>
      <c r="D284" t="s">
        <v>56</v>
      </c>
      <c r="E284" t="s">
        <v>53</v>
      </c>
      <c r="F284" t="s">
        <v>54</v>
      </c>
      <c r="G284">
        <v>60000</v>
      </c>
      <c r="H284">
        <v>20</v>
      </c>
      <c r="I284">
        <v>20</v>
      </c>
      <c r="J284">
        <v>0</v>
      </c>
      <c r="K284">
        <v>1</v>
      </c>
      <c r="L284">
        <v>20000000</v>
      </c>
      <c r="M284">
        <v>96</v>
      </c>
      <c r="N284">
        <v>96</v>
      </c>
      <c r="O284">
        <v>96</v>
      </c>
      <c r="P284">
        <v>0</v>
      </c>
      <c r="Q284" t="s">
        <v>55</v>
      </c>
      <c r="R284">
        <v>99993625214232</v>
      </c>
      <c r="S284">
        <v>9998868</v>
      </c>
      <c r="T284">
        <v>99993625214232</v>
      </c>
      <c r="U284">
        <v>9998868</v>
      </c>
      <c r="V284" t="s">
        <v>63</v>
      </c>
      <c r="W284">
        <v>7</v>
      </c>
      <c r="X284">
        <v>1648296</v>
      </c>
      <c r="Y284">
        <v>11486223</v>
      </c>
      <c r="Z284">
        <v>13134519</v>
      </c>
      <c r="AA284">
        <v>9998868</v>
      </c>
      <c r="AB284">
        <v>7.96854</v>
      </c>
      <c r="AC284">
        <v>0.87051000000000001</v>
      </c>
      <c r="AD284">
        <v>4.0045000000000002</v>
      </c>
      <c r="AE284">
        <v>315643232</v>
      </c>
      <c r="AF284" t="s">
        <v>927</v>
      </c>
      <c r="AG284" t="s">
        <v>928</v>
      </c>
      <c r="AH284">
        <v>1899382</v>
      </c>
      <c r="AI284">
        <v>89926</v>
      </c>
      <c r="AJ284">
        <v>5746905841949</v>
      </c>
      <c r="AK284">
        <v>503936014625</v>
      </c>
      <c r="AL284">
        <v>11638404616</v>
      </c>
      <c r="AM284">
        <v>746916980704</v>
      </c>
      <c r="AN284">
        <v>692836254769</v>
      </c>
      <c r="AO284">
        <v>257025035380</v>
      </c>
      <c r="AP284">
        <v>2017668770</v>
      </c>
      <c r="AQ284">
        <v>0</v>
      </c>
      <c r="AR284">
        <v>1345110046</v>
      </c>
      <c r="AS284">
        <v>2017668770</v>
      </c>
      <c r="AT284">
        <v>3362778816</v>
      </c>
      <c r="AU284">
        <v>33627812</v>
      </c>
      <c r="AV284">
        <v>0</v>
      </c>
      <c r="AW284">
        <v>22418500</v>
      </c>
      <c r="AX284">
        <v>33627812</v>
      </c>
      <c r="AY284">
        <v>56046313</v>
      </c>
      <c r="AZ284">
        <v>27.544499999999999</v>
      </c>
      <c r="BA284">
        <v>13.542299999999999</v>
      </c>
      <c r="BB284">
        <v>4687.54</v>
      </c>
      <c r="BC284">
        <v>3217.24</v>
      </c>
      <c r="BD284">
        <v>2651</v>
      </c>
      <c r="BE284">
        <v>249</v>
      </c>
      <c r="BF284">
        <f t="shared" si="65"/>
        <v>59.863602520302088</v>
      </c>
      <c r="BG284" s="31">
        <f t="shared" si="66"/>
        <v>23.045340521812502</v>
      </c>
      <c r="BH284">
        <f t="shared" si="75"/>
        <v>269</v>
      </c>
      <c r="BI284">
        <f t="shared" si="76"/>
        <v>850485</v>
      </c>
      <c r="BJ284">
        <f t="shared" si="77"/>
        <v>12400332</v>
      </c>
      <c r="BK284">
        <f t="shared" si="78"/>
        <v>184332402</v>
      </c>
      <c r="BL284">
        <f t="shared" si="79"/>
        <v>535960</v>
      </c>
      <c r="BM284">
        <f t="shared" si="80"/>
        <v>0</v>
      </c>
      <c r="BN284" t="str">
        <f t="shared" si="67"/>
        <v>u=40%, k=2x10^7</v>
      </c>
      <c r="BO284" t="str">
        <f t="shared" si="68"/>
        <v>u=40%, k=2x10^7, collaborative</v>
      </c>
      <c r="BP284">
        <f t="shared" si="69"/>
        <v>5.2493334856770835</v>
      </c>
      <c r="BQ284">
        <f t="shared" si="70"/>
        <v>0.12123338141666667</v>
      </c>
      <c r="BR284">
        <f t="shared" si="71"/>
        <v>7.7803852156666666</v>
      </c>
      <c r="BS284">
        <f t="shared" si="72"/>
        <v>7.2170443205104169</v>
      </c>
      <c r="BT284">
        <f t="shared" si="73"/>
        <v>2.6773441185416669</v>
      </c>
      <c r="BU284">
        <f t="shared" si="74"/>
        <v>36.818261998489589</v>
      </c>
    </row>
    <row r="285" spans="1:73">
      <c r="A285" t="s">
        <v>929</v>
      </c>
      <c r="B285" t="s">
        <v>158</v>
      </c>
      <c r="C285">
        <v>72</v>
      </c>
      <c r="D285" t="s">
        <v>56</v>
      </c>
      <c r="E285" t="s">
        <v>53</v>
      </c>
      <c r="F285" t="s">
        <v>54</v>
      </c>
      <c r="G285">
        <v>60000</v>
      </c>
      <c r="H285">
        <v>20</v>
      </c>
      <c r="I285">
        <v>20</v>
      </c>
      <c r="J285">
        <v>0</v>
      </c>
      <c r="K285">
        <v>1</v>
      </c>
      <c r="L285">
        <v>20000000</v>
      </c>
      <c r="M285">
        <v>144</v>
      </c>
      <c r="N285">
        <v>144</v>
      </c>
      <c r="O285">
        <v>144</v>
      </c>
      <c r="P285">
        <v>0</v>
      </c>
      <c r="Q285" t="s">
        <v>55</v>
      </c>
      <c r="R285">
        <v>100000423251442</v>
      </c>
      <c r="S285">
        <v>10000032</v>
      </c>
      <c r="T285">
        <v>100000423251442</v>
      </c>
      <c r="U285">
        <v>10000032</v>
      </c>
      <c r="V285" t="s">
        <v>63</v>
      </c>
      <c r="W285">
        <v>7</v>
      </c>
      <c r="X285">
        <v>1625817</v>
      </c>
      <c r="Y285">
        <v>11442433</v>
      </c>
      <c r="Z285">
        <v>13068250</v>
      </c>
      <c r="AA285">
        <v>10000032</v>
      </c>
      <c r="AB285">
        <v>8.03796</v>
      </c>
      <c r="AC285">
        <v>0.87394300000000003</v>
      </c>
      <c r="AD285">
        <v>4.0000099999999996</v>
      </c>
      <c r="AE285">
        <v>313144272</v>
      </c>
      <c r="AF285" t="s">
        <v>930</v>
      </c>
      <c r="AG285" t="s">
        <v>931</v>
      </c>
      <c r="AH285">
        <v>3871628</v>
      </c>
      <c r="AI285">
        <v>58438</v>
      </c>
      <c r="AJ285">
        <v>8619920246538</v>
      </c>
      <c r="AK285">
        <v>716301634320</v>
      </c>
      <c r="AL285">
        <v>24174233347</v>
      </c>
      <c r="AM285">
        <v>1093149850045</v>
      </c>
      <c r="AN285">
        <v>1271591176630</v>
      </c>
      <c r="AO285">
        <v>386804251548</v>
      </c>
      <c r="AP285">
        <v>2842045400</v>
      </c>
      <c r="AQ285">
        <v>0</v>
      </c>
      <c r="AR285">
        <v>1894763192</v>
      </c>
      <c r="AS285">
        <v>2842045400</v>
      </c>
      <c r="AT285">
        <v>4736808592</v>
      </c>
      <c r="AU285">
        <v>47367423</v>
      </c>
      <c r="AV285">
        <v>0</v>
      </c>
      <c r="AW285">
        <v>31579386</v>
      </c>
      <c r="AX285">
        <v>47367423</v>
      </c>
      <c r="AY285">
        <v>78946809</v>
      </c>
      <c r="AZ285">
        <v>27.874199999999998</v>
      </c>
      <c r="BA285">
        <v>14.3817</v>
      </c>
      <c r="BB285">
        <v>4955.96</v>
      </c>
      <c r="BC285">
        <v>3412.7</v>
      </c>
      <c r="BD285">
        <v>2833</v>
      </c>
      <c r="BE285">
        <v>339</v>
      </c>
      <c r="BF285">
        <f t="shared" si="65"/>
        <v>59.860557267625005</v>
      </c>
      <c r="BG285" s="31">
        <f t="shared" si="66"/>
        <v>24.250146846458332</v>
      </c>
      <c r="BH285">
        <f t="shared" si="75"/>
        <v>379</v>
      </c>
      <c r="BI285">
        <f t="shared" si="76"/>
        <v>1198695</v>
      </c>
      <c r="BJ285">
        <f t="shared" si="77"/>
        <v>10022849</v>
      </c>
      <c r="BK285">
        <f t="shared" si="78"/>
        <v>253525974</v>
      </c>
      <c r="BL285">
        <f t="shared" si="79"/>
        <v>633980</v>
      </c>
      <c r="BM285">
        <f t="shared" si="80"/>
        <v>0</v>
      </c>
      <c r="BN285" t="str">
        <f t="shared" si="67"/>
        <v>u=40%, k=2x10^7</v>
      </c>
      <c r="BO285" t="str">
        <f t="shared" si="68"/>
        <v>u=40%, k=2x10^7, collaborative</v>
      </c>
      <c r="BP285">
        <f t="shared" si="69"/>
        <v>4.9743169049999993</v>
      </c>
      <c r="BQ285">
        <f t="shared" si="70"/>
        <v>0.16787662046527779</v>
      </c>
      <c r="BR285">
        <f t="shared" si="71"/>
        <v>7.5913184030902778</v>
      </c>
      <c r="BS285">
        <f t="shared" si="72"/>
        <v>8.8304942821527774</v>
      </c>
      <c r="BT285">
        <f t="shared" si="73"/>
        <v>2.6861406357500002</v>
      </c>
      <c r="BU285">
        <f t="shared" si="74"/>
        <v>35.610410421166677</v>
      </c>
    </row>
    <row r="286" spans="1:73">
      <c r="A286" t="s">
        <v>932</v>
      </c>
      <c r="B286" t="s">
        <v>158</v>
      </c>
      <c r="C286">
        <v>72</v>
      </c>
      <c r="D286" t="s">
        <v>56</v>
      </c>
      <c r="E286" t="s">
        <v>53</v>
      </c>
      <c r="F286" t="s">
        <v>54</v>
      </c>
      <c r="G286">
        <v>60000</v>
      </c>
      <c r="H286">
        <v>20</v>
      </c>
      <c r="I286">
        <v>20</v>
      </c>
      <c r="J286">
        <v>0</v>
      </c>
      <c r="K286">
        <v>1</v>
      </c>
      <c r="L286">
        <v>20000000</v>
      </c>
      <c r="M286">
        <v>190</v>
      </c>
      <c r="N286">
        <v>190</v>
      </c>
      <c r="O286">
        <v>190</v>
      </c>
      <c r="P286">
        <v>0</v>
      </c>
      <c r="Q286" t="s">
        <v>55</v>
      </c>
      <c r="R286">
        <v>99992563418855</v>
      </c>
      <c r="S286">
        <v>9998108</v>
      </c>
      <c r="T286">
        <v>99992563418855</v>
      </c>
      <c r="U286">
        <v>9998108</v>
      </c>
      <c r="V286" t="s">
        <v>63</v>
      </c>
      <c r="W286">
        <v>7</v>
      </c>
      <c r="X286">
        <v>1868780</v>
      </c>
      <c r="Y286">
        <v>11957516</v>
      </c>
      <c r="Z286">
        <v>13826296</v>
      </c>
      <c r="AA286">
        <v>9998108</v>
      </c>
      <c r="AB286">
        <v>7.3985700000000003</v>
      </c>
      <c r="AC286">
        <v>0.83613599999999999</v>
      </c>
      <c r="AD286">
        <v>4.0484</v>
      </c>
      <c r="AE286">
        <v>340858032</v>
      </c>
      <c r="AF286" t="s">
        <v>933</v>
      </c>
      <c r="AG286" t="s">
        <v>934</v>
      </c>
      <c r="AH286">
        <v>6118632</v>
      </c>
      <c r="AI286">
        <v>43854</v>
      </c>
      <c r="AJ286">
        <v>11372783609520</v>
      </c>
      <c r="AK286">
        <v>920833910713</v>
      </c>
      <c r="AL286">
        <v>41490409716</v>
      </c>
      <c r="AM286">
        <v>1491502817841</v>
      </c>
      <c r="AN286">
        <v>2054309815174</v>
      </c>
      <c r="AO286">
        <v>506058584289</v>
      </c>
      <c r="AP286">
        <v>3447252391</v>
      </c>
      <c r="AQ286">
        <v>0</v>
      </c>
      <c r="AR286">
        <v>2298065119</v>
      </c>
      <c r="AS286">
        <v>3447252391</v>
      </c>
      <c r="AT286">
        <v>5745317510</v>
      </c>
      <c r="AU286">
        <v>57454206</v>
      </c>
      <c r="AV286">
        <v>0</v>
      </c>
      <c r="AW286">
        <v>38301085</v>
      </c>
      <c r="AX286">
        <v>57454206</v>
      </c>
      <c r="AY286">
        <v>95755291</v>
      </c>
      <c r="AZ286">
        <v>28.503</v>
      </c>
      <c r="BA286">
        <v>15.151199999999999</v>
      </c>
      <c r="BB286">
        <v>5360.43</v>
      </c>
      <c r="BC286">
        <v>3655.99</v>
      </c>
      <c r="BD286">
        <v>2957</v>
      </c>
      <c r="BE286">
        <v>404</v>
      </c>
      <c r="BF286">
        <f t="shared" si="65"/>
        <v>59.856755839578945</v>
      </c>
      <c r="BG286" s="31">
        <f t="shared" si="66"/>
        <v>26.390502830173681</v>
      </c>
      <c r="BH286">
        <f t="shared" si="75"/>
        <v>459</v>
      </c>
      <c r="BI286">
        <f t="shared" si="76"/>
        <v>1452244</v>
      </c>
      <c r="BJ286">
        <f t="shared" si="77"/>
        <v>12242540</v>
      </c>
      <c r="BK286">
        <f t="shared" si="78"/>
        <v>307631227</v>
      </c>
      <c r="BL286">
        <f t="shared" si="79"/>
        <v>772359</v>
      </c>
      <c r="BM286">
        <f t="shared" si="80"/>
        <v>0</v>
      </c>
      <c r="BN286" t="str">
        <f t="shared" si="67"/>
        <v>u=40%, k=2x10^7</v>
      </c>
      <c r="BO286" t="str">
        <f t="shared" si="68"/>
        <v>u=40%, k=2x10^7, collaborative</v>
      </c>
      <c r="BP286">
        <f t="shared" si="69"/>
        <v>4.8464942669105264</v>
      </c>
      <c r="BQ286">
        <f t="shared" si="70"/>
        <v>0.21837057745263158</v>
      </c>
      <c r="BR286">
        <f t="shared" si="71"/>
        <v>7.8500148307421052</v>
      </c>
      <c r="BS286">
        <f t="shared" si="72"/>
        <v>10.812156921968421</v>
      </c>
      <c r="BT286">
        <f t="shared" si="73"/>
        <v>2.6634662330999999</v>
      </c>
      <c r="BU286">
        <f t="shared" si="74"/>
        <v>33.466253009405264</v>
      </c>
    </row>
    <row r="287" spans="1:73">
      <c r="A287" t="s">
        <v>935</v>
      </c>
      <c r="B287" t="s">
        <v>158</v>
      </c>
      <c r="C287">
        <v>72</v>
      </c>
      <c r="D287" t="s">
        <v>56</v>
      </c>
      <c r="E287" t="s">
        <v>53</v>
      </c>
      <c r="F287" t="s">
        <v>54</v>
      </c>
      <c r="G287">
        <v>60000</v>
      </c>
      <c r="H287">
        <v>20</v>
      </c>
      <c r="I287">
        <v>20</v>
      </c>
      <c r="J287">
        <v>0</v>
      </c>
      <c r="K287">
        <v>1</v>
      </c>
      <c r="L287">
        <v>200000000</v>
      </c>
      <c r="M287">
        <v>24</v>
      </c>
      <c r="N287">
        <v>24</v>
      </c>
      <c r="O287">
        <v>24</v>
      </c>
      <c r="P287">
        <v>0</v>
      </c>
      <c r="Q287" t="s">
        <v>55</v>
      </c>
      <c r="R287">
        <v>9999596213695930</v>
      </c>
      <c r="S287">
        <v>99992584</v>
      </c>
      <c r="T287">
        <v>9999596213695930</v>
      </c>
      <c r="U287">
        <v>99992584</v>
      </c>
      <c r="V287" t="s">
        <v>63</v>
      </c>
      <c r="W287">
        <v>7</v>
      </c>
      <c r="X287">
        <v>14648287</v>
      </c>
      <c r="Y287">
        <v>117594496</v>
      </c>
      <c r="Z287">
        <v>132242783</v>
      </c>
      <c r="AA287">
        <v>99992584</v>
      </c>
      <c r="AB287">
        <v>9.0278700000000001</v>
      </c>
      <c r="AC287">
        <v>0.85031699999999999</v>
      </c>
      <c r="AD287">
        <v>4.0742000000000003</v>
      </c>
      <c r="AE287">
        <v>3057777248</v>
      </c>
      <c r="AF287" t="s">
        <v>936</v>
      </c>
      <c r="AG287" t="s">
        <v>937</v>
      </c>
      <c r="AH287">
        <v>13614</v>
      </c>
      <c r="AI287">
        <v>354986</v>
      </c>
      <c r="AJ287">
        <v>1436561976994</v>
      </c>
      <c r="AK287">
        <v>93845490505</v>
      </c>
      <c r="AL287">
        <v>164373166</v>
      </c>
      <c r="AM287">
        <v>123625764355</v>
      </c>
      <c r="AN287">
        <v>89953015290</v>
      </c>
      <c r="AO287">
        <v>43305100379</v>
      </c>
      <c r="AP287">
        <v>586773611</v>
      </c>
      <c r="AQ287">
        <v>0</v>
      </c>
      <c r="AR287">
        <v>391151520</v>
      </c>
      <c r="AS287">
        <v>586773611</v>
      </c>
      <c r="AT287">
        <v>977925131</v>
      </c>
      <c r="AU287">
        <v>9779560</v>
      </c>
      <c r="AV287">
        <v>0</v>
      </c>
      <c r="AW287">
        <v>6519192</v>
      </c>
      <c r="AX287">
        <v>9779560</v>
      </c>
      <c r="AY287">
        <v>16298752</v>
      </c>
      <c r="AZ287">
        <v>27.576599999999999</v>
      </c>
      <c r="BA287">
        <v>13.3118</v>
      </c>
      <c r="BB287">
        <v>3947.9</v>
      </c>
      <c r="BC287">
        <v>2841.34</v>
      </c>
      <c r="BD287">
        <v>12596</v>
      </c>
      <c r="BE287">
        <v>1547</v>
      </c>
      <c r="BF287">
        <f t="shared" si="65"/>
        <v>59.856749041416663</v>
      </c>
      <c r="BG287" s="31">
        <f t="shared" si="66"/>
        <v>14.620572653958334</v>
      </c>
      <c r="BH287">
        <f t="shared" si="75"/>
        <v>7</v>
      </c>
      <c r="BI287">
        <f t="shared" si="76"/>
        <v>44485</v>
      </c>
      <c r="BJ287">
        <f t="shared" si="77"/>
        <v>3680988</v>
      </c>
      <c r="BK287">
        <f t="shared" si="78"/>
        <v>32936232</v>
      </c>
      <c r="BL287">
        <f t="shared" si="79"/>
        <v>5432738</v>
      </c>
      <c r="BM287">
        <f t="shared" si="80"/>
        <v>0</v>
      </c>
      <c r="BN287" t="str">
        <f t="shared" si="67"/>
        <v>u=40%, k=2x10^8</v>
      </c>
      <c r="BO287" t="str">
        <f t="shared" si="68"/>
        <v>u=40%, k=2x10^8, collaborative</v>
      </c>
      <c r="BP287">
        <f t="shared" si="69"/>
        <v>3.9102287710416666</v>
      </c>
      <c r="BQ287">
        <f t="shared" si="70"/>
        <v>6.8488819166666664E-3</v>
      </c>
      <c r="BR287">
        <f t="shared" si="71"/>
        <v>5.1510735147916664</v>
      </c>
      <c r="BS287">
        <f t="shared" si="72"/>
        <v>3.7480423037499997</v>
      </c>
      <c r="BT287">
        <f t="shared" si="73"/>
        <v>1.8043791824583335</v>
      </c>
      <c r="BU287">
        <f t="shared" si="74"/>
        <v>45.236176387458329</v>
      </c>
    </row>
    <row r="288" spans="1:73">
      <c r="A288" t="s">
        <v>938</v>
      </c>
      <c r="B288" t="s">
        <v>158</v>
      </c>
      <c r="C288">
        <v>72</v>
      </c>
      <c r="D288" t="s">
        <v>56</v>
      </c>
      <c r="E288" t="s">
        <v>53</v>
      </c>
      <c r="F288" t="s">
        <v>54</v>
      </c>
      <c r="G288">
        <v>60000</v>
      </c>
      <c r="H288">
        <v>20</v>
      </c>
      <c r="I288">
        <v>20</v>
      </c>
      <c r="J288">
        <v>0</v>
      </c>
      <c r="K288">
        <v>1</v>
      </c>
      <c r="L288">
        <v>200000000</v>
      </c>
      <c r="M288">
        <v>48</v>
      </c>
      <c r="N288">
        <v>48</v>
      </c>
      <c r="O288">
        <v>48</v>
      </c>
      <c r="P288">
        <v>0</v>
      </c>
      <c r="Q288" t="s">
        <v>55</v>
      </c>
      <c r="R288">
        <v>9999335334398860</v>
      </c>
      <c r="S288">
        <v>99993211</v>
      </c>
      <c r="T288">
        <v>9999335334398860</v>
      </c>
      <c r="U288">
        <v>99993211</v>
      </c>
      <c r="V288" t="s">
        <v>63</v>
      </c>
      <c r="W288">
        <v>7</v>
      </c>
      <c r="X288">
        <v>14229807</v>
      </c>
      <c r="Y288">
        <v>116638690</v>
      </c>
      <c r="Z288">
        <v>130868497</v>
      </c>
      <c r="AA288">
        <v>99993211</v>
      </c>
      <c r="AB288">
        <v>9.19679</v>
      </c>
      <c r="AC288">
        <v>0.85729</v>
      </c>
      <c r="AD288">
        <v>4.06677</v>
      </c>
      <c r="AE288">
        <v>3007228928</v>
      </c>
      <c r="AF288" t="s">
        <v>939</v>
      </c>
      <c r="AG288" t="s">
        <v>940</v>
      </c>
      <c r="AH288">
        <v>67664</v>
      </c>
      <c r="AI288">
        <v>129006</v>
      </c>
      <c r="AJ288">
        <v>2873123698653</v>
      </c>
      <c r="AK288">
        <v>234513786450</v>
      </c>
      <c r="AL288">
        <v>1136069480</v>
      </c>
      <c r="AM288">
        <v>309530590676</v>
      </c>
      <c r="AN288">
        <v>216253009334</v>
      </c>
      <c r="AO288">
        <v>104959778504</v>
      </c>
      <c r="AP288">
        <v>927189442</v>
      </c>
      <c r="AQ288">
        <v>0</v>
      </c>
      <c r="AR288">
        <v>618230098</v>
      </c>
      <c r="AS288">
        <v>927189442</v>
      </c>
      <c r="AT288">
        <v>1545419540</v>
      </c>
      <c r="AU288">
        <v>15453157</v>
      </c>
      <c r="AV288">
        <v>0</v>
      </c>
      <c r="AW288">
        <v>10303834</v>
      </c>
      <c r="AX288">
        <v>15453157</v>
      </c>
      <c r="AY288">
        <v>25756992</v>
      </c>
      <c r="AZ288">
        <v>29.636900000000001</v>
      </c>
      <c r="BA288">
        <v>14.321899999999999</v>
      </c>
      <c r="BB288">
        <v>4935.41</v>
      </c>
      <c r="BC288">
        <v>3632.62</v>
      </c>
      <c r="BD288">
        <v>13098</v>
      </c>
      <c r="BE288">
        <v>1285</v>
      </c>
      <c r="BF288">
        <f t="shared" si="65"/>
        <v>59.856743721937498</v>
      </c>
      <c r="BG288" s="31">
        <f t="shared" si="66"/>
        <v>18.049859050916666</v>
      </c>
      <c r="BH288">
        <f t="shared" si="75"/>
        <v>12</v>
      </c>
      <c r="BI288">
        <f t="shared" si="76"/>
        <v>102819</v>
      </c>
      <c r="BJ288">
        <f t="shared" si="77"/>
        <v>5640979</v>
      </c>
      <c r="BK288">
        <f t="shared" si="78"/>
        <v>50613462</v>
      </c>
      <c r="BL288">
        <f t="shared" si="79"/>
        <v>8444020</v>
      </c>
      <c r="BM288">
        <f t="shared" si="80"/>
        <v>0</v>
      </c>
      <c r="BN288" t="str">
        <f t="shared" si="67"/>
        <v>u=40%, k=2x10^8</v>
      </c>
      <c r="BO288" t="str">
        <f t="shared" si="68"/>
        <v>u=40%, k=2x10^8, collaborative</v>
      </c>
      <c r="BP288">
        <f t="shared" si="69"/>
        <v>4.8857038843750002</v>
      </c>
      <c r="BQ288">
        <f t="shared" si="70"/>
        <v>2.3668114166666667E-2</v>
      </c>
      <c r="BR288">
        <f t="shared" si="71"/>
        <v>6.4485539724166658</v>
      </c>
      <c r="BS288">
        <f t="shared" si="72"/>
        <v>4.5052710277916672</v>
      </c>
      <c r="BT288">
        <f t="shared" si="73"/>
        <v>2.1866620521666666</v>
      </c>
      <c r="BU288">
        <f t="shared" si="74"/>
        <v>41.806884671020825</v>
      </c>
    </row>
    <row r="289" spans="1:73">
      <c r="A289" t="s">
        <v>941</v>
      </c>
      <c r="B289" t="s">
        <v>158</v>
      </c>
      <c r="C289">
        <v>72</v>
      </c>
      <c r="D289" t="s">
        <v>56</v>
      </c>
      <c r="E289" t="s">
        <v>53</v>
      </c>
      <c r="F289" t="s">
        <v>54</v>
      </c>
      <c r="G289">
        <v>60000</v>
      </c>
      <c r="H289">
        <v>20</v>
      </c>
      <c r="I289">
        <v>20</v>
      </c>
      <c r="J289">
        <v>0</v>
      </c>
      <c r="K289">
        <v>1</v>
      </c>
      <c r="L289">
        <v>200000000</v>
      </c>
      <c r="M289">
        <v>96</v>
      </c>
      <c r="N289">
        <v>96</v>
      </c>
      <c r="O289">
        <v>96</v>
      </c>
      <c r="P289">
        <v>0</v>
      </c>
      <c r="Q289" t="s">
        <v>55</v>
      </c>
      <c r="R289">
        <v>1.00006209554846E+16</v>
      </c>
      <c r="S289">
        <v>100006202</v>
      </c>
      <c r="T289">
        <v>1.00006209554846E+16</v>
      </c>
      <c r="U289">
        <v>100006202</v>
      </c>
      <c r="V289" t="s">
        <v>63</v>
      </c>
      <c r="W289">
        <v>7</v>
      </c>
      <c r="X289">
        <v>14937086</v>
      </c>
      <c r="Y289">
        <v>118263189</v>
      </c>
      <c r="Z289">
        <v>133200275</v>
      </c>
      <c r="AA289">
        <v>100006202</v>
      </c>
      <c r="AB289">
        <v>8.9174199999999999</v>
      </c>
      <c r="AC289">
        <v>0.84562400000000004</v>
      </c>
      <c r="AD289">
        <v>4.08169</v>
      </c>
      <c r="AE289">
        <v>3091530816</v>
      </c>
      <c r="AF289" t="s">
        <v>942</v>
      </c>
      <c r="AG289" t="s">
        <v>943</v>
      </c>
      <c r="AH289">
        <v>329586</v>
      </c>
      <c r="AI289">
        <v>56128</v>
      </c>
      <c r="AJ289">
        <v>5746633034485</v>
      </c>
      <c r="AK289">
        <v>437479763638</v>
      </c>
      <c r="AL289">
        <v>8459090917</v>
      </c>
      <c r="AM289">
        <v>697962100509</v>
      </c>
      <c r="AN289">
        <v>682416687743</v>
      </c>
      <c r="AO289">
        <v>210610575738</v>
      </c>
      <c r="AP289">
        <v>1701575627</v>
      </c>
      <c r="AQ289">
        <v>0</v>
      </c>
      <c r="AR289">
        <v>1134445100</v>
      </c>
      <c r="AS289">
        <v>1701575627</v>
      </c>
      <c r="AT289">
        <v>2836020727</v>
      </c>
      <c r="AU289">
        <v>28359593</v>
      </c>
      <c r="AV289">
        <v>0</v>
      </c>
      <c r="AW289">
        <v>18907418</v>
      </c>
      <c r="AX289">
        <v>28359593</v>
      </c>
      <c r="AY289">
        <v>47267012</v>
      </c>
      <c r="AZ289">
        <v>30.656600000000001</v>
      </c>
      <c r="BA289">
        <v>16.0352</v>
      </c>
      <c r="BB289">
        <v>5255.01</v>
      </c>
      <c r="BC289">
        <v>3839.89</v>
      </c>
      <c r="BD289">
        <v>13784</v>
      </c>
      <c r="BE289">
        <v>1197</v>
      </c>
      <c r="BF289">
        <f t="shared" si="65"/>
        <v>59.860760775885417</v>
      </c>
      <c r="BG289" s="31">
        <f t="shared" si="66"/>
        <v>21.218002276510415</v>
      </c>
      <c r="BH289">
        <f t="shared" si="75"/>
        <v>22</v>
      </c>
      <c r="BI289">
        <f t="shared" si="76"/>
        <v>217977</v>
      </c>
      <c r="BJ289">
        <f t="shared" si="77"/>
        <v>8730384</v>
      </c>
      <c r="BK289">
        <f t="shared" si="78"/>
        <v>90564488</v>
      </c>
      <c r="BL289">
        <f t="shared" si="79"/>
        <v>15282160</v>
      </c>
      <c r="BM289">
        <f t="shared" si="80"/>
        <v>0</v>
      </c>
      <c r="BN289" t="str">
        <f t="shared" si="67"/>
        <v>u=40%, k=2x10^8</v>
      </c>
      <c r="BO289" t="str">
        <f t="shared" si="68"/>
        <v>u=40%, k=2x10^8, collaborative</v>
      </c>
      <c r="BP289">
        <f t="shared" si="69"/>
        <v>4.5570808712291671</v>
      </c>
      <c r="BQ289">
        <f t="shared" si="70"/>
        <v>8.8115530385416654E-2</v>
      </c>
      <c r="BR289">
        <f t="shared" si="71"/>
        <v>7.2704385469687507</v>
      </c>
      <c r="BS289">
        <f t="shared" si="72"/>
        <v>7.1085071639895832</v>
      </c>
      <c r="BT289">
        <f t="shared" si="73"/>
        <v>2.1938601639374999</v>
      </c>
      <c r="BU289">
        <f t="shared" si="74"/>
        <v>38.642758499374999</v>
      </c>
    </row>
    <row r="290" spans="1:73">
      <c r="A290" t="s">
        <v>944</v>
      </c>
      <c r="B290" t="s">
        <v>158</v>
      </c>
      <c r="C290">
        <v>72</v>
      </c>
      <c r="D290" t="s">
        <v>56</v>
      </c>
      <c r="E290" t="s">
        <v>53</v>
      </c>
      <c r="F290" t="s">
        <v>54</v>
      </c>
      <c r="G290">
        <v>60000</v>
      </c>
      <c r="H290">
        <v>20</v>
      </c>
      <c r="I290">
        <v>20</v>
      </c>
      <c r="J290">
        <v>0</v>
      </c>
      <c r="K290">
        <v>1</v>
      </c>
      <c r="L290">
        <v>200000000</v>
      </c>
      <c r="M290">
        <v>144</v>
      </c>
      <c r="N290">
        <v>144</v>
      </c>
      <c r="O290">
        <v>144</v>
      </c>
      <c r="P290">
        <v>0</v>
      </c>
      <c r="Q290" t="s">
        <v>55</v>
      </c>
      <c r="R290">
        <v>9998648308489100</v>
      </c>
      <c r="S290">
        <v>99986192</v>
      </c>
      <c r="T290">
        <v>9998648308489100</v>
      </c>
      <c r="U290">
        <v>99986192</v>
      </c>
      <c r="V290" t="s">
        <v>63</v>
      </c>
      <c r="W290">
        <v>7</v>
      </c>
      <c r="X290">
        <v>14715118</v>
      </c>
      <c r="Y290">
        <v>117750702</v>
      </c>
      <c r="Z290">
        <v>132465820</v>
      </c>
      <c r="AA290">
        <v>99986192</v>
      </c>
      <c r="AB290">
        <v>9.0020199999999999</v>
      </c>
      <c r="AC290">
        <v>0.84913499999999997</v>
      </c>
      <c r="AD290">
        <v>4.0758099999999997</v>
      </c>
      <c r="AE290">
        <v>3065373680</v>
      </c>
      <c r="AF290" t="s">
        <v>945</v>
      </c>
      <c r="AG290" t="s">
        <v>946</v>
      </c>
      <c r="AH290">
        <v>654444</v>
      </c>
      <c r="AI290">
        <v>34114</v>
      </c>
      <c r="AJ290">
        <v>8620489335499</v>
      </c>
      <c r="AK290">
        <v>619933320924</v>
      </c>
      <c r="AL290">
        <v>24369592422</v>
      </c>
      <c r="AM290">
        <v>1107091295661</v>
      </c>
      <c r="AN290">
        <v>1228565870198</v>
      </c>
      <c r="AO290">
        <v>322228177833</v>
      </c>
      <c r="AP290">
        <v>2385271917</v>
      </c>
      <c r="AQ290">
        <v>0</v>
      </c>
      <c r="AR290">
        <v>1590136799</v>
      </c>
      <c r="AS290">
        <v>2385271917</v>
      </c>
      <c r="AT290">
        <v>3975408716</v>
      </c>
      <c r="AU290">
        <v>39754531</v>
      </c>
      <c r="AV290">
        <v>0</v>
      </c>
      <c r="AW290">
        <v>26502279</v>
      </c>
      <c r="AX290">
        <v>39754531</v>
      </c>
      <c r="AY290">
        <v>66256811</v>
      </c>
      <c r="AZ290">
        <v>30.9328</v>
      </c>
      <c r="BA290">
        <v>16.8962</v>
      </c>
      <c r="BB290">
        <v>5504.54</v>
      </c>
      <c r="BC290">
        <v>4041.06</v>
      </c>
      <c r="BD290">
        <v>14207</v>
      </c>
      <c r="BE290">
        <v>1087</v>
      </c>
      <c r="BF290">
        <f t="shared" ref="BF290:BF342" si="81">AJ290/1000000000/$N290</f>
        <v>59.864509274298612</v>
      </c>
      <c r="BG290" s="31">
        <f t="shared" ref="BG290:BG342" si="82">SUM(AK290:AO290)/1000000000/$N290</f>
        <v>22.931862896097222</v>
      </c>
      <c r="BH290">
        <f t="shared" si="75"/>
        <v>31</v>
      </c>
      <c r="BI290">
        <f t="shared" si="76"/>
        <v>309882</v>
      </c>
      <c r="BJ290">
        <f t="shared" si="77"/>
        <v>10999763</v>
      </c>
      <c r="BK290">
        <f t="shared" si="78"/>
        <v>124210464</v>
      </c>
      <c r="BL290">
        <f t="shared" si="79"/>
        <v>21242043</v>
      </c>
      <c r="BM290">
        <f t="shared" si="80"/>
        <v>0</v>
      </c>
      <c r="BN290" t="str">
        <f t="shared" ref="BN290:BN342" si="83">"u="&amp;(H290+I290)&amp;"%, k=2x10^"&amp;LOG10(L290/2)</f>
        <v>u=40%, k=2x10^8</v>
      </c>
      <c r="BO290" t="str">
        <f t="shared" ref="BO290:BO342" si="84">BN290&amp;", "&amp;IF(getFieldDelim(B290,"_",4)="enabled","collaborative","sequential")</f>
        <v>u=40%, k=2x10^8, collaborative</v>
      </c>
      <c r="BP290">
        <f t="shared" ref="BP290:BP342" si="85">AK290/1000000000/$N290</f>
        <v>4.305092506416667</v>
      </c>
      <c r="BQ290">
        <f t="shared" ref="BQ290:BQ342" si="86">AL290/1000000000/$N290</f>
        <v>0.16923328070833332</v>
      </c>
      <c r="BR290">
        <f t="shared" ref="BR290:BR342" si="87">AM290/1000000000/$N290</f>
        <v>7.6881339976458332</v>
      </c>
      <c r="BS290">
        <f t="shared" ref="BS290:BS342" si="88">AN290/1000000000/$N290</f>
        <v>8.5317074319305561</v>
      </c>
      <c r="BT290">
        <f t="shared" ref="BT290:BT342" si="89">AO290/1000000000/$N290</f>
        <v>2.2376956793958334</v>
      </c>
      <c r="BU290">
        <f t="shared" ref="BU290:BU342" si="90">BF290-SUM(BP290:BT290)</f>
        <v>36.93264637820139</v>
      </c>
    </row>
    <row r="291" spans="1:73">
      <c r="A291" t="s">
        <v>947</v>
      </c>
      <c r="B291" t="s">
        <v>158</v>
      </c>
      <c r="C291">
        <v>72</v>
      </c>
      <c r="D291" t="s">
        <v>56</v>
      </c>
      <c r="E291" t="s">
        <v>53</v>
      </c>
      <c r="F291" t="s">
        <v>54</v>
      </c>
      <c r="G291">
        <v>60000</v>
      </c>
      <c r="H291">
        <v>20</v>
      </c>
      <c r="I291">
        <v>20</v>
      </c>
      <c r="J291">
        <v>0</v>
      </c>
      <c r="K291">
        <v>1</v>
      </c>
      <c r="L291">
        <v>200000000</v>
      </c>
      <c r="M291">
        <v>190</v>
      </c>
      <c r="N291">
        <v>190</v>
      </c>
      <c r="O291">
        <v>190</v>
      </c>
      <c r="P291">
        <v>0</v>
      </c>
      <c r="Q291" t="s">
        <v>55</v>
      </c>
      <c r="R291">
        <v>1.00003921832749E+16</v>
      </c>
      <c r="S291">
        <v>100006215</v>
      </c>
      <c r="T291">
        <v>1.00003921832749E+16</v>
      </c>
      <c r="U291">
        <v>100006215</v>
      </c>
      <c r="V291" t="s">
        <v>63</v>
      </c>
      <c r="W291">
        <v>7</v>
      </c>
      <c r="X291">
        <v>14016164</v>
      </c>
      <c r="Y291">
        <v>116183873</v>
      </c>
      <c r="Z291">
        <v>130200037</v>
      </c>
      <c r="AA291">
        <v>100006215</v>
      </c>
      <c r="AB291">
        <v>9.2892799999999998</v>
      </c>
      <c r="AC291">
        <v>0.86075800000000002</v>
      </c>
      <c r="AD291">
        <v>4.0621700000000001</v>
      </c>
      <c r="AE291">
        <v>2982523520</v>
      </c>
      <c r="AF291" t="s">
        <v>948</v>
      </c>
      <c r="AG291" t="s">
        <v>949</v>
      </c>
      <c r="AH291">
        <v>1048544</v>
      </c>
      <c r="AI291">
        <v>24242</v>
      </c>
      <c r="AJ291">
        <v>11372782404438</v>
      </c>
      <c r="AK291">
        <v>798727091922</v>
      </c>
      <c r="AL291">
        <v>43128680993</v>
      </c>
      <c r="AM291">
        <v>1537675380302</v>
      </c>
      <c r="AN291">
        <v>1869998858744</v>
      </c>
      <c r="AO291">
        <v>437514481620</v>
      </c>
      <c r="AP291">
        <v>2949452344</v>
      </c>
      <c r="AQ291">
        <v>0</v>
      </c>
      <c r="AR291">
        <v>1966297715</v>
      </c>
      <c r="AS291">
        <v>2949452344</v>
      </c>
      <c r="AT291">
        <v>4915750059</v>
      </c>
      <c r="AU291">
        <v>49157539</v>
      </c>
      <c r="AV291">
        <v>0</v>
      </c>
      <c r="AW291">
        <v>32771628</v>
      </c>
      <c r="AX291">
        <v>49157539</v>
      </c>
      <c r="AY291">
        <v>81929167</v>
      </c>
      <c r="AZ291">
        <v>31.297899999999998</v>
      </c>
      <c r="BA291">
        <v>17.496600000000001</v>
      </c>
      <c r="BB291">
        <v>5782.73</v>
      </c>
      <c r="BC291">
        <v>4263.0600000000004</v>
      </c>
      <c r="BD291">
        <v>14455</v>
      </c>
      <c r="BE291">
        <v>1134</v>
      </c>
      <c r="BF291">
        <f t="shared" si="81"/>
        <v>59.856749497042102</v>
      </c>
      <c r="BG291" s="31">
        <f t="shared" si="82"/>
        <v>24.668655229373684</v>
      </c>
      <c r="BH291">
        <f t="shared" si="75"/>
        <v>39</v>
      </c>
      <c r="BI291">
        <f t="shared" si="76"/>
        <v>389893</v>
      </c>
      <c r="BJ291">
        <f t="shared" si="77"/>
        <v>13376926</v>
      </c>
      <c r="BK291">
        <f t="shared" si="78"/>
        <v>152136676</v>
      </c>
      <c r="BL291">
        <f t="shared" si="79"/>
        <v>26172107</v>
      </c>
      <c r="BM291">
        <f t="shared" si="80"/>
        <v>0</v>
      </c>
      <c r="BN291" t="str">
        <f t="shared" si="83"/>
        <v>u=40%, k=2x10^8</v>
      </c>
      <c r="BO291" t="str">
        <f t="shared" si="84"/>
        <v>u=40%, k=2x10^8, collaborative</v>
      </c>
      <c r="BP291">
        <f t="shared" si="85"/>
        <v>4.203826799589474</v>
      </c>
      <c r="BQ291">
        <f t="shared" si="86"/>
        <v>0.22699305785789475</v>
      </c>
      <c r="BR291">
        <f t="shared" si="87"/>
        <v>8.0930283173789466</v>
      </c>
      <c r="BS291">
        <f t="shared" si="88"/>
        <v>9.8420992565473693</v>
      </c>
      <c r="BT291">
        <f t="shared" si="89"/>
        <v>2.3027077980000001</v>
      </c>
      <c r="BU291">
        <f t="shared" si="90"/>
        <v>35.188094267668419</v>
      </c>
    </row>
    <row r="292" spans="1:73">
      <c r="A292" t="s">
        <v>950</v>
      </c>
      <c r="B292" t="s">
        <v>158</v>
      </c>
      <c r="C292">
        <v>72</v>
      </c>
      <c r="D292" t="s">
        <v>56</v>
      </c>
      <c r="E292" t="s">
        <v>53</v>
      </c>
      <c r="F292" t="s">
        <v>54</v>
      </c>
      <c r="G292">
        <v>60000</v>
      </c>
      <c r="H292">
        <v>20</v>
      </c>
      <c r="I292">
        <v>20</v>
      </c>
      <c r="J292">
        <v>0</v>
      </c>
      <c r="K292">
        <v>1</v>
      </c>
      <c r="L292">
        <v>2000000000</v>
      </c>
      <c r="M292">
        <v>24</v>
      </c>
      <c r="N292">
        <v>24</v>
      </c>
      <c r="O292">
        <v>24</v>
      </c>
      <c r="P292">
        <v>0</v>
      </c>
      <c r="Q292" t="s">
        <v>55</v>
      </c>
      <c r="R292">
        <v>9.9996623373140595E+17</v>
      </c>
      <c r="S292">
        <v>999988432</v>
      </c>
      <c r="T292">
        <v>9.9996623373140595E+17</v>
      </c>
      <c r="U292">
        <v>999988432</v>
      </c>
      <c r="V292" t="s">
        <v>63</v>
      </c>
      <c r="W292">
        <v>7</v>
      </c>
      <c r="X292">
        <v>128005166</v>
      </c>
      <c r="Y292">
        <v>1170533389</v>
      </c>
      <c r="Z292">
        <v>1298538555</v>
      </c>
      <c r="AA292">
        <v>999988432</v>
      </c>
      <c r="AB292">
        <v>10.144399999999999</v>
      </c>
      <c r="AC292">
        <v>0.85430200000000001</v>
      </c>
      <c r="AD292">
        <v>4.0928500000000003</v>
      </c>
      <c r="AE292">
        <v>29034284912</v>
      </c>
      <c r="AF292" t="s">
        <v>951</v>
      </c>
      <c r="AG292" t="s">
        <v>952</v>
      </c>
      <c r="AH292">
        <v>2</v>
      </c>
      <c r="AI292">
        <v>336268</v>
      </c>
      <c r="AJ292">
        <v>1436561808440</v>
      </c>
      <c r="AK292">
        <v>17203434107</v>
      </c>
      <c r="AL292">
        <v>2272</v>
      </c>
      <c r="AM292">
        <v>23821289017</v>
      </c>
      <c r="AN292">
        <v>21466632534</v>
      </c>
      <c r="AO292">
        <v>3784900196</v>
      </c>
      <c r="AP292">
        <v>536885704</v>
      </c>
      <c r="AQ292">
        <v>0</v>
      </c>
      <c r="AR292">
        <v>357948908</v>
      </c>
      <c r="AS292">
        <v>536885704</v>
      </c>
      <c r="AT292">
        <v>894834612</v>
      </c>
      <c r="AU292">
        <v>8948095</v>
      </c>
      <c r="AV292">
        <v>0</v>
      </c>
      <c r="AW292">
        <v>5965815</v>
      </c>
      <c r="AX292">
        <v>8948095</v>
      </c>
      <c r="AY292">
        <v>14913910</v>
      </c>
      <c r="AZ292">
        <v>26.0517</v>
      </c>
      <c r="BA292">
        <v>15.3462</v>
      </c>
      <c r="BB292">
        <v>4403.7700000000004</v>
      </c>
      <c r="BC292">
        <v>3493.89</v>
      </c>
      <c r="BD292">
        <v>62803</v>
      </c>
      <c r="BE292">
        <v>16517</v>
      </c>
      <c r="BF292">
        <f t="shared" si="81"/>
        <v>59.856742018333335</v>
      </c>
      <c r="BG292" s="31">
        <f t="shared" si="82"/>
        <v>2.7615107552500002</v>
      </c>
      <c r="BH292">
        <f t="shared" si="75"/>
        <v>0</v>
      </c>
      <c r="BI292">
        <f t="shared" si="76"/>
        <v>0</v>
      </c>
      <c r="BJ292">
        <f t="shared" si="77"/>
        <v>111735</v>
      </c>
      <c r="BK292">
        <f t="shared" si="78"/>
        <v>21012550</v>
      </c>
      <c r="BL292">
        <f t="shared" si="79"/>
        <v>6954085</v>
      </c>
      <c r="BM292">
        <f t="shared" si="80"/>
        <v>0</v>
      </c>
      <c r="BN292" t="str">
        <f t="shared" si="83"/>
        <v>u=40%, k=2x10^9</v>
      </c>
      <c r="BO292" t="str">
        <f t="shared" si="84"/>
        <v>u=40%, k=2x10^9, collaborative</v>
      </c>
      <c r="BP292">
        <f t="shared" si="85"/>
        <v>0.71680975445833328</v>
      </c>
      <c r="BQ292">
        <f t="shared" si="86"/>
        <v>9.4666666666666667E-8</v>
      </c>
      <c r="BR292">
        <f t="shared" si="87"/>
        <v>0.99255370904166673</v>
      </c>
      <c r="BS292">
        <f t="shared" si="88"/>
        <v>0.89444302224999994</v>
      </c>
      <c r="BT292">
        <f t="shared" si="89"/>
        <v>0.15770417483333335</v>
      </c>
      <c r="BU292">
        <f t="shared" si="90"/>
        <v>57.095231263083335</v>
      </c>
    </row>
    <row r="293" spans="1:73">
      <c r="A293" t="s">
        <v>953</v>
      </c>
      <c r="B293" t="s">
        <v>158</v>
      </c>
      <c r="C293">
        <v>72</v>
      </c>
      <c r="D293" t="s">
        <v>56</v>
      </c>
      <c r="E293" t="s">
        <v>53</v>
      </c>
      <c r="F293" t="s">
        <v>54</v>
      </c>
      <c r="G293">
        <v>60000</v>
      </c>
      <c r="H293">
        <v>20</v>
      </c>
      <c r="I293">
        <v>20</v>
      </c>
      <c r="J293">
        <v>0</v>
      </c>
      <c r="K293">
        <v>1</v>
      </c>
      <c r="L293">
        <v>2000000000</v>
      </c>
      <c r="M293">
        <v>48</v>
      </c>
      <c r="N293">
        <v>48</v>
      </c>
      <c r="O293">
        <v>48</v>
      </c>
      <c r="P293">
        <v>0</v>
      </c>
      <c r="Q293" t="s">
        <v>55</v>
      </c>
      <c r="R293">
        <v>1.00001015412062E+18</v>
      </c>
      <c r="S293">
        <v>1000008217</v>
      </c>
      <c r="T293">
        <v>1.00001015412062E+18</v>
      </c>
      <c r="U293">
        <v>1000008217</v>
      </c>
      <c r="V293" t="s">
        <v>63</v>
      </c>
      <c r="W293">
        <v>7</v>
      </c>
      <c r="X293">
        <v>87792081</v>
      </c>
      <c r="Y293">
        <v>1085474358</v>
      </c>
      <c r="Z293">
        <v>1173266439</v>
      </c>
      <c r="AA293">
        <v>1000008217</v>
      </c>
      <c r="AB293">
        <v>13.364100000000001</v>
      </c>
      <c r="AC293">
        <v>0.92126399999999997</v>
      </c>
      <c r="AD293">
        <v>4.0066899999999999</v>
      </c>
      <c r="AE293">
        <v>24391315536</v>
      </c>
      <c r="AF293" t="s">
        <v>954</v>
      </c>
      <c r="AG293" t="s">
        <v>955</v>
      </c>
      <c r="AH293">
        <v>10913</v>
      </c>
      <c r="AI293">
        <v>115686</v>
      </c>
      <c r="AJ293">
        <v>2873123562158</v>
      </c>
      <c r="AK293">
        <v>176744441139</v>
      </c>
      <c r="AL293">
        <v>293030958</v>
      </c>
      <c r="AM293">
        <v>267913738525</v>
      </c>
      <c r="AN293">
        <v>123650661444</v>
      </c>
      <c r="AO293">
        <v>88981138300</v>
      </c>
      <c r="AP293">
        <v>770089962</v>
      </c>
      <c r="AQ293">
        <v>0</v>
      </c>
      <c r="AR293">
        <v>513409888</v>
      </c>
      <c r="AS293">
        <v>770089962</v>
      </c>
      <c r="AT293">
        <v>1283499850</v>
      </c>
      <c r="AU293">
        <v>12834832</v>
      </c>
      <c r="AV293">
        <v>0</v>
      </c>
      <c r="AW293">
        <v>8556831</v>
      </c>
      <c r="AX293">
        <v>12834832</v>
      </c>
      <c r="AY293">
        <v>21391664</v>
      </c>
      <c r="AZ293">
        <v>31.8476</v>
      </c>
      <c r="BA293">
        <v>19.1282</v>
      </c>
      <c r="BB293">
        <v>6043.54</v>
      </c>
      <c r="BC293">
        <v>4887.9799999999996</v>
      </c>
      <c r="BD293">
        <v>85034</v>
      </c>
      <c r="BE293">
        <v>12556</v>
      </c>
      <c r="BF293">
        <f t="shared" si="81"/>
        <v>59.856740878291667</v>
      </c>
      <c r="BG293" s="31">
        <f t="shared" si="82"/>
        <v>13.699646049291667</v>
      </c>
      <c r="BH293">
        <f t="shared" si="75"/>
        <v>1</v>
      </c>
      <c r="BI293">
        <f t="shared" si="76"/>
        <v>26284</v>
      </c>
      <c r="BJ293">
        <f t="shared" si="77"/>
        <v>2534905</v>
      </c>
      <c r="BK293">
        <f t="shared" si="78"/>
        <v>34442907</v>
      </c>
      <c r="BL293">
        <f t="shared" si="79"/>
        <v>9625947</v>
      </c>
      <c r="BM293">
        <f t="shared" si="80"/>
        <v>0</v>
      </c>
      <c r="BN293" t="str">
        <f t="shared" si="83"/>
        <v>u=40%, k=2x10^9</v>
      </c>
      <c r="BO293" t="str">
        <f t="shared" si="84"/>
        <v>u=40%, k=2x10^9, collaborative</v>
      </c>
      <c r="BP293">
        <f t="shared" si="85"/>
        <v>3.6821758570625001</v>
      </c>
      <c r="BQ293">
        <f t="shared" si="86"/>
        <v>6.1048116250000005E-3</v>
      </c>
      <c r="BR293">
        <f t="shared" si="87"/>
        <v>5.5815362192708333</v>
      </c>
      <c r="BS293">
        <f t="shared" si="88"/>
        <v>2.5760554467499999</v>
      </c>
      <c r="BT293">
        <f t="shared" si="89"/>
        <v>1.8537737145833333</v>
      </c>
      <c r="BU293">
        <f t="shared" si="90"/>
        <v>46.157094829000002</v>
      </c>
    </row>
    <row r="294" spans="1:73">
      <c r="A294" t="s">
        <v>956</v>
      </c>
      <c r="B294" t="s">
        <v>158</v>
      </c>
      <c r="C294">
        <v>72</v>
      </c>
      <c r="D294" t="s">
        <v>56</v>
      </c>
      <c r="E294" t="s">
        <v>53</v>
      </c>
      <c r="F294" t="s">
        <v>54</v>
      </c>
      <c r="G294">
        <v>60000</v>
      </c>
      <c r="H294">
        <v>20</v>
      </c>
      <c r="I294">
        <v>20</v>
      </c>
      <c r="J294">
        <v>0</v>
      </c>
      <c r="K294">
        <v>1</v>
      </c>
      <c r="L294">
        <v>2000000000</v>
      </c>
      <c r="M294">
        <v>96</v>
      </c>
      <c r="N294">
        <v>96</v>
      </c>
      <c r="O294">
        <v>96</v>
      </c>
      <c r="P294">
        <v>0</v>
      </c>
      <c r="Q294" t="s">
        <v>55</v>
      </c>
      <c r="R294">
        <v>1.00000039469559E+18</v>
      </c>
      <c r="S294">
        <v>999997767</v>
      </c>
      <c r="T294">
        <v>1.00000039469559E+18</v>
      </c>
      <c r="U294">
        <v>999997767</v>
      </c>
      <c r="V294" t="s">
        <v>63</v>
      </c>
      <c r="W294">
        <v>7</v>
      </c>
      <c r="X294">
        <v>84465055</v>
      </c>
      <c r="Y294">
        <v>1078802328</v>
      </c>
      <c r="Z294">
        <v>1163267383</v>
      </c>
      <c r="AA294">
        <v>999997767</v>
      </c>
      <c r="AB294">
        <v>13.7722</v>
      </c>
      <c r="AC294">
        <v>0.926952</v>
      </c>
      <c r="AD294">
        <v>4</v>
      </c>
      <c r="AE294">
        <v>24018041632</v>
      </c>
      <c r="AF294" t="s">
        <v>957</v>
      </c>
      <c r="AG294" t="s">
        <v>958</v>
      </c>
      <c r="AH294">
        <v>54990</v>
      </c>
      <c r="AI294">
        <v>53562</v>
      </c>
      <c r="AJ294">
        <v>5945629711491</v>
      </c>
      <c r="AK294">
        <v>375212863819</v>
      </c>
      <c r="AL294">
        <v>3794086867</v>
      </c>
      <c r="AM294">
        <v>916468100096</v>
      </c>
      <c r="AN294">
        <v>379085643230</v>
      </c>
      <c r="AO294">
        <v>201476624729</v>
      </c>
      <c r="AP294">
        <v>1500084237</v>
      </c>
      <c r="AQ294">
        <v>0</v>
      </c>
      <c r="AR294">
        <v>1000003653</v>
      </c>
      <c r="AS294">
        <v>1500084237</v>
      </c>
      <c r="AT294">
        <v>2500087890</v>
      </c>
      <c r="AU294">
        <v>25001403</v>
      </c>
      <c r="AV294">
        <v>0</v>
      </c>
      <c r="AW294">
        <v>16666727</v>
      </c>
      <c r="AX294">
        <v>25001403</v>
      </c>
      <c r="AY294">
        <v>41668131</v>
      </c>
      <c r="AZ294">
        <v>33.186399999999999</v>
      </c>
      <c r="BA294">
        <v>20.9512</v>
      </c>
      <c r="BB294">
        <v>5934.75</v>
      </c>
      <c r="BC294">
        <v>4683.4399999999996</v>
      </c>
      <c r="BD294">
        <v>87516</v>
      </c>
      <c r="BE294">
        <v>10014</v>
      </c>
      <c r="BF294">
        <f t="shared" si="81"/>
        <v>61.933642828031253</v>
      </c>
      <c r="BG294" s="31">
        <f t="shared" si="82"/>
        <v>19.542055403552084</v>
      </c>
      <c r="BH294">
        <f t="shared" si="75"/>
        <v>2</v>
      </c>
      <c r="BI294">
        <f t="shared" si="76"/>
        <v>61899</v>
      </c>
      <c r="BJ294">
        <f t="shared" si="77"/>
        <v>4628795</v>
      </c>
      <c r="BK294">
        <f t="shared" si="78"/>
        <v>67776976</v>
      </c>
      <c r="BL294">
        <f t="shared" si="79"/>
        <v>19005817</v>
      </c>
      <c r="BM294">
        <f t="shared" si="80"/>
        <v>0</v>
      </c>
      <c r="BN294" t="str">
        <f t="shared" si="83"/>
        <v>u=40%, k=2x10^9</v>
      </c>
      <c r="BO294" t="str">
        <f t="shared" si="84"/>
        <v>u=40%, k=2x10^9, collaborative</v>
      </c>
      <c r="BP294">
        <f t="shared" si="85"/>
        <v>3.9084673314479166</v>
      </c>
      <c r="BQ294">
        <f t="shared" si="86"/>
        <v>3.9521738197916663E-2</v>
      </c>
      <c r="BR294">
        <f t="shared" si="87"/>
        <v>9.5465427093333322</v>
      </c>
      <c r="BS294">
        <f t="shared" si="88"/>
        <v>3.9488087836458337</v>
      </c>
      <c r="BT294">
        <f t="shared" si="89"/>
        <v>2.0987148409270833</v>
      </c>
      <c r="BU294">
        <f t="shared" si="90"/>
        <v>42.391587424479169</v>
      </c>
    </row>
    <row r="295" spans="1:73">
      <c r="A295" t="s">
        <v>959</v>
      </c>
      <c r="B295" t="s">
        <v>158</v>
      </c>
      <c r="C295">
        <v>72</v>
      </c>
      <c r="D295" t="s">
        <v>56</v>
      </c>
      <c r="E295" t="s">
        <v>53</v>
      </c>
      <c r="F295" t="s">
        <v>54</v>
      </c>
      <c r="G295">
        <v>60000</v>
      </c>
      <c r="H295">
        <v>20</v>
      </c>
      <c r="I295">
        <v>20</v>
      </c>
      <c r="J295">
        <v>0</v>
      </c>
      <c r="K295">
        <v>1</v>
      </c>
      <c r="L295">
        <v>2000000000</v>
      </c>
      <c r="M295">
        <v>144</v>
      </c>
      <c r="N295">
        <v>144</v>
      </c>
      <c r="O295">
        <v>144</v>
      </c>
      <c r="P295">
        <v>0</v>
      </c>
      <c r="Q295" t="s">
        <v>55</v>
      </c>
      <c r="R295">
        <v>1.00000285765222E+18</v>
      </c>
      <c r="S295">
        <v>1000004999</v>
      </c>
      <c r="T295">
        <v>1.00000285765222E+18</v>
      </c>
      <c r="U295">
        <v>1000004999</v>
      </c>
      <c r="V295" t="s">
        <v>63</v>
      </c>
      <c r="W295">
        <v>7</v>
      </c>
      <c r="X295">
        <v>105408479</v>
      </c>
      <c r="Y295">
        <v>1123331576</v>
      </c>
      <c r="Z295">
        <v>1228740055</v>
      </c>
      <c r="AA295">
        <v>1000004999</v>
      </c>
      <c r="AB295">
        <v>11.6569</v>
      </c>
      <c r="AC295">
        <v>0.89021399999999995</v>
      </c>
      <c r="AD295">
        <v>4.0446900000000001</v>
      </c>
      <c r="AE295">
        <v>26436819248</v>
      </c>
      <c r="AF295" t="s">
        <v>960</v>
      </c>
      <c r="AG295" t="s">
        <v>961</v>
      </c>
      <c r="AH295">
        <v>96745</v>
      </c>
      <c r="AI295">
        <v>34160</v>
      </c>
      <c r="AJ295">
        <v>8619743336020</v>
      </c>
      <c r="AK295">
        <v>474509417267</v>
      </c>
      <c r="AL295">
        <v>4349875280</v>
      </c>
      <c r="AM295">
        <v>1182638838279</v>
      </c>
      <c r="AN295">
        <v>562269642950</v>
      </c>
      <c r="AO295">
        <v>250504098234</v>
      </c>
      <c r="AP295">
        <v>2217304391</v>
      </c>
      <c r="AQ295">
        <v>0</v>
      </c>
      <c r="AR295">
        <v>1478263890</v>
      </c>
      <c r="AS295">
        <v>2217304391</v>
      </c>
      <c r="AT295">
        <v>3695568281</v>
      </c>
      <c r="AU295">
        <v>36955073</v>
      </c>
      <c r="AV295">
        <v>0</v>
      </c>
      <c r="AW295">
        <v>24637731</v>
      </c>
      <c r="AX295">
        <v>36955073</v>
      </c>
      <c r="AY295">
        <v>61592804</v>
      </c>
      <c r="AZ295">
        <v>32.049700000000001</v>
      </c>
      <c r="BA295">
        <v>20.5825</v>
      </c>
      <c r="BB295">
        <v>5895.01</v>
      </c>
      <c r="BC295">
        <v>4678.54</v>
      </c>
      <c r="BD295">
        <v>120322</v>
      </c>
      <c r="BE295">
        <v>9291</v>
      </c>
      <c r="BF295">
        <f t="shared" si="81"/>
        <v>59.859328722361106</v>
      </c>
      <c r="BG295" s="31">
        <f t="shared" si="82"/>
        <v>17.182443555624999</v>
      </c>
      <c r="BH295">
        <f t="shared" si="75"/>
        <v>2</v>
      </c>
      <c r="BI295">
        <f t="shared" si="76"/>
        <v>75018</v>
      </c>
      <c r="BJ295">
        <f t="shared" si="77"/>
        <v>6380987</v>
      </c>
      <c r="BK295">
        <f t="shared" si="78"/>
        <v>100166990</v>
      </c>
      <c r="BL295">
        <f t="shared" si="79"/>
        <v>28200782</v>
      </c>
      <c r="BM295">
        <f t="shared" si="80"/>
        <v>0</v>
      </c>
      <c r="BN295" t="str">
        <f t="shared" si="83"/>
        <v>u=40%, k=2x10^9</v>
      </c>
      <c r="BO295" t="str">
        <f t="shared" si="84"/>
        <v>u=40%, k=2x10^9, collaborative</v>
      </c>
      <c r="BP295">
        <f t="shared" si="85"/>
        <v>3.2952042865763889</v>
      </c>
      <c r="BQ295">
        <f t="shared" si="86"/>
        <v>3.0207467222222222E-2</v>
      </c>
      <c r="BR295">
        <f t="shared" si="87"/>
        <v>8.2127697102708339</v>
      </c>
      <c r="BS295">
        <f t="shared" si="88"/>
        <v>3.9046502982638893</v>
      </c>
      <c r="BT295">
        <f t="shared" si="89"/>
        <v>1.7396117932916666</v>
      </c>
      <c r="BU295">
        <f t="shared" si="90"/>
        <v>42.676885166736106</v>
      </c>
    </row>
    <row r="296" spans="1:73">
      <c r="A296" t="s">
        <v>962</v>
      </c>
      <c r="B296" t="s">
        <v>158</v>
      </c>
      <c r="C296">
        <v>72</v>
      </c>
      <c r="D296" t="s">
        <v>56</v>
      </c>
      <c r="E296" t="s">
        <v>53</v>
      </c>
      <c r="F296" t="s">
        <v>54</v>
      </c>
      <c r="G296">
        <v>60000</v>
      </c>
      <c r="H296">
        <v>20</v>
      </c>
      <c r="I296">
        <v>20</v>
      </c>
      <c r="J296">
        <v>0</v>
      </c>
      <c r="K296">
        <v>1</v>
      </c>
      <c r="L296">
        <v>2000000000</v>
      </c>
      <c r="M296">
        <v>190</v>
      </c>
      <c r="N296">
        <v>190</v>
      </c>
      <c r="O296">
        <v>190</v>
      </c>
      <c r="P296">
        <v>0</v>
      </c>
      <c r="Q296" t="s">
        <v>55</v>
      </c>
      <c r="R296">
        <v>1.00004182128977E+18</v>
      </c>
      <c r="S296">
        <v>1000019642</v>
      </c>
      <c r="T296">
        <v>1.00004182128977E+18</v>
      </c>
      <c r="U296">
        <v>1000019642</v>
      </c>
      <c r="V296" t="s">
        <v>63</v>
      </c>
      <c r="W296">
        <v>7</v>
      </c>
      <c r="X296">
        <v>122991040</v>
      </c>
      <c r="Y296">
        <v>1158576903</v>
      </c>
      <c r="Z296">
        <v>1281567943</v>
      </c>
      <c r="AA296">
        <v>1000019642</v>
      </c>
      <c r="AB296">
        <v>10.42</v>
      </c>
      <c r="AC296">
        <v>0.86314500000000005</v>
      </c>
      <c r="AD296">
        <v>4.0811799999999998</v>
      </c>
      <c r="AE296">
        <v>28422430368</v>
      </c>
      <c r="AF296" t="s">
        <v>963</v>
      </c>
      <c r="AG296" t="s">
        <v>964</v>
      </c>
      <c r="AH296">
        <v>154856</v>
      </c>
      <c r="AI296">
        <v>22856</v>
      </c>
      <c r="AJ296">
        <v>11375261948225</v>
      </c>
      <c r="AK296">
        <v>609078530489</v>
      </c>
      <c r="AL296">
        <v>10531824029</v>
      </c>
      <c r="AM296">
        <v>2009558440910</v>
      </c>
      <c r="AN296">
        <v>867910331335</v>
      </c>
      <c r="AO296">
        <v>475069418641</v>
      </c>
      <c r="AP296">
        <v>2592379069</v>
      </c>
      <c r="AQ296">
        <v>0</v>
      </c>
      <c r="AR296">
        <v>1728193858</v>
      </c>
      <c r="AS296">
        <v>2592379069</v>
      </c>
      <c r="AT296">
        <v>4320572927</v>
      </c>
      <c r="AU296">
        <v>43206317</v>
      </c>
      <c r="AV296">
        <v>0</v>
      </c>
      <c r="AW296">
        <v>28803230</v>
      </c>
      <c r="AX296">
        <v>43206317</v>
      </c>
      <c r="AY296">
        <v>72009548</v>
      </c>
      <c r="AZ296">
        <v>33.002600000000001</v>
      </c>
      <c r="BA296">
        <v>21.424499999999998</v>
      </c>
      <c r="BB296">
        <v>6275.8</v>
      </c>
      <c r="BC296">
        <v>4997.21</v>
      </c>
      <c r="BD296">
        <v>120687</v>
      </c>
      <c r="BE296">
        <v>9149</v>
      </c>
      <c r="BF296">
        <f t="shared" si="81"/>
        <v>59.869799727499995</v>
      </c>
      <c r="BG296" s="31">
        <f t="shared" si="82"/>
        <v>20.906044975810527</v>
      </c>
      <c r="BH296">
        <f t="shared" si="75"/>
        <v>3</v>
      </c>
      <c r="BI296">
        <f t="shared" si="76"/>
        <v>94762</v>
      </c>
      <c r="BJ296">
        <f t="shared" si="77"/>
        <v>6451075</v>
      </c>
      <c r="BK296">
        <f t="shared" si="78"/>
        <v>108188557</v>
      </c>
      <c r="BL296">
        <f t="shared" si="79"/>
        <v>32129639</v>
      </c>
      <c r="BM296">
        <f t="shared" si="80"/>
        <v>0</v>
      </c>
      <c r="BN296" t="str">
        <f t="shared" si="83"/>
        <v>u=40%, k=2x10^9</v>
      </c>
      <c r="BO296" t="str">
        <f t="shared" si="84"/>
        <v>u=40%, k=2x10^9, collaborative</v>
      </c>
      <c r="BP296">
        <f t="shared" si="85"/>
        <v>3.2056764762578944</v>
      </c>
      <c r="BQ296">
        <f t="shared" si="86"/>
        <v>5.543065278421052E-2</v>
      </c>
      <c r="BR296">
        <f t="shared" si="87"/>
        <v>10.576623373210525</v>
      </c>
      <c r="BS296">
        <f t="shared" si="88"/>
        <v>4.5679491122894742</v>
      </c>
      <c r="BT296">
        <f t="shared" si="89"/>
        <v>2.5003653612684213</v>
      </c>
      <c r="BU296">
        <f t="shared" si="90"/>
        <v>38.963754751689471</v>
      </c>
    </row>
    <row r="297" spans="1:73">
      <c r="A297" t="s">
        <v>965</v>
      </c>
      <c r="B297" t="s">
        <v>136</v>
      </c>
      <c r="C297">
        <v>72</v>
      </c>
      <c r="D297" t="s">
        <v>56</v>
      </c>
      <c r="E297" t="s">
        <v>53</v>
      </c>
      <c r="F297" t="s">
        <v>54</v>
      </c>
      <c r="G297">
        <v>60000</v>
      </c>
      <c r="H297">
        <v>0.5</v>
      </c>
      <c r="I297">
        <v>0.5</v>
      </c>
      <c r="J297">
        <v>0</v>
      </c>
      <c r="K297">
        <v>1</v>
      </c>
      <c r="L297">
        <v>2000000</v>
      </c>
      <c r="M297">
        <v>24</v>
      </c>
      <c r="N297">
        <v>24</v>
      </c>
      <c r="O297">
        <v>24</v>
      </c>
      <c r="P297">
        <v>0</v>
      </c>
      <c r="Q297" t="s">
        <v>55</v>
      </c>
      <c r="R297">
        <v>1001012342372</v>
      </c>
      <c r="S297">
        <v>1001027</v>
      </c>
      <c r="T297">
        <v>1001012342372</v>
      </c>
      <c r="U297">
        <v>1001027</v>
      </c>
      <c r="V297" t="s">
        <v>63</v>
      </c>
      <c r="W297">
        <v>6</v>
      </c>
      <c r="X297">
        <v>68021</v>
      </c>
      <c r="Y297">
        <v>1104115</v>
      </c>
      <c r="Z297">
        <v>1172136</v>
      </c>
      <c r="AA297">
        <v>1001027</v>
      </c>
      <c r="AB297">
        <v>17.231999999999999</v>
      </c>
      <c r="AC297">
        <v>0.90663300000000002</v>
      </c>
      <c r="AD297">
        <v>3.07376</v>
      </c>
      <c r="AE297">
        <v>23149056</v>
      </c>
      <c r="AF297" t="s">
        <v>966</v>
      </c>
      <c r="AG297" t="s">
        <v>967</v>
      </c>
      <c r="AI297">
        <v>1688248</v>
      </c>
      <c r="AJ297">
        <v>1436561758219</v>
      </c>
      <c r="AK297">
        <v>3976538243</v>
      </c>
      <c r="AL297">
        <v>82737454793</v>
      </c>
      <c r="AM297">
        <v>5915125353</v>
      </c>
      <c r="AN297">
        <v>5225674522</v>
      </c>
      <c r="AO297">
        <v>2182809116</v>
      </c>
      <c r="AP297">
        <v>4521191401</v>
      </c>
      <c r="AQ297">
        <v>0</v>
      </c>
      <c r="AR297">
        <v>45662965</v>
      </c>
      <c r="AS297">
        <v>4521191401</v>
      </c>
      <c r="AT297">
        <v>4566854366</v>
      </c>
      <c r="AU297">
        <v>75353190</v>
      </c>
      <c r="AV297">
        <v>0</v>
      </c>
      <c r="AW297">
        <v>761049</v>
      </c>
      <c r="AX297">
        <v>75353190</v>
      </c>
      <c r="AY297">
        <v>76114239</v>
      </c>
      <c r="AZ297">
        <v>8.39649</v>
      </c>
      <c r="BA297">
        <v>9.3694700000000006E-2</v>
      </c>
      <c r="BB297">
        <v>878.22500000000002</v>
      </c>
      <c r="BC297">
        <v>262.73399999999998</v>
      </c>
      <c r="BD297">
        <v>1394</v>
      </c>
      <c r="BE297">
        <v>27</v>
      </c>
      <c r="BF297">
        <f t="shared" si="81"/>
        <v>59.856739925791665</v>
      </c>
      <c r="BG297" s="31">
        <f t="shared" si="82"/>
        <v>4.1682334177916669</v>
      </c>
      <c r="BH297">
        <f t="shared" si="75"/>
        <v>91</v>
      </c>
      <c r="BI297">
        <f t="shared" si="76"/>
        <v>81704</v>
      </c>
      <c r="BJ297">
        <f t="shared" si="77"/>
        <v>1176598</v>
      </c>
      <c r="BK297">
        <f t="shared" si="78"/>
        <v>1320579</v>
      </c>
      <c r="BL297">
        <f t="shared" si="79"/>
        <v>0</v>
      </c>
      <c r="BM297">
        <f t="shared" si="80"/>
        <v>0</v>
      </c>
      <c r="BN297" t="str">
        <f t="shared" si="83"/>
        <v>u=1%, k=2x10^6</v>
      </c>
      <c r="BO297" t="str">
        <f t="shared" si="84"/>
        <v>u=1%, k=2x10^6, sequential</v>
      </c>
      <c r="BP297">
        <f t="shared" si="85"/>
        <v>0.16568909345833333</v>
      </c>
      <c r="BQ297">
        <f t="shared" si="86"/>
        <v>3.4473939497083332</v>
      </c>
      <c r="BR297">
        <f t="shared" si="87"/>
        <v>0.24646355637499998</v>
      </c>
      <c r="BS297">
        <f t="shared" si="88"/>
        <v>0.21773643841666668</v>
      </c>
      <c r="BT297">
        <f t="shared" si="89"/>
        <v>9.0950379833333331E-2</v>
      </c>
      <c r="BU297">
        <f t="shared" si="90"/>
        <v>55.688506507999996</v>
      </c>
    </row>
    <row r="298" spans="1:73">
      <c r="A298" t="s">
        <v>968</v>
      </c>
      <c r="B298" t="s">
        <v>136</v>
      </c>
      <c r="C298">
        <v>72</v>
      </c>
      <c r="D298" t="s">
        <v>56</v>
      </c>
      <c r="E298" t="s">
        <v>53</v>
      </c>
      <c r="F298" t="s">
        <v>54</v>
      </c>
      <c r="G298">
        <v>60000</v>
      </c>
      <c r="H298">
        <v>0.5</v>
      </c>
      <c r="I298">
        <v>0.5</v>
      </c>
      <c r="J298">
        <v>0</v>
      </c>
      <c r="K298">
        <v>1</v>
      </c>
      <c r="L298">
        <v>2000000</v>
      </c>
      <c r="M298">
        <v>48</v>
      </c>
      <c r="N298">
        <v>48</v>
      </c>
      <c r="O298">
        <v>48</v>
      </c>
      <c r="P298">
        <v>0</v>
      </c>
      <c r="Q298" t="s">
        <v>55</v>
      </c>
      <c r="R298">
        <v>999958084548</v>
      </c>
      <c r="S298">
        <v>999376</v>
      </c>
      <c r="T298">
        <v>999958084548</v>
      </c>
      <c r="U298">
        <v>999376</v>
      </c>
      <c r="V298" t="s">
        <v>63</v>
      </c>
      <c r="W298">
        <v>6</v>
      </c>
      <c r="X298">
        <v>46002</v>
      </c>
      <c r="Y298">
        <v>1057746</v>
      </c>
      <c r="Z298">
        <v>1103748</v>
      </c>
      <c r="AA298">
        <v>999376</v>
      </c>
      <c r="AB298">
        <v>23.993500000000001</v>
      </c>
      <c r="AC298">
        <v>0.94481700000000002</v>
      </c>
      <c r="AD298">
        <v>3.0265399999999998</v>
      </c>
      <c r="AE298">
        <v>20609712</v>
      </c>
      <c r="AF298" t="s">
        <v>969</v>
      </c>
      <c r="AG298" t="s">
        <v>970</v>
      </c>
      <c r="AI298">
        <v>598736</v>
      </c>
      <c r="AJ298">
        <v>2873123540316</v>
      </c>
      <c r="AK298">
        <v>9518146002</v>
      </c>
      <c r="AL298">
        <v>354012142161</v>
      </c>
      <c r="AM298">
        <v>12780178346</v>
      </c>
      <c r="AN298">
        <v>10492372178</v>
      </c>
      <c r="AO298">
        <v>4893078450</v>
      </c>
      <c r="AP298">
        <v>6536243267</v>
      </c>
      <c r="AQ298">
        <v>0</v>
      </c>
      <c r="AR298">
        <v>66032780</v>
      </c>
      <c r="AS298">
        <v>6536243267</v>
      </c>
      <c r="AT298">
        <v>6602276047</v>
      </c>
      <c r="AU298">
        <v>108937387</v>
      </c>
      <c r="AV298">
        <v>0</v>
      </c>
      <c r="AW298">
        <v>1100546</v>
      </c>
      <c r="AX298">
        <v>108937387</v>
      </c>
      <c r="AY298">
        <v>110037934</v>
      </c>
      <c r="AZ298">
        <v>8.2397600000000004</v>
      </c>
      <c r="BA298">
        <v>0.10332</v>
      </c>
      <c r="BB298">
        <v>1206.69</v>
      </c>
      <c r="BC298">
        <v>361.07600000000002</v>
      </c>
      <c r="BD298">
        <v>1610</v>
      </c>
      <c r="BE298">
        <v>72</v>
      </c>
      <c r="BF298">
        <f t="shared" si="81"/>
        <v>59.856740423249995</v>
      </c>
      <c r="BG298" s="31">
        <f t="shared" si="82"/>
        <v>8.1603316070208329</v>
      </c>
      <c r="BH298">
        <f t="shared" si="75"/>
        <v>132</v>
      </c>
      <c r="BI298">
        <f t="shared" si="76"/>
        <v>130297</v>
      </c>
      <c r="BJ298">
        <f t="shared" si="77"/>
        <v>1237107</v>
      </c>
      <c r="BK298">
        <f t="shared" si="78"/>
        <v>1794238</v>
      </c>
      <c r="BL298">
        <f t="shared" si="79"/>
        <v>0</v>
      </c>
      <c r="BM298">
        <f t="shared" si="80"/>
        <v>0</v>
      </c>
      <c r="BN298" t="str">
        <f t="shared" si="83"/>
        <v>u=1%, k=2x10^6</v>
      </c>
      <c r="BO298" t="str">
        <f t="shared" si="84"/>
        <v>u=1%, k=2x10^6, sequential</v>
      </c>
      <c r="BP298">
        <f t="shared" si="85"/>
        <v>0.19829470837499999</v>
      </c>
      <c r="BQ298">
        <f t="shared" si="86"/>
        <v>7.3752529616875</v>
      </c>
      <c r="BR298">
        <f t="shared" si="87"/>
        <v>0.26625371554166666</v>
      </c>
      <c r="BS298">
        <f t="shared" si="88"/>
        <v>0.21859108704166666</v>
      </c>
      <c r="BT298">
        <f t="shared" si="89"/>
        <v>0.101939134375</v>
      </c>
      <c r="BU298">
        <f t="shared" si="90"/>
        <v>51.696408816229166</v>
      </c>
    </row>
    <row r="299" spans="1:73">
      <c r="A299" t="s">
        <v>971</v>
      </c>
      <c r="B299" t="s">
        <v>136</v>
      </c>
      <c r="C299">
        <v>72</v>
      </c>
      <c r="D299" t="s">
        <v>56</v>
      </c>
      <c r="E299" t="s">
        <v>53</v>
      </c>
      <c r="F299" t="s">
        <v>54</v>
      </c>
      <c r="G299">
        <v>60000</v>
      </c>
      <c r="H299">
        <v>0.5</v>
      </c>
      <c r="I299">
        <v>0.5</v>
      </c>
      <c r="J299">
        <v>0</v>
      </c>
      <c r="K299">
        <v>1</v>
      </c>
      <c r="L299">
        <v>2000000</v>
      </c>
      <c r="M299">
        <v>96</v>
      </c>
      <c r="N299">
        <v>96</v>
      </c>
      <c r="O299">
        <v>96</v>
      </c>
      <c r="P299">
        <v>0</v>
      </c>
      <c r="Q299" t="s">
        <v>55</v>
      </c>
      <c r="R299">
        <v>1000482217111</v>
      </c>
      <c r="S299">
        <v>1000477</v>
      </c>
      <c r="T299">
        <v>1000482217111</v>
      </c>
      <c r="U299">
        <v>1000477</v>
      </c>
      <c r="V299" t="s">
        <v>63</v>
      </c>
      <c r="W299">
        <v>6</v>
      </c>
      <c r="X299">
        <v>49096</v>
      </c>
      <c r="Y299">
        <v>1064960</v>
      </c>
      <c r="Z299">
        <v>1114056</v>
      </c>
      <c r="AA299">
        <v>1000477</v>
      </c>
      <c r="AB299">
        <v>22.691400000000002</v>
      </c>
      <c r="AC299">
        <v>0.93945000000000001</v>
      </c>
      <c r="AD299">
        <v>3.03288</v>
      </c>
      <c r="AE299">
        <v>20975216</v>
      </c>
      <c r="AF299" t="s">
        <v>972</v>
      </c>
      <c r="AG299" t="s">
        <v>973</v>
      </c>
      <c r="AI299">
        <v>254542</v>
      </c>
      <c r="AJ299">
        <v>5746246999393</v>
      </c>
      <c r="AK299">
        <v>29368139698</v>
      </c>
      <c r="AL299">
        <v>1275224476785</v>
      </c>
      <c r="AM299">
        <v>28105741118</v>
      </c>
      <c r="AN299">
        <v>16775652753</v>
      </c>
      <c r="AO299">
        <v>8654567056</v>
      </c>
      <c r="AP299">
        <v>11037789114</v>
      </c>
      <c r="AQ299">
        <v>0</v>
      </c>
      <c r="AR299">
        <v>111493027</v>
      </c>
      <c r="AS299">
        <v>11037789114</v>
      </c>
      <c r="AT299">
        <v>11149282141</v>
      </c>
      <c r="AU299">
        <v>183963151</v>
      </c>
      <c r="AV299">
        <v>0</v>
      </c>
      <c r="AW299">
        <v>1858217</v>
      </c>
      <c r="AX299">
        <v>183963151</v>
      </c>
      <c r="AY299">
        <v>185821369</v>
      </c>
      <c r="AZ299">
        <v>8.2273800000000001</v>
      </c>
      <c r="BA299">
        <v>0.233765</v>
      </c>
      <c r="BB299">
        <v>1430.95</v>
      </c>
      <c r="BC299">
        <v>384.404</v>
      </c>
      <c r="BD299">
        <v>2156</v>
      </c>
      <c r="BE299">
        <v>144</v>
      </c>
      <c r="BF299">
        <f t="shared" si="81"/>
        <v>59.856739577010416</v>
      </c>
      <c r="BG299" s="31">
        <f t="shared" si="82"/>
        <v>14.147172681354165</v>
      </c>
      <c r="BH299">
        <f t="shared" si="75"/>
        <v>223</v>
      </c>
      <c r="BI299">
        <f t="shared" si="76"/>
        <v>348971</v>
      </c>
      <c r="BJ299">
        <f t="shared" si="77"/>
        <v>605949</v>
      </c>
      <c r="BK299">
        <f t="shared" si="78"/>
        <v>2577260</v>
      </c>
      <c r="BL299">
        <f t="shared" si="79"/>
        <v>0</v>
      </c>
      <c r="BM299">
        <f t="shared" si="80"/>
        <v>0</v>
      </c>
      <c r="BN299" t="str">
        <f t="shared" si="83"/>
        <v>u=1%, k=2x10^6</v>
      </c>
      <c r="BO299" t="str">
        <f t="shared" si="84"/>
        <v>u=1%, k=2x10^6, sequential</v>
      </c>
      <c r="BP299">
        <f t="shared" si="85"/>
        <v>0.30591812185416667</v>
      </c>
      <c r="BQ299">
        <f t="shared" si="86"/>
        <v>13.28358829984375</v>
      </c>
      <c r="BR299">
        <f t="shared" si="87"/>
        <v>0.29276813664583334</v>
      </c>
      <c r="BS299">
        <f t="shared" si="88"/>
        <v>0.17474638284374999</v>
      </c>
      <c r="BT299">
        <f t="shared" si="89"/>
        <v>9.0151740166666661E-2</v>
      </c>
      <c r="BU299">
        <f t="shared" si="90"/>
        <v>45.709566895656252</v>
      </c>
    </row>
    <row r="300" spans="1:73">
      <c r="A300" t="s">
        <v>974</v>
      </c>
      <c r="B300" t="s">
        <v>136</v>
      </c>
      <c r="C300">
        <v>72</v>
      </c>
      <c r="D300" t="s">
        <v>56</v>
      </c>
      <c r="E300" t="s">
        <v>53</v>
      </c>
      <c r="F300" t="s">
        <v>54</v>
      </c>
      <c r="G300">
        <v>60000</v>
      </c>
      <c r="H300">
        <v>0.5</v>
      </c>
      <c r="I300">
        <v>0.5</v>
      </c>
      <c r="J300">
        <v>0</v>
      </c>
      <c r="K300">
        <v>1</v>
      </c>
      <c r="L300">
        <v>2000000</v>
      </c>
      <c r="M300">
        <v>144</v>
      </c>
      <c r="N300">
        <v>144</v>
      </c>
      <c r="O300">
        <v>144</v>
      </c>
      <c r="P300">
        <v>0</v>
      </c>
      <c r="Q300" t="s">
        <v>55</v>
      </c>
      <c r="R300">
        <v>999331822658</v>
      </c>
      <c r="S300">
        <v>999492</v>
      </c>
      <c r="T300">
        <v>999331822658</v>
      </c>
      <c r="U300">
        <v>999492</v>
      </c>
      <c r="V300" t="s">
        <v>63</v>
      </c>
      <c r="W300">
        <v>6</v>
      </c>
      <c r="X300">
        <v>51780</v>
      </c>
      <c r="Y300">
        <v>1069679</v>
      </c>
      <c r="Z300">
        <v>1121459</v>
      </c>
      <c r="AA300">
        <v>999492</v>
      </c>
      <c r="AB300">
        <v>21.658100000000001</v>
      </c>
      <c r="AC300">
        <v>0.93438500000000002</v>
      </c>
      <c r="AD300">
        <v>3.0390199999999998</v>
      </c>
      <c r="AE300">
        <v>21273504</v>
      </c>
      <c r="AF300" t="s">
        <v>975</v>
      </c>
      <c r="AG300" t="s">
        <v>976</v>
      </c>
      <c r="AI300">
        <v>147190</v>
      </c>
      <c r="AJ300">
        <v>8619371299576</v>
      </c>
      <c r="AK300">
        <v>52052922973</v>
      </c>
      <c r="AL300">
        <v>2664967495593</v>
      </c>
      <c r="AM300">
        <v>50873859313</v>
      </c>
      <c r="AN300">
        <v>21742945852</v>
      </c>
      <c r="AO300">
        <v>14410119725</v>
      </c>
      <c r="AP300">
        <v>14271094185</v>
      </c>
      <c r="AQ300">
        <v>0</v>
      </c>
      <c r="AR300">
        <v>144149617</v>
      </c>
      <c r="AS300">
        <v>14271094185</v>
      </c>
      <c r="AT300">
        <v>14415243802</v>
      </c>
      <c r="AU300">
        <v>237851569</v>
      </c>
      <c r="AV300">
        <v>0</v>
      </c>
      <c r="AW300">
        <v>2402493</v>
      </c>
      <c r="AX300">
        <v>237851569</v>
      </c>
      <c r="AY300">
        <v>240254063</v>
      </c>
      <c r="AZ300">
        <v>8.4849300000000003</v>
      </c>
      <c r="BA300">
        <v>0.33541799999999999</v>
      </c>
      <c r="BB300">
        <v>1638.5</v>
      </c>
      <c r="BC300">
        <v>399.65199999999999</v>
      </c>
      <c r="BD300">
        <v>2806</v>
      </c>
      <c r="BE300">
        <v>275</v>
      </c>
      <c r="BF300">
        <f t="shared" si="81"/>
        <v>59.856745135944443</v>
      </c>
      <c r="BG300" s="31">
        <f t="shared" si="82"/>
        <v>19.472550996222221</v>
      </c>
      <c r="BH300">
        <f t="shared" si="75"/>
        <v>288</v>
      </c>
      <c r="BI300">
        <f t="shared" si="76"/>
        <v>840001</v>
      </c>
      <c r="BJ300">
        <f t="shared" si="77"/>
        <v>151681</v>
      </c>
      <c r="BK300">
        <f t="shared" si="78"/>
        <v>2340946</v>
      </c>
      <c r="BL300">
        <f t="shared" si="79"/>
        <v>0</v>
      </c>
      <c r="BM300">
        <f t="shared" si="80"/>
        <v>0</v>
      </c>
      <c r="BN300" t="str">
        <f t="shared" si="83"/>
        <v>u=1%, k=2x10^6</v>
      </c>
      <c r="BO300" t="str">
        <f t="shared" si="84"/>
        <v>u=1%, k=2x10^6, sequential</v>
      </c>
      <c r="BP300">
        <f t="shared" si="85"/>
        <v>0.36147863175694445</v>
      </c>
      <c r="BQ300">
        <f t="shared" si="86"/>
        <v>18.506718719395835</v>
      </c>
      <c r="BR300">
        <f t="shared" si="87"/>
        <v>0.3532906896736111</v>
      </c>
      <c r="BS300">
        <f t="shared" si="88"/>
        <v>0.15099267952777776</v>
      </c>
      <c r="BT300">
        <f t="shared" si="89"/>
        <v>0.10007027586805556</v>
      </c>
      <c r="BU300">
        <f t="shared" si="90"/>
        <v>40.384194139722219</v>
      </c>
    </row>
    <row r="301" spans="1:73">
      <c r="A301" t="s">
        <v>977</v>
      </c>
      <c r="B301" t="s">
        <v>136</v>
      </c>
      <c r="C301">
        <v>72</v>
      </c>
      <c r="D301" t="s">
        <v>56</v>
      </c>
      <c r="E301" t="s">
        <v>53</v>
      </c>
      <c r="F301" t="s">
        <v>54</v>
      </c>
      <c r="G301">
        <v>60000</v>
      </c>
      <c r="H301">
        <v>0.5</v>
      </c>
      <c r="I301">
        <v>0.5</v>
      </c>
      <c r="J301">
        <v>0</v>
      </c>
      <c r="K301">
        <v>1</v>
      </c>
      <c r="L301">
        <v>2000000</v>
      </c>
      <c r="M301">
        <v>190</v>
      </c>
      <c r="N301">
        <v>190</v>
      </c>
      <c r="O301">
        <v>190</v>
      </c>
      <c r="P301">
        <v>0</v>
      </c>
      <c r="Q301" t="s">
        <v>55</v>
      </c>
      <c r="R301">
        <v>998975814283</v>
      </c>
      <c r="S301">
        <v>999535</v>
      </c>
      <c r="T301">
        <v>998975814283</v>
      </c>
      <c r="U301">
        <v>999535</v>
      </c>
      <c r="V301" t="s">
        <v>63</v>
      </c>
      <c r="W301">
        <v>6</v>
      </c>
      <c r="X301">
        <v>33062</v>
      </c>
      <c r="Y301">
        <v>1031633</v>
      </c>
      <c r="Z301">
        <v>1064695</v>
      </c>
      <c r="AA301">
        <v>999535</v>
      </c>
      <c r="AB301">
        <v>32.203000000000003</v>
      </c>
      <c r="AC301">
        <v>0.96888600000000002</v>
      </c>
      <c r="AD301">
        <v>3.0001199999999999</v>
      </c>
      <c r="AE301">
        <v>19151072</v>
      </c>
      <c r="AF301" t="s">
        <v>978</v>
      </c>
      <c r="AG301" t="s">
        <v>979</v>
      </c>
      <c r="AI301">
        <v>122834</v>
      </c>
      <c r="AJ301">
        <v>11377250561648</v>
      </c>
      <c r="AK301">
        <v>64090220903</v>
      </c>
      <c r="AL301">
        <v>3829887662140</v>
      </c>
      <c r="AM301">
        <v>55419272113</v>
      </c>
      <c r="AN301">
        <v>28997996611</v>
      </c>
      <c r="AO301">
        <v>15744614161</v>
      </c>
      <c r="AP301">
        <v>17899260242</v>
      </c>
      <c r="AQ301">
        <v>0</v>
      </c>
      <c r="AR301">
        <v>180792358</v>
      </c>
      <c r="AS301">
        <v>17899260242</v>
      </c>
      <c r="AT301">
        <v>18080052600</v>
      </c>
      <c r="AU301">
        <v>298321004</v>
      </c>
      <c r="AV301">
        <v>0</v>
      </c>
      <c r="AW301">
        <v>3013205</v>
      </c>
      <c r="AX301">
        <v>298321004</v>
      </c>
      <c r="AY301">
        <v>301334210</v>
      </c>
      <c r="AZ301">
        <v>8.5460399999999996</v>
      </c>
      <c r="BA301">
        <v>0.39063100000000001</v>
      </c>
      <c r="BB301">
        <v>1728.75</v>
      </c>
      <c r="BC301">
        <v>410.815</v>
      </c>
      <c r="BD301">
        <v>2576</v>
      </c>
      <c r="BE301">
        <v>331</v>
      </c>
      <c r="BF301">
        <f t="shared" si="81"/>
        <v>59.880266113936841</v>
      </c>
      <c r="BG301" s="31">
        <f t="shared" si="82"/>
        <v>21.021788241726316</v>
      </c>
      <c r="BH301">
        <f t="shared" si="75"/>
        <v>362</v>
      </c>
      <c r="BI301">
        <f t="shared" si="76"/>
        <v>848163</v>
      </c>
      <c r="BJ301">
        <f t="shared" si="77"/>
        <v>414156</v>
      </c>
      <c r="BK301">
        <f t="shared" si="78"/>
        <v>3398832</v>
      </c>
      <c r="BL301">
        <f t="shared" si="79"/>
        <v>0</v>
      </c>
      <c r="BM301">
        <f t="shared" si="80"/>
        <v>0</v>
      </c>
      <c r="BN301" t="str">
        <f t="shared" si="83"/>
        <v>u=1%, k=2x10^6</v>
      </c>
      <c r="BO301" t="str">
        <f t="shared" si="84"/>
        <v>u=1%, k=2x10^6, sequential</v>
      </c>
      <c r="BP301">
        <f t="shared" si="85"/>
        <v>0.33731695212105267</v>
      </c>
      <c r="BQ301">
        <f t="shared" si="86"/>
        <v>20.15730348494737</v>
      </c>
      <c r="BR301">
        <f t="shared" si="87"/>
        <v>0.29168037954210524</v>
      </c>
      <c r="BS301">
        <f t="shared" si="88"/>
        <v>0.15262103479473685</v>
      </c>
      <c r="BT301">
        <f t="shared" si="89"/>
        <v>8.2866390321052627E-2</v>
      </c>
      <c r="BU301">
        <f t="shared" si="90"/>
        <v>38.858477872210528</v>
      </c>
    </row>
    <row r="302" spans="1:73">
      <c r="A302" t="s">
        <v>980</v>
      </c>
      <c r="B302" t="s">
        <v>136</v>
      </c>
      <c r="C302">
        <v>72</v>
      </c>
      <c r="D302" t="s">
        <v>56</v>
      </c>
      <c r="E302" t="s">
        <v>53</v>
      </c>
      <c r="F302" t="s">
        <v>54</v>
      </c>
      <c r="G302">
        <v>60000</v>
      </c>
      <c r="H302">
        <v>0.5</v>
      </c>
      <c r="I302">
        <v>0.5</v>
      </c>
      <c r="J302">
        <v>0</v>
      </c>
      <c r="K302">
        <v>1</v>
      </c>
      <c r="L302">
        <v>20000000</v>
      </c>
      <c r="M302">
        <v>24</v>
      </c>
      <c r="N302">
        <v>24</v>
      </c>
      <c r="O302">
        <v>24</v>
      </c>
      <c r="P302">
        <v>0</v>
      </c>
      <c r="Q302" t="s">
        <v>55</v>
      </c>
      <c r="R302">
        <v>100026059555963</v>
      </c>
      <c r="S302">
        <v>10002264</v>
      </c>
      <c r="T302">
        <v>100026059555963</v>
      </c>
      <c r="U302">
        <v>10002264</v>
      </c>
      <c r="V302" t="s">
        <v>63</v>
      </c>
      <c r="W302">
        <v>7</v>
      </c>
      <c r="X302">
        <v>1625788</v>
      </c>
      <c r="Y302">
        <v>11444602</v>
      </c>
      <c r="Z302">
        <v>13070390</v>
      </c>
      <c r="AA302">
        <v>10002264</v>
      </c>
      <c r="AB302">
        <v>8.0394199999999998</v>
      </c>
      <c r="AC302">
        <v>0.87397199999999997</v>
      </c>
      <c r="AD302">
        <v>4</v>
      </c>
      <c r="AE302">
        <v>313176656</v>
      </c>
      <c r="AF302" t="s">
        <v>981</v>
      </c>
      <c r="AG302" t="s">
        <v>982</v>
      </c>
      <c r="AI302">
        <v>718268</v>
      </c>
      <c r="AJ302">
        <v>1450065889221</v>
      </c>
      <c r="AK302">
        <v>5458711164</v>
      </c>
      <c r="AL302">
        <v>84146579528</v>
      </c>
      <c r="AM302">
        <v>7803304406</v>
      </c>
      <c r="AN302">
        <v>5006959101</v>
      </c>
      <c r="AO302">
        <v>2092784072</v>
      </c>
      <c r="AP302">
        <v>1980459061</v>
      </c>
      <c r="AQ302">
        <v>0</v>
      </c>
      <c r="AR302">
        <v>20003263</v>
      </c>
      <c r="AS302">
        <v>1980459061</v>
      </c>
      <c r="AT302">
        <v>2000462324</v>
      </c>
      <c r="AU302">
        <v>33007651</v>
      </c>
      <c r="AV302">
        <v>0</v>
      </c>
      <c r="AW302">
        <v>333387</v>
      </c>
      <c r="AX302">
        <v>33007651</v>
      </c>
      <c r="AY302">
        <v>33341038</v>
      </c>
      <c r="AZ302">
        <v>16.1402</v>
      </c>
      <c r="BA302">
        <v>5.8921599999999996</v>
      </c>
      <c r="BB302">
        <v>2024.08</v>
      </c>
      <c r="BC302">
        <v>1226.81</v>
      </c>
      <c r="BD302">
        <v>2673</v>
      </c>
      <c r="BE302">
        <v>157</v>
      </c>
      <c r="BF302">
        <f t="shared" si="81"/>
        <v>60.419412050874996</v>
      </c>
      <c r="BG302" s="31">
        <f t="shared" si="82"/>
        <v>4.3545140946250003</v>
      </c>
      <c r="BH302">
        <f t="shared" si="75"/>
        <v>4</v>
      </c>
      <c r="BI302">
        <f t="shared" si="76"/>
        <v>11148</v>
      </c>
      <c r="BJ302">
        <f t="shared" si="77"/>
        <v>320774</v>
      </c>
      <c r="BK302">
        <f t="shared" si="78"/>
        <v>2927348</v>
      </c>
      <c r="BL302">
        <f t="shared" si="79"/>
        <v>9840</v>
      </c>
      <c r="BM302">
        <f t="shared" si="80"/>
        <v>0</v>
      </c>
      <c r="BN302" t="str">
        <f t="shared" si="83"/>
        <v>u=1%, k=2x10^7</v>
      </c>
      <c r="BO302" t="str">
        <f t="shared" si="84"/>
        <v>u=1%, k=2x10^7, sequential</v>
      </c>
      <c r="BP302">
        <f t="shared" si="85"/>
        <v>0.2274462985</v>
      </c>
      <c r="BQ302">
        <f t="shared" si="86"/>
        <v>3.5061074803333336</v>
      </c>
      <c r="BR302">
        <f t="shared" si="87"/>
        <v>0.32513768358333334</v>
      </c>
      <c r="BS302">
        <f t="shared" si="88"/>
        <v>0.20862329587499998</v>
      </c>
      <c r="BT302">
        <f t="shared" si="89"/>
        <v>8.7199336333333335E-2</v>
      </c>
      <c r="BU302">
        <f t="shared" si="90"/>
        <v>56.064897956249993</v>
      </c>
    </row>
    <row r="303" spans="1:73">
      <c r="A303" t="s">
        <v>983</v>
      </c>
      <c r="B303" t="s">
        <v>136</v>
      </c>
      <c r="C303">
        <v>72</v>
      </c>
      <c r="D303" t="s">
        <v>56</v>
      </c>
      <c r="E303" t="s">
        <v>53</v>
      </c>
      <c r="F303" t="s">
        <v>54</v>
      </c>
      <c r="G303">
        <v>60000</v>
      </c>
      <c r="H303">
        <v>0.5</v>
      </c>
      <c r="I303">
        <v>0.5</v>
      </c>
      <c r="J303">
        <v>0</v>
      </c>
      <c r="K303">
        <v>1</v>
      </c>
      <c r="L303">
        <v>20000000</v>
      </c>
      <c r="M303">
        <v>48</v>
      </c>
      <c r="N303">
        <v>48</v>
      </c>
      <c r="O303">
        <v>48</v>
      </c>
      <c r="P303">
        <v>0</v>
      </c>
      <c r="Q303" t="s">
        <v>55</v>
      </c>
      <c r="R303">
        <v>100003493402096</v>
      </c>
      <c r="S303">
        <v>9999931</v>
      </c>
      <c r="T303">
        <v>100003493402096</v>
      </c>
      <c r="U303">
        <v>9999931</v>
      </c>
      <c r="V303" t="s">
        <v>63</v>
      </c>
      <c r="W303">
        <v>7</v>
      </c>
      <c r="X303">
        <v>1906741</v>
      </c>
      <c r="Y303">
        <v>12036004</v>
      </c>
      <c r="Z303">
        <v>13942745</v>
      </c>
      <c r="AA303">
        <v>9999931</v>
      </c>
      <c r="AB303">
        <v>7.3123399999999998</v>
      </c>
      <c r="AC303">
        <v>0.83083499999999999</v>
      </c>
      <c r="AD303">
        <v>4.0560400000000003</v>
      </c>
      <c r="AE303">
        <v>345152976</v>
      </c>
      <c r="AF303" t="s">
        <v>984</v>
      </c>
      <c r="AG303" t="s">
        <v>985</v>
      </c>
      <c r="AI303">
        <v>285762</v>
      </c>
      <c r="AJ303">
        <v>2873122348743</v>
      </c>
      <c r="AK303">
        <v>10924656951</v>
      </c>
      <c r="AL303">
        <v>286720125310</v>
      </c>
      <c r="AM303">
        <v>16313602108</v>
      </c>
      <c r="AN303">
        <v>11312845367</v>
      </c>
      <c r="AO303">
        <v>4567526653</v>
      </c>
      <c r="AP303">
        <v>3265735859</v>
      </c>
      <c r="AQ303">
        <v>0</v>
      </c>
      <c r="AR303">
        <v>32992358</v>
      </c>
      <c r="AS303">
        <v>3265735859</v>
      </c>
      <c r="AT303">
        <v>3298728217</v>
      </c>
      <c r="AU303">
        <v>54428930</v>
      </c>
      <c r="AV303">
        <v>0</v>
      </c>
      <c r="AW303">
        <v>549872</v>
      </c>
      <c r="AX303">
        <v>54428930</v>
      </c>
      <c r="AY303">
        <v>54978803</v>
      </c>
      <c r="AZ303">
        <v>16.023599999999998</v>
      </c>
      <c r="BA303">
        <v>5.98055</v>
      </c>
      <c r="BB303">
        <v>2430.27</v>
      </c>
      <c r="BC303">
        <v>1490.59</v>
      </c>
      <c r="BD303">
        <v>2795</v>
      </c>
      <c r="BE303">
        <v>197</v>
      </c>
      <c r="BF303">
        <f t="shared" si="81"/>
        <v>59.856715598812507</v>
      </c>
      <c r="BG303" s="31">
        <f t="shared" si="82"/>
        <v>6.8716407581041672</v>
      </c>
      <c r="BH303">
        <f t="shared" si="75"/>
        <v>6</v>
      </c>
      <c r="BI303">
        <f t="shared" si="76"/>
        <v>18634</v>
      </c>
      <c r="BJ303">
        <f t="shared" si="77"/>
        <v>416615</v>
      </c>
      <c r="BK303">
        <f t="shared" si="78"/>
        <v>4689473</v>
      </c>
      <c r="BL303">
        <f t="shared" si="79"/>
        <v>14958</v>
      </c>
      <c r="BM303">
        <f t="shared" si="80"/>
        <v>0</v>
      </c>
      <c r="BN303" t="str">
        <f t="shared" si="83"/>
        <v>u=1%, k=2x10^7</v>
      </c>
      <c r="BO303" t="str">
        <f t="shared" si="84"/>
        <v>u=1%, k=2x10^7, sequential</v>
      </c>
      <c r="BP303">
        <f t="shared" si="85"/>
        <v>0.2275970198125</v>
      </c>
      <c r="BQ303">
        <f t="shared" si="86"/>
        <v>5.9733359439583333</v>
      </c>
      <c r="BR303">
        <f t="shared" si="87"/>
        <v>0.33986671058333334</v>
      </c>
      <c r="BS303">
        <f t="shared" si="88"/>
        <v>0.23568427847916665</v>
      </c>
      <c r="BT303">
        <f t="shared" si="89"/>
        <v>9.5156805270833325E-2</v>
      </c>
      <c r="BU303">
        <f t="shared" si="90"/>
        <v>52.985074840708336</v>
      </c>
    </row>
    <row r="304" spans="1:73">
      <c r="A304" t="s">
        <v>986</v>
      </c>
      <c r="B304" t="s">
        <v>136</v>
      </c>
      <c r="C304">
        <v>72</v>
      </c>
      <c r="D304" t="s">
        <v>56</v>
      </c>
      <c r="E304" t="s">
        <v>53</v>
      </c>
      <c r="F304" t="s">
        <v>54</v>
      </c>
      <c r="G304">
        <v>60000</v>
      </c>
      <c r="H304">
        <v>0.5</v>
      </c>
      <c r="I304">
        <v>0.5</v>
      </c>
      <c r="J304">
        <v>0</v>
      </c>
      <c r="K304">
        <v>1</v>
      </c>
      <c r="L304">
        <v>20000000</v>
      </c>
      <c r="M304">
        <v>96</v>
      </c>
      <c r="N304">
        <v>96</v>
      </c>
      <c r="O304">
        <v>96</v>
      </c>
      <c r="P304">
        <v>0</v>
      </c>
      <c r="Q304" t="s">
        <v>55</v>
      </c>
      <c r="R304">
        <v>99993549916151</v>
      </c>
      <c r="S304">
        <v>9998430</v>
      </c>
      <c r="T304">
        <v>99993549916151</v>
      </c>
      <c r="U304">
        <v>9998430</v>
      </c>
      <c r="V304" t="s">
        <v>63</v>
      </c>
      <c r="W304">
        <v>7</v>
      </c>
      <c r="X304">
        <v>1907508</v>
      </c>
      <c r="Y304">
        <v>12034634</v>
      </c>
      <c r="Z304">
        <v>13942142</v>
      </c>
      <c r="AA304">
        <v>9998430</v>
      </c>
      <c r="AB304">
        <v>7.3090900000000003</v>
      </c>
      <c r="AC304">
        <v>0.83080500000000002</v>
      </c>
      <c r="AD304">
        <v>4.0562800000000001</v>
      </c>
      <c r="AE304">
        <v>345193776</v>
      </c>
      <c r="AF304" t="s">
        <v>987</v>
      </c>
      <c r="AG304" t="s">
        <v>988</v>
      </c>
      <c r="AI304">
        <v>134412</v>
      </c>
      <c r="AJ304">
        <v>5746245106532</v>
      </c>
      <c r="AK304">
        <v>22670485016</v>
      </c>
      <c r="AL304">
        <v>1196625817578</v>
      </c>
      <c r="AM304">
        <v>32890205471</v>
      </c>
      <c r="AN304">
        <v>36505314051</v>
      </c>
      <c r="AO304">
        <v>9383665015</v>
      </c>
      <c r="AP304">
        <v>6242369096</v>
      </c>
      <c r="AQ304">
        <v>0</v>
      </c>
      <c r="AR304">
        <v>63052315</v>
      </c>
      <c r="AS304">
        <v>6242369096</v>
      </c>
      <c r="AT304">
        <v>6305421411</v>
      </c>
      <c r="AU304">
        <v>104039484</v>
      </c>
      <c r="AV304">
        <v>0</v>
      </c>
      <c r="AW304">
        <v>1050871</v>
      </c>
      <c r="AX304">
        <v>104039484</v>
      </c>
      <c r="AY304">
        <v>105090356</v>
      </c>
      <c r="AZ304">
        <v>16.007300000000001</v>
      </c>
      <c r="BA304">
        <v>6.3816300000000004</v>
      </c>
      <c r="BB304">
        <v>2528.44</v>
      </c>
      <c r="BC304">
        <v>1244.32</v>
      </c>
      <c r="BD304">
        <v>3205</v>
      </c>
      <c r="BE304">
        <v>261</v>
      </c>
      <c r="BF304">
        <f t="shared" si="81"/>
        <v>59.856719859708335</v>
      </c>
      <c r="BG304" s="31">
        <f t="shared" si="82"/>
        <v>13.521619657614584</v>
      </c>
      <c r="BH304">
        <f t="shared" si="75"/>
        <v>12</v>
      </c>
      <c r="BI304">
        <f t="shared" si="76"/>
        <v>37951</v>
      </c>
      <c r="BJ304">
        <f t="shared" si="77"/>
        <v>562954</v>
      </c>
      <c r="BK304">
        <f t="shared" si="78"/>
        <v>8658406</v>
      </c>
      <c r="BL304">
        <f t="shared" si="79"/>
        <v>25246</v>
      </c>
      <c r="BM304">
        <f t="shared" si="80"/>
        <v>0</v>
      </c>
      <c r="BN304" t="str">
        <f t="shared" si="83"/>
        <v>u=1%, k=2x10^7</v>
      </c>
      <c r="BO304" t="str">
        <f t="shared" si="84"/>
        <v>u=1%, k=2x10^7, sequential</v>
      </c>
      <c r="BP304">
        <f t="shared" si="85"/>
        <v>0.23615088558333333</v>
      </c>
      <c r="BQ304">
        <f t="shared" si="86"/>
        <v>12.464852266437498</v>
      </c>
      <c r="BR304">
        <f t="shared" si="87"/>
        <v>0.34260630698958333</v>
      </c>
      <c r="BS304">
        <f t="shared" si="88"/>
        <v>0.38026368803124999</v>
      </c>
      <c r="BT304">
        <f t="shared" si="89"/>
        <v>9.7746510572916667E-2</v>
      </c>
      <c r="BU304">
        <f t="shared" si="90"/>
        <v>46.335100202093756</v>
      </c>
    </row>
    <row r="305" spans="1:73">
      <c r="A305" t="s">
        <v>989</v>
      </c>
      <c r="B305" t="s">
        <v>136</v>
      </c>
      <c r="C305">
        <v>72</v>
      </c>
      <c r="D305" t="s">
        <v>56</v>
      </c>
      <c r="E305" t="s">
        <v>53</v>
      </c>
      <c r="F305" t="s">
        <v>54</v>
      </c>
      <c r="G305">
        <v>60000</v>
      </c>
      <c r="H305">
        <v>0.5</v>
      </c>
      <c r="I305">
        <v>0.5</v>
      </c>
      <c r="J305">
        <v>0</v>
      </c>
      <c r="K305">
        <v>1</v>
      </c>
      <c r="L305">
        <v>20000000</v>
      </c>
      <c r="M305">
        <v>144</v>
      </c>
      <c r="N305">
        <v>144</v>
      </c>
      <c r="O305">
        <v>144</v>
      </c>
      <c r="P305">
        <v>0</v>
      </c>
      <c r="Q305" t="s">
        <v>55</v>
      </c>
      <c r="R305">
        <v>100025296836097</v>
      </c>
      <c r="S305">
        <v>10001569</v>
      </c>
      <c r="T305">
        <v>100025296836097</v>
      </c>
      <c r="U305">
        <v>10001569</v>
      </c>
      <c r="V305" t="s">
        <v>63</v>
      </c>
      <c r="W305">
        <v>7</v>
      </c>
      <c r="X305">
        <v>1903141</v>
      </c>
      <c r="Y305">
        <v>12025925</v>
      </c>
      <c r="Z305">
        <v>13929066</v>
      </c>
      <c r="AA305">
        <v>10001569</v>
      </c>
      <c r="AB305">
        <v>7.3189900000000003</v>
      </c>
      <c r="AC305">
        <v>0.83166700000000005</v>
      </c>
      <c r="AD305">
        <v>4.0555199999999996</v>
      </c>
      <c r="AE305">
        <v>344697264</v>
      </c>
      <c r="AF305" t="s">
        <v>990</v>
      </c>
      <c r="AG305" t="s">
        <v>991</v>
      </c>
      <c r="AI305">
        <v>80568</v>
      </c>
      <c r="AJ305">
        <v>8619559684362</v>
      </c>
      <c r="AK305">
        <v>30531586661</v>
      </c>
      <c r="AL305">
        <v>2530173039114</v>
      </c>
      <c r="AM305">
        <v>41093799353</v>
      </c>
      <c r="AN305">
        <v>79377712760</v>
      </c>
      <c r="AO305">
        <v>12865145424</v>
      </c>
      <c r="AP305">
        <v>8179888230</v>
      </c>
      <c r="AQ305">
        <v>0</v>
      </c>
      <c r="AR305">
        <v>82628030</v>
      </c>
      <c r="AS305">
        <v>8179888230</v>
      </c>
      <c r="AT305">
        <v>8262516260</v>
      </c>
      <c r="AU305">
        <v>136331470</v>
      </c>
      <c r="AV305">
        <v>0</v>
      </c>
      <c r="AW305">
        <v>1377133</v>
      </c>
      <c r="AX305">
        <v>136331470</v>
      </c>
      <c r="AY305">
        <v>137708604</v>
      </c>
      <c r="AZ305">
        <v>16.038900000000002</v>
      </c>
      <c r="BA305">
        <v>6.5147700000000004</v>
      </c>
      <c r="BB305">
        <v>2877.43</v>
      </c>
      <c r="BC305">
        <v>1251.6400000000001</v>
      </c>
      <c r="BD305">
        <v>3540</v>
      </c>
      <c r="BE305">
        <v>334</v>
      </c>
      <c r="BF305">
        <f t="shared" si="81"/>
        <v>59.858053363625004</v>
      </c>
      <c r="BG305" s="31">
        <f t="shared" si="82"/>
        <v>18.708620022999998</v>
      </c>
      <c r="BH305">
        <f t="shared" si="75"/>
        <v>16</v>
      </c>
      <c r="BI305">
        <f t="shared" si="76"/>
        <v>50614</v>
      </c>
      <c r="BJ305">
        <f t="shared" si="77"/>
        <v>427904</v>
      </c>
      <c r="BK305">
        <f t="shared" si="78"/>
        <v>11058406</v>
      </c>
      <c r="BL305">
        <f t="shared" si="79"/>
        <v>27875</v>
      </c>
      <c r="BM305">
        <f t="shared" si="80"/>
        <v>0</v>
      </c>
      <c r="BN305" t="str">
        <f t="shared" si="83"/>
        <v>u=1%, k=2x10^7</v>
      </c>
      <c r="BO305" t="str">
        <f t="shared" si="84"/>
        <v>u=1%, k=2x10^7, sequential</v>
      </c>
      <c r="BP305">
        <f t="shared" si="85"/>
        <v>0.21202490736805554</v>
      </c>
      <c r="BQ305">
        <f t="shared" si="86"/>
        <v>17.570646104958332</v>
      </c>
      <c r="BR305">
        <f t="shared" si="87"/>
        <v>0.28537360661805555</v>
      </c>
      <c r="BS305">
        <f t="shared" si="88"/>
        <v>0.55123411638888886</v>
      </c>
      <c r="BT305">
        <f t="shared" si="89"/>
        <v>8.9341287666666658E-2</v>
      </c>
      <c r="BU305">
        <f t="shared" si="90"/>
        <v>41.149433340625009</v>
      </c>
    </row>
    <row r="306" spans="1:73">
      <c r="A306" t="s">
        <v>992</v>
      </c>
      <c r="B306" t="s">
        <v>136</v>
      </c>
      <c r="C306">
        <v>72</v>
      </c>
      <c r="D306" t="s">
        <v>56</v>
      </c>
      <c r="E306" t="s">
        <v>53</v>
      </c>
      <c r="F306" t="s">
        <v>54</v>
      </c>
      <c r="G306">
        <v>60000</v>
      </c>
      <c r="H306">
        <v>0.5</v>
      </c>
      <c r="I306">
        <v>0.5</v>
      </c>
      <c r="J306">
        <v>0</v>
      </c>
      <c r="K306">
        <v>1</v>
      </c>
      <c r="L306">
        <v>20000000</v>
      </c>
      <c r="M306">
        <v>190</v>
      </c>
      <c r="N306">
        <v>190</v>
      </c>
      <c r="O306">
        <v>190</v>
      </c>
      <c r="P306">
        <v>0</v>
      </c>
      <c r="Q306" t="s">
        <v>55</v>
      </c>
      <c r="R306">
        <v>99978300069347</v>
      </c>
      <c r="S306">
        <v>9998134</v>
      </c>
      <c r="T306">
        <v>99978300069347</v>
      </c>
      <c r="U306">
        <v>9998134</v>
      </c>
      <c r="V306" t="s">
        <v>63</v>
      </c>
      <c r="W306">
        <v>7</v>
      </c>
      <c r="X306">
        <v>1625308</v>
      </c>
      <c r="Y306">
        <v>11440100</v>
      </c>
      <c r="Z306">
        <v>13065408</v>
      </c>
      <c r="AA306">
        <v>9998134</v>
      </c>
      <c r="AB306">
        <v>8.0387299999999993</v>
      </c>
      <c r="AC306">
        <v>0.87395500000000004</v>
      </c>
      <c r="AD306">
        <v>4.0000099999999996</v>
      </c>
      <c r="AE306">
        <v>313066224</v>
      </c>
      <c r="AF306" t="s">
        <v>993</v>
      </c>
      <c r="AG306" t="s">
        <v>994</v>
      </c>
      <c r="AI306">
        <v>61830</v>
      </c>
      <c r="AJ306">
        <v>11550447343113</v>
      </c>
      <c r="AK306">
        <v>39866109824</v>
      </c>
      <c r="AL306">
        <v>4143596353646</v>
      </c>
      <c r="AM306">
        <v>50661341173</v>
      </c>
      <c r="AN306">
        <v>103077646733</v>
      </c>
      <c r="AO306">
        <v>16170285530</v>
      </c>
      <c r="AP306">
        <v>9899018534</v>
      </c>
      <c r="AQ306">
        <v>0</v>
      </c>
      <c r="AR306">
        <v>99993112</v>
      </c>
      <c r="AS306">
        <v>9899018534</v>
      </c>
      <c r="AT306">
        <v>9999011646</v>
      </c>
      <c r="AU306">
        <v>164983642</v>
      </c>
      <c r="AV306">
        <v>0</v>
      </c>
      <c r="AW306">
        <v>1666551</v>
      </c>
      <c r="AX306">
        <v>164983642</v>
      </c>
      <c r="AY306">
        <v>166650194</v>
      </c>
      <c r="AZ306">
        <v>16.0794</v>
      </c>
      <c r="BA306">
        <v>6.60114</v>
      </c>
      <c r="BB306">
        <v>3181.26</v>
      </c>
      <c r="BC306">
        <v>1247.5</v>
      </c>
      <c r="BD306">
        <v>4011</v>
      </c>
      <c r="BE306">
        <v>410</v>
      </c>
      <c r="BF306">
        <f t="shared" si="81"/>
        <v>60.79182812164737</v>
      </c>
      <c r="BG306" s="31">
        <f t="shared" si="82"/>
        <v>22.912482825821051</v>
      </c>
      <c r="BH306">
        <f t="shared" ref="BH306:BH366" si="91">getFieldL($AG306,0)</f>
        <v>20</v>
      </c>
      <c r="BI306">
        <f t="shared" ref="BI306:BI366" si="92">getFieldL($AG306,1)</f>
        <v>63262</v>
      </c>
      <c r="BJ306">
        <f t="shared" ref="BJ306:BJ366" si="93">getFieldL($AG306,2)</f>
        <v>532473</v>
      </c>
      <c r="BK306">
        <f t="shared" ref="BK306:BK366" si="94">getFieldL($AG306,3)</f>
        <v>13387798</v>
      </c>
      <c r="BL306">
        <f t="shared" ref="BL306:BL366" si="95">getFieldL($AG306,4)</f>
        <v>33596</v>
      </c>
      <c r="BM306">
        <f t="shared" ref="BM306:BM366" si="96">getFieldL($AG306,5)</f>
        <v>0</v>
      </c>
      <c r="BN306" t="str">
        <f t="shared" si="83"/>
        <v>u=1%, k=2x10^7</v>
      </c>
      <c r="BO306" t="str">
        <f t="shared" si="84"/>
        <v>u=1%, k=2x10^7, sequential</v>
      </c>
      <c r="BP306">
        <f t="shared" si="85"/>
        <v>0.20982163065263157</v>
      </c>
      <c r="BQ306">
        <f t="shared" si="86"/>
        <v>21.80840186129474</v>
      </c>
      <c r="BR306">
        <f t="shared" si="87"/>
        <v>0.26663863775263158</v>
      </c>
      <c r="BS306">
        <f t="shared" si="88"/>
        <v>0.54251393017368421</v>
      </c>
      <c r="BT306">
        <f t="shared" si="89"/>
        <v>8.5106765947368421E-2</v>
      </c>
      <c r="BU306">
        <f t="shared" si="90"/>
        <v>37.879345295826312</v>
      </c>
    </row>
    <row r="307" spans="1:73">
      <c r="A307" t="s">
        <v>995</v>
      </c>
      <c r="B307" t="s">
        <v>136</v>
      </c>
      <c r="C307">
        <v>72</v>
      </c>
      <c r="D307" t="s">
        <v>56</v>
      </c>
      <c r="E307" t="s">
        <v>53</v>
      </c>
      <c r="F307" t="s">
        <v>54</v>
      </c>
      <c r="G307">
        <v>60000</v>
      </c>
      <c r="H307">
        <v>0.5</v>
      </c>
      <c r="I307">
        <v>0.5</v>
      </c>
      <c r="J307">
        <v>0</v>
      </c>
      <c r="K307">
        <v>1</v>
      </c>
      <c r="L307">
        <v>200000000</v>
      </c>
      <c r="M307">
        <v>24</v>
      </c>
      <c r="N307">
        <v>24</v>
      </c>
      <c r="O307">
        <v>24</v>
      </c>
      <c r="P307">
        <v>0</v>
      </c>
      <c r="Q307" t="s">
        <v>55</v>
      </c>
      <c r="R307">
        <v>1.00002344933926E+16</v>
      </c>
      <c r="S307">
        <v>99998372</v>
      </c>
      <c r="T307">
        <v>1.00002344933926E+16</v>
      </c>
      <c r="U307">
        <v>99998372</v>
      </c>
      <c r="V307" t="s">
        <v>63</v>
      </c>
      <c r="W307">
        <v>7</v>
      </c>
      <c r="X307">
        <v>14120248</v>
      </c>
      <c r="Y307">
        <v>116401197</v>
      </c>
      <c r="Z307">
        <v>130521445</v>
      </c>
      <c r="AA307">
        <v>99998372</v>
      </c>
      <c r="AB307">
        <v>9.2435700000000001</v>
      </c>
      <c r="AC307">
        <v>0.85908399999999996</v>
      </c>
      <c r="AD307">
        <v>4.0644</v>
      </c>
      <c r="AE307">
        <v>2994488272</v>
      </c>
      <c r="AF307" t="s">
        <v>996</v>
      </c>
      <c r="AG307" t="s">
        <v>996</v>
      </c>
      <c r="AI307">
        <v>632360</v>
      </c>
      <c r="AJ307">
        <v>1436561319395</v>
      </c>
      <c r="AK307">
        <v>286570121</v>
      </c>
      <c r="AM307">
        <v>816209436</v>
      </c>
      <c r="AN307">
        <v>1732168353</v>
      </c>
      <c r="AO307">
        <v>117104171</v>
      </c>
      <c r="AP307">
        <v>1700508218</v>
      </c>
      <c r="AQ307">
        <v>0</v>
      </c>
      <c r="AR307">
        <v>17173310</v>
      </c>
      <c r="AS307">
        <v>1700508218</v>
      </c>
      <c r="AT307">
        <v>1717681528</v>
      </c>
      <c r="AU307">
        <v>28341803</v>
      </c>
      <c r="AV307">
        <v>0</v>
      </c>
      <c r="AW307">
        <v>286221</v>
      </c>
      <c r="AX307">
        <v>28341803</v>
      </c>
      <c r="AY307">
        <v>28628025</v>
      </c>
      <c r="AZ307">
        <v>18.925599999999999</v>
      </c>
      <c r="BA307">
        <v>8.2611100000000004</v>
      </c>
      <c r="BB307">
        <v>2337.5700000000002</v>
      </c>
      <c r="BC307">
        <v>1746.85</v>
      </c>
      <c r="BD307">
        <v>7484</v>
      </c>
      <c r="BE307">
        <v>1573</v>
      </c>
      <c r="BF307">
        <f t="shared" si="81"/>
        <v>59.856721641458336</v>
      </c>
      <c r="BG307" s="31">
        <f t="shared" si="82"/>
        <v>0.12300217004166668</v>
      </c>
      <c r="BH307">
        <f t="shared" si="91"/>
        <v>0</v>
      </c>
      <c r="BI307">
        <f t="shared" si="92"/>
        <v>0</v>
      </c>
      <c r="BJ307">
        <f t="shared" si="93"/>
        <v>5</v>
      </c>
      <c r="BK307">
        <f t="shared" si="94"/>
        <v>604696</v>
      </c>
      <c r="BL307">
        <f t="shared" si="95"/>
        <v>201201</v>
      </c>
      <c r="BM307">
        <f t="shared" si="96"/>
        <v>0</v>
      </c>
      <c r="BN307" t="str">
        <f t="shared" si="83"/>
        <v>u=1%, k=2x10^8</v>
      </c>
      <c r="BO307" t="str">
        <f t="shared" si="84"/>
        <v>u=1%, k=2x10^8, sequential</v>
      </c>
      <c r="BP307">
        <f t="shared" si="85"/>
        <v>1.1940421708333334E-2</v>
      </c>
      <c r="BQ307">
        <f t="shared" si="86"/>
        <v>0</v>
      </c>
      <c r="BR307">
        <f t="shared" si="87"/>
        <v>3.4008726499999996E-2</v>
      </c>
      <c r="BS307">
        <f t="shared" si="88"/>
        <v>7.2173681375000007E-2</v>
      </c>
      <c r="BT307">
        <f t="shared" si="89"/>
        <v>4.8793404583333333E-3</v>
      </c>
      <c r="BU307">
        <f t="shared" si="90"/>
        <v>59.73371947141667</v>
      </c>
    </row>
    <row r="308" spans="1:73">
      <c r="A308" t="s">
        <v>997</v>
      </c>
      <c r="B308" t="s">
        <v>136</v>
      </c>
      <c r="C308">
        <v>72</v>
      </c>
      <c r="D308" t="s">
        <v>56</v>
      </c>
      <c r="E308" t="s">
        <v>53</v>
      </c>
      <c r="F308" t="s">
        <v>54</v>
      </c>
      <c r="G308">
        <v>60000</v>
      </c>
      <c r="H308">
        <v>0.5</v>
      </c>
      <c r="I308">
        <v>0.5</v>
      </c>
      <c r="J308">
        <v>0</v>
      </c>
      <c r="K308">
        <v>1</v>
      </c>
      <c r="L308">
        <v>200000000</v>
      </c>
      <c r="M308">
        <v>48</v>
      </c>
      <c r="N308">
        <v>48</v>
      </c>
      <c r="O308">
        <v>48</v>
      </c>
      <c r="P308">
        <v>0</v>
      </c>
      <c r="Q308" t="s">
        <v>55</v>
      </c>
      <c r="R308">
        <v>1.00001589098589E+16</v>
      </c>
      <c r="S308">
        <v>99994309</v>
      </c>
      <c r="T308">
        <v>1.00001589098589E+16</v>
      </c>
      <c r="U308">
        <v>99994309</v>
      </c>
      <c r="V308" t="s">
        <v>63</v>
      </c>
      <c r="W308">
        <v>7</v>
      </c>
      <c r="X308">
        <v>14926803</v>
      </c>
      <c r="Y308">
        <v>118211751</v>
      </c>
      <c r="Z308">
        <v>133138554</v>
      </c>
      <c r="AA308">
        <v>99994309</v>
      </c>
      <c r="AB308">
        <v>8.9194300000000002</v>
      </c>
      <c r="AC308">
        <v>0.84589099999999995</v>
      </c>
      <c r="AD308">
        <v>4.0818000000000003</v>
      </c>
      <c r="AE308">
        <v>3089732304</v>
      </c>
      <c r="AF308" t="s">
        <v>998</v>
      </c>
      <c r="AG308" t="s">
        <v>998</v>
      </c>
      <c r="AI308">
        <v>272504</v>
      </c>
      <c r="AJ308">
        <v>2873122856883</v>
      </c>
      <c r="AK308">
        <v>1454818455</v>
      </c>
      <c r="AL308">
        <v>1688</v>
      </c>
      <c r="AM308">
        <v>3523764711</v>
      </c>
      <c r="AN308">
        <v>5554809015</v>
      </c>
      <c r="AO308">
        <v>602014811</v>
      </c>
      <c r="AP308">
        <v>2989770438</v>
      </c>
      <c r="AQ308">
        <v>0</v>
      </c>
      <c r="AR308">
        <v>30211154</v>
      </c>
      <c r="AS308">
        <v>2989770438</v>
      </c>
      <c r="AT308">
        <v>3019981592</v>
      </c>
      <c r="AU308">
        <v>49829507</v>
      </c>
      <c r="AV308">
        <v>0</v>
      </c>
      <c r="AW308">
        <v>503519</v>
      </c>
      <c r="AX308">
        <v>49829507</v>
      </c>
      <c r="AY308">
        <v>50333026</v>
      </c>
      <c r="AZ308">
        <v>19.038699999999999</v>
      </c>
      <c r="BA308">
        <v>8.36998</v>
      </c>
      <c r="BB308">
        <v>2657.25</v>
      </c>
      <c r="BC308">
        <v>1984.68</v>
      </c>
      <c r="BD308">
        <v>7815</v>
      </c>
      <c r="BE308">
        <v>1287</v>
      </c>
      <c r="BF308">
        <f t="shared" si="81"/>
        <v>59.856726185062506</v>
      </c>
      <c r="BG308" s="31">
        <f t="shared" si="82"/>
        <v>0.23198768083333332</v>
      </c>
      <c r="BH308">
        <f t="shared" si="91"/>
        <v>0</v>
      </c>
      <c r="BI308">
        <f t="shared" si="92"/>
        <v>0</v>
      </c>
      <c r="BJ308">
        <f t="shared" si="93"/>
        <v>15088</v>
      </c>
      <c r="BK308">
        <f t="shared" si="94"/>
        <v>2039490</v>
      </c>
      <c r="BL308">
        <f t="shared" si="95"/>
        <v>422061</v>
      </c>
      <c r="BM308">
        <f t="shared" si="96"/>
        <v>0</v>
      </c>
      <c r="BN308" t="str">
        <f t="shared" si="83"/>
        <v>u=1%, k=2x10^8</v>
      </c>
      <c r="BO308" t="str">
        <f t="shared" si="84"/>
        <v>u=1%, k=2x10^8, sequential</v>
      </c>
      <c r="BP308">
        <f t="shared" si="85"/>
        <v>3.03087178125E-2</v>
      </c>
      <c r="BQ308">
        <f t="shared" si="86"/>
        <v>3.5166666666666664E-8</v>
      </c>
      <c r="BR308">
        <f t="shared" si="87"/>
        <v>7.3411764812500002E-2</v>
      </c>
      <c r="BS308">
        <f t="shared" si="88"/>
        <v>0.1157251878125</v>
      </c>
      <c r="BT308">
        <f t="shared" si="89"/>
        <v>1.2541975229166667E-2</v>
      </c>
      <c r="BU308">
        <f t="shared" si="90"/>
        <v>59.624738504229171</v>
      </c>
    </row>
    <row r="309" spans="1:73">
      <c r="A309" t="s">
        <v>999</v>
      </c>
      <c r="B309" t="s">
        <v>136</v>
      </c>
      <c r="C309">
        <v>72</v>
      </c>
      <c r="D309" t="s">
        <v>56</v>
      </c>
      <c r="E309" t="s">
        <v>53</v>
      </c>
      <c r="F309" t="s">
        <v>54</v>
      </c>
      <c r="G309">
        <v>60000</v>
      </c>
      <c r="H309">
        <v>0.5</v>
      </c>
      <c r="I309">
        <v>0.5</v>
      </c>
      <c r="J309">
        <v>0</v>
      </c>
      <c r="K309">
        <v>1</v>
      </c>
      <c r="L309">
        <v>200000000</v>
      </c>
      <c r="M309">
        <v>96</v>
      </c>
      <c r="N309">
        <v>96</v>
      </c>
      <c r="O309">
        <v>96</v>
      </c>
      <c r="P309">
        <v>0</v>
      </c>
      <c r="Q309" t="s">
        <v>55</v>
      </c>
      <c r="R309">
        <v>9999823223602580</v>
      </c>
      <c r="S309">
        <v>99994796</v>
      </c>
      <c r="T309">
        <v>9999823223602580</v>
      </c>
      <c r="U309">
        <v>99994796</v>
      </c>
      <c r="V309" t="s">
        <v>63</v>
      </c>
      <c r="W309">
        <v>7</v>
      </c>
      <c r="X309">
        <v>11199011</v>
      </c>
      <c r="Y309">
        <v>110373323</v>
      </c>
      <c r="Z309">
        <v>121572334</v>
      </c>
      <c r="AA309">
        <v>99994796</v>
      </c>
      <c r="AB309">
        <v>10.855600000000001</v>
      </c>
      <c r="AC309">
        <v>0.90596900000000002</v>
      </c>
      <c r="AD309">
        <v>4.0037900000000004</v>
      </c>
      <c r="AE309">
        <v>2661905360</v>
      </c>
      <c r="AF309" t="s">
        <v>1000</v>
      </c>
      <c r="AG309" t="s">
        <v>1001</v>
      </c>
      <c r="AI309">
        <v>106510</v>
      </c>
      <c r="AJ309">
        <v>5769507401064</v>
      </c>
      <c r="AK309">
        <v>19270667417</v>
      </c>
      <c r="AL309">
        <v>810151501008</v>
      </c>
      <c r="AM309">
        <v>32934434920</v>
      </c>
      <c r="AN309">
        <v>58386615570</v>
      </c>
      <c r="AO309">
        <v>7798823369</v>
      </c>
      <c r="AP309">
        <v>5024237463</v>
      </c>
      <c r="AQ309">
        <v>0</v>
      </c>
      <c r="AR309">
        <v>50752014</v>
      </c>
      <c r="AS309">
        <v>5024237463</v>
      </c>
      <c r="AT309">
        <v>5074989477</v>
      </c>
      <c r="AU309">
        <v>83737291</v>
      </c>
      <c r="AV309">
        <v>0</v>
      </c>
      <c r="AW309">
        <v>845866</v>
      </c>
      <c r="AX309">
        <v>83737291</v>
      </c>
      <c r="AY309">
        <v>84583157</v>
      </c>
      <c r="AZ309">
        <v>19.377199999999998</v>
      </c>
      <c r="BA309">
        <v>9.3450699999999998</v>
      </c>
      <c r="BB309">
        <v>3144.14</v>
      </c>
      <c r="BC309">
        <v>1954.61</v>
      </c>
      <c r="BD309">
        <v>11550</v>
      </c>
      <c r="BE309">
        <v>1086</v>
      </c>
      <c r="BF309">
        <f t="shared" si="81"/>
        <v>60.099035427750003</v>
      </c>
      <c r="BG309" s="31">
        <f t="shared" si="82"/>
        <v>9.6723129404583332</v>
      </c>
      <c r="BH309">
        <f t="shared" si="91"/>
        <v>1</v>
      </c>
      <c r="BI309">
        <f t="shared" si="92"/>
        <v>9927</v>
      </c>
      <c r="BJ309">
        <f t="shared" si="93"/>
        <v>395127</v>
      </c>
      <c r="BK309">
        <f t="shared" si="94"/>
        <v>3999531</v>
      </c>
      <c r="BL309">
        <f t="shared" si="95"/>
        <v>673322</v>
      </c>
      <c r="BM309">
        <f t="shared" si="96"/>
        <v>0</v>
      </c>
      <c r="BN309" t="str">
        <f t="shared" si="83"/>
        <v>u=1%, k=2x10^8</v>
      </c>
      <c r="BO309" t="str">
        <f t="shared" si="84"/>
        <v>u=1%, k=2x10^8, sequential</v>
      </c>
      <c r="BP309">
        <f t="shared" si="85"/>
        <v>0.20073611892708332</v>
      </c>
      <c r="BQ309">
        <f t="shared" si="86"/>
        <v>8.4390781354999991</v>
      </c>
      <c r="BR309">
        <f t="shared" si="87"/>
        <v>0.3430670304166667</v>
      </c>
      <c r="BS309">
        <f t="shared" si="88"/>
        <v>0.60819391218749996</v>
      </c>
      <c r="BT309">
        <f t="shared" si="89"/>
        <v>8.1237743427083328E-2</v>
      </c>
      <c r="BU309">
        <f t="shared" si="90"/>
        <v>50.42672248729167</v>
      </c>
    </row>
    <row r="310" spans="1:73">
      <c r="A310" t="s">
        <v>1002</v>
      </c>
      <c r="B310" t="s">
        <v>136</v>
      </c>
      <c r="C310">
        <v>72</v>
      </c>
      <c r="D310" t="s">
        <v>56</v>
      </c>
      <c r="E310" t="s">
        <v>53</v>
      </c>
      <c r="F310" t="s">
        <v>54</v>
      </c>
      <c r="G310">
        <v>60000</v>
      </c>
      <c r="H310">
        <v>0.5</v>
      </c>
      <c r="I310">
        <v>0.5</v>
      </c>
      <c r="J310">
        <v>0</v>
      </c>
      <c r="K310">
        <v>1</v>
      </c>
      <c r="L310">
        <v>200000000</v>
      </c>
      <c r="M310">
        <v>144</v>
      </c>
      <c r="N310">
        <v>144</v>
      </c>
      <c r="O310">
        <v>144</v>
      </c>
      <c r="P310">
        <v>0</v>
      </c>
      <c r="Q310" t="s">
        <v>55</v>
      </c>
      <c r="R310">
        <v>9999603079686040</v>
      </c>
      <c r="S310">
        <v>99997645</v>
      </c>
      <c r="T310">
        <v>9999603079686040</v>
      </c>
      <c r="U310">
        <v>99997645</v>
      </c>
      <c r="V310" t="s">
        <v>63</v>
      </c>
      <c r="W310">
        <v>7</v>
      </c>
      <c r="X310">
        <v>14736101</v>
      </c>
      <c r="Y310">
        <v>117760606</v>
      </c>
      <c r="Z310">
        <v>132496707</v>
      </c>
      <c r="AA310">
        <v>99997645</v>
      </c>
      <c r="AB310">
        <v>8.9913000000000007</v>
      </c>
      <c r="AC310">
        <v>0.84916000000000003</v>
      </c>
      <c r="AD310">
        <v>4.0777200000000002</v>
      </c>
      <c r="AE310">
        <v>3066675936</v>
      </c>
      <c r="AF310" t="s">
        <v>1003</v>
      </c>
      <c r="AG310" t="s">
        <v>1004</v>
      </c>
      <c r="AI310">
        <v>73080</v>
      </c>
      <c r="AJ310">
        <v>8637928819513</v>
      </c>
      <c r="AK310">
        <v>20624930129</v>
      </c>
      <c r="AL310">
        <v>1241895604604</v>
      </c>
      <c r="AM310">
        <v>31123630412</v>
      </c>
      <c r="AN310">
        <v>78513707321</v>
      </c>
      <c r="AO310">
        <v>9014766158</v>
      </c>
      <c r="AP310">
        <v>7426810041</v>
      </c>
      <c r="AQ310">
        <v>0</v>
      </c>
      <c r="AR310">
        <v>75024080</v>
      </c>
      <c r="AS310">
        <v>7426810041</v>
      </c>
      <c r="AT310">
        <v>7501834121</v>
      </c>
      <c r="AU310">
        <v>123780167</v>
      </c>
      <c r="AV310">
        <v>0</v>
      </c>
      <c r="AW310">
        <v>1250401</v>
      </c>
      <c r="AX310">
        <v>123780167</v>
      </c>
      <c r="AY310">
        <v>125030568</v>
      </c>
      <c r="AZ310">
        <v>19.316600000000001</v>
      </c>
      <c r="BA310">
        <v>9.4450199999999995</v>
      </c>
      <c r="BB310">
        <v>3169.3</v>
      </c>
      <c r="BC310">
        <v>1949.05</v>
      </c>
      <c r="BD310">
        <v>13518</v>
      </c>
      <c r="BE310">
        <v>1054</v>
      </c>
      <c r="BF310">
        <f t="shared" si="81"/>
        <v>59.98561680217361</v>
      </c>
      <c r="BG310" s="31">
        <f t="shared" si="82"/>
        <v>9.5914766571111105</v>
      </c>
      <c r="BH310">
        <f t="shared" si="91"/>
        <v>1</v>
      </c>
      <c r="BI310">
        <f t="shared" si="92"/>
        <v>9998</v>
      </c>
      <c r="BJ310">
        <f t="shared" si="93"/>
        <v>351091</v>
      </c>
      <c r="BK310">
        <f t="shared" si="94"/>
        <v>5294472</v>
      </c>
      <c r="BL310">
        <f t="shared" si="95"/>
        <v>1001005</v>
      </c>
      <c r="BM310">
        <f t="shared" si="96"/>
        <v>0</v>
      </c>
      <c r="BN310" t="str">
        <f t="shared" si="83"/>
        <v>u=1%, k=2x10^8</v>
      </c>
      <c r="BO310" t="str">
        <f t="shared" si="84"/>
        <v>u=1%, k=2x10^8, sequential</v>
      </c>
      <c r="BP310">
        <f t="shared" si="85"/>
        <v>0.1432286814513889</v>
      </c>
      <c r="BQ310">
        <f t="shared" si="86"/>
        <v>8.624275031972223</v>
      </c>
      <c r="BR310">
        <f t="shared" si="87"/>
        <v>0.21613632230555557</v>
      </c>
      <c r="BS310">
        <f t="shared" si="88"/>
        <v>0.54523407861805551</v>
      </c>
      <c r="BT310">
        <f t="shared" si="89"/>
        <v>6.2602542763888894E-2</v>
      </c>
      <c r="BU310">
        <f t="shared" si="90"/>
        <v>50.394140145062501</v>
      </c>
    </row>
    <row r="311" spans="1:73">
      <c r="A311" t="s">
        <v>1005</v>
      </c>
      <c r="B311" t="s">
        <v>136</v>
      </c>
      <c r="C311">
        <v>72</v>
      </c>
      <c r="D311" t="s">
        <v>56</v>
      </c>
      <c r="E311" t="s">
        <v>53</v>
      </c>
      <c r="F311" t="s">
        <v>54</v>
      </c>
      <c r="G311">
        <v>60000</v>
      </c>
      <c r="H311">
        <v>0.5</v>
      </c>
      <c r="I311">
        <v>0.5</v>
      </c>
      <c r="J311">
        <v>0</v>
      </c>
      <c r="K311">
        <v>1</v>
      </c>
      <c r="L311">
        <v>200000000</v>
      </c>
      <c r="M311">
        <v>190</v>
      </c>
      <c r="N311">
        <v>190</v>
      </c>
      <c r="O311">
        <v>190</v>
      </c>
      <c r="P311">
        <v>0</v>
      </c>
      <c r="Q311" t="s">
        <v>55</v>
      </c>
      <c r="R311">
        <v>1.00008574893393E+16</v>
      </c>
      <c r="S311">
        <v>100007904</v>
      </c>
      <c r="T311">
        <v>1.00008574893393E+16</v>
      </c>
      <c r="U311">
        <v>100007904</v>
      </c>
      <c r="V311" t="s">
        <v>63</v>
      </c>
      <c r="W311">
        <v>7</v>
      </c>
      <c r="X311">
        <v>12373303</v>
      </c>
      <c r="Y311">
        <v>112766175</v>
      </c>
      <c r="Z311">
        <v>125139478</v>
      </c>
      <c r="AA311">
        <v>100007904</v>
      </c>
      <c r="AB311">
        <v>10.1137</v>
      </c>
      <c r="AC311">
        <v>0.88686100000000001</v>
      </c>
      <c r="AD311">
        <v>4.0263099999999996</v>
      </c>
      <c r="AE311">
        <v>2795330096</v>
      </c>
      <c r="AF311" t="s">
        <v>1006</v>
      </c>
      <c r="AG311" t="s">
        <v>1007</v>
      </c>
      <c r="AI311">
        <v>57154</v>
      </c>
      <c r="AJ311">
        <v>11414306421529</v>
      </c>
      <c r="AK311">
        <v>31785652408</v>
      </c>
      <c r="AL311">
        <v>1639294366538</v>
      </c>
      <c r="AM311">
        <v>45693009422</v>
      </c>
      <c r="AN311">
        <v>353645522299</v>
      </c>
      <c r="AO311">
        <v>12756420309</v>
      </c>
      <c r="AP311">
        <v>9504937349</v>
      </c>
      <c r="AQ311">
        <v>0</v>
      </c>
      <c r="AR311">
        <v>96021152</v>
      </c>
      <c r="AS311">
        <v>9504937349</v>
      </c>
      <c r="AT311">
        <v>9600958501</v>
      </c>
      <c r="AU311">
        <v>158415622</v>
      </c>
      <c r="AV311">
        <v>0</v>
      </c>
      <c r="AW311">
        <v>1600352</v>
      </c>
      <c r="AX311">
        <v>158415622</v>
      </c>
      <c r="AY311">
        <v>160015975</v>
      </c>
      <c r="AZ311">
        <v>19.3781</v>
      </c>
      <c r="BA311">
        <v>9.6331600000000002</v>
      </c>
      <c r="BB311">
        <v>3211.91</v>
      </c>
      <c r="BC311">
        <v>1965.45</v>
      </c>
      <c r="BD311">
        <v>13526</v>
      </c>
      <c r="BE311">
        <v>1148</v>
      </c>
      <c r="BF311">
        <f t="shared" si="81"/>
        <v>60.075296955415787</v>
      </c>
      <c r="BG311" s="31">
        <f t="shared" si="82"/>
        <v>10.964078794610527</v>
      </c>
      <c r="BH311">
        <f t="shared" si="91"/>
        <v>1</v>
      </c>
      <c r="BI311">
        <f t="shared" si="92"/>
        <v>16788</v>
      </c>
      <c r="BJ311">
        <f t="shared" si="93"/>
        <v>677248</v>
      </c>
      <c r="BK311">
        <f t="shared" si="94"/>
        <v>7725474</v>
      </c>
      <c r="BL311">
        <f t="shared" si="95"/>
        <v>1305865</v>
      </c>
      <c r="BM311">
        <f t="shared" si="96"/>
        <v>0</v>
      </c>
      <c r="BN311" t="str">
        <f t="shared" si="83"/>
        <v>u=1%, k=2x10^8</v>
      </c>
      <c r="BO311" t="str">
        <f t="shared" si="84"/>
        <v>u=1%, k=2x10^8, sequential</v>
      </c>
      <c r="BP311">
        <f t="shared" si="85"/>
        <v>0.16729290741052633</v>
      </c>
      <c r="BQ311">
        <f t="shared" si="86"/>
        <v>8.627865087042105</v>
      </c>
      <c r="BR311">
        <f t="shared" si="87"/>
        <v>0.24048952327368422</v>
      </c>
      <c r="BS311">
        <f t="shared" si="88"/>
        <v>1.8612922226263158</v>
      </c>
      <c r="BT311">
        <f t="shared" si="89"/>
        <v>6.7139054257894737E-2</v>
      </c>
      <c r="BU311">
        <f t="shared" si="90"/>
        <v>49.111218160805258</v>
      </c>
    </row>
    <row r="312" spans="1:73">
      <c r="A312" t="s">
        <v>1008</v>
      </c>
      <c r="B312" t="s">
        <v>136</v>
      </c>
      <c r="C312">
        <v>72</v>
      </c>
      <c r="D312" t="s">
        <v>56</v>
      </c>
      <c r="E312" t="s">
        <v>53</v>
      </c>
      <c r="F312" t="s">
        <v>54</v>
      </c>
      <c r="G312">
        <v>60000</v>
      </c>
      <c r="H312">
        <v>0.5</v>
      </c>
      <c r="I312">
        <v>0.5</v>
      </c>
      <c r="J312">
        <v>0</v>
      </c>
      <c r="K312">
        <v>1</v>
      </c>
      <c r="L312">
        <v>2000000000</v>
      </c>
      <c r="M312">
        <v>24</v>
      </c>
      <c r="N312">
        <v>24</v>
      </c>
      <c r="O312">
        <v>24</v>
      </c>
      <c r="P312">
        <v>0</v>
      </c>
      <c r="Q312" t="s">
        <v>55</v>
      </c>
      <c r="R312">
        <v>9.9999057004234304E+17</v>
      </c>
      <c r="S312">
        <v>1000002693</v>
      </c>
      <c r="T312">
        <v>9.9999057004234304E+17</v>
      </c>
      <c r="U312">
        <v>1000002693</v>
      </c>
      <c r="V312" t="s">
        <v>63</v>
      </c>
      <c r="W312">
        <v>7</v>
      </c>
      <c r="X312">
        <v>87191096</v>
      </c>
      <c r="Y312">
        <v>1084264182</v>
      </c>
      <c r="Z312">
        <v>1171455278</v>
      </c>
      <c r="AA312">
        <v>1000002693</v>
      </c>
      <c r="AB312">
        <v>13.435499999999999</v>
      </c>
      <c r="AC312">
        <v>0.92228699999999997</v>
      </c>
      <c r="AD312">
        <v>4.0054699999999999</v>
      </c>
      <c r="AE312">
        <v>24323748864</v>
      </c>
      <c r="AF312" t="s">
        <v>1009</v>
      </c>
      <c r="AG312" t="s">
        <v>1009</v>
      </c>
      <c r="AI312">
        <v>404076</v>
      </c>
      <c r="AJ312">
        <v>1436561491880</v>
      </c>
      <c r="AK312">
        <v>5673541</v>
      </c>
      <c r="AM312">
        <v>24495130</v>
      </c>
      <c r="AN312">
        <v>808491077</v>
      </c>
      <c r="AO312">
        <v>1610838</v>
      </c>
      <c r="AP312">
        <v>1089278841</v>
      </c>
      <c r="AQ312">
        <v>0</v>
      </c>
      <c r="AR312">
        <v>10998929</v>
      </c>
      <c r="AS312">
        <v>1089278841</v>
      </c>
      <c r="AT312">
        <v>1100277770</v>
      </c>
      <c r="AU312">
        <v>18154647</v>
      </c>
      <c r="AV312">
        <v>0</v>
      </c>
      <c r="AW312">
        <v>183315</v>
      </c>
      <c r="AX312">
        <v>18154647</v>
      </c>
      <c r="AY312">
        <v>18337962</v>
      </c>
      <c r="AZ312">
        <v>22.048200000000001</v>
      </c>
      <c r="BA312">
        <v>12.869</v>
      </c>
      <c r="BB312">
        <v>3648.33</v>
      </c>
      <c r="BC312">
        <v>2910.3</v>
      </c>
      <c r="BD312">
        <v>59443</v>
      </c>
      <c r="BE312">
        <v>16530</v>
      </c>
      <c r="BF312">
        <f t="shared" si="81"/>
        <v>59.856728828333331</v>
      </c>
      <c r="BG312" s="31">
        <f t="shared" si="82"/>
        <v>3.5011274416666668E-2</v>
      </c>
      <c r="BH312">
        <f t="shared" si="91"/>
        <v>0</v>
      </c>
      <c r="BI312">
        <f t="shared" si="92"/>
        <v>0</v>
      </c>
      <c r="BJ312">
        <f t="shared" si="93"/>
        <v>0</v>
      </c>
      <c r="BK312">
        <f t="shared" si="94"/>
        <v>1334</v>
      </c>
      <c r="BL312">
        <f t="shared" si="95"/>
        <v>14733</v>
      </c>
      <c r="BM312">
        <f t="shared" si="96"/>
        <v>0</v>
      </c>
      <c r="BN312" t="str">
        <f t="shared" si="83"/>
        <v>u=1%, k=2x10^9</v>
      </c>
      <c r="BO312" t="str">
        <f t="shared" si="84"/>
        <v>u=1%, k=2x10^9, sequential</v>
      </c>
      <c r="BP312">
        <f t="shared" si="85"/>
        <v>2.3639754166666666E-4</v>
      </c>
      <c r="BQ312">
        <f t="shared" si="86"/>
        <v>0</v>
      </c>
      <c r="BR312">
        <f t="shared" si="87"/>
        <v>1.0206304166666667E-3</v>
      </c>
      <c r="BS312">
        <f t="shared" si="88"/>
        <v>3.3687128208333333E-2</v>
      </c>
      <c r="BT312">
        <f t="shared" si="89"/>
        <v>6.7118250000000007E-5</v>
      </c>
      <c r="BU312">
        <f t="shared" si="90"/>
        <v>59.821717553916663</v>
      </c>
    </row>
    <row r="313" spans="1:73">
      <c r="A313" t="s">
        <v>1010</v>
      </c>
      <c r="B313" t="s">
        <v>136</v>
      </c>
      <c r="C313">
        <v>72</v>
      </c>
      <c r="D313" t="s">
        <v>56</v>
      </c>
      <c r="E313" t="s">
        <v>53</v>
      </c>
      <c r="F313" t="s">
        <v>54</v>
      </c>
      <c r="G313">
        <v>60000</v>
      </c>
      <c r="H313">
        <v>0.5</v>
      </c>
      <c r="I313">
        <v>0.5</v>
      </c>
      <c r="J313">
        <v>0</v>
      </c>
      <c r="K313">
        <v>1</v>
      </c>
      <c r="L313">
        <v>2000000000</v>
      </c>
      <c r="M313">
        <v>48</v>
      </c>
      <c r="N313">
        <v>48</v>
      </c>
      <c r="O313">
        <v>48</v>
      </c>
      <c r="P313">
        <v>0</v>
      </c>
      <c r="Q313" t="s">
        <v>55</v>
      </c>
      <c r="R313">
        <v>9.9999022611892096E+17</v>
      </c>
      <c r="S313">
        <v>1000002432</v>
      </c>
      <c r="T313">
        <v>9.9999022611892096E+17</v>
      </c>
      <c r="U313">
        <v>1000002432</v>
      </c>
      <c r="V313" t="s">
        <v>63</v>
      </c>
      <c r="W313">
        <v>7</v>
      </c>
      <c r="X313">
        <v>89402940</v>
      </c>
      <c r="Y313">
        <v>1088706097</v>
      </c>
      <c r="Z313">
        <v>1178109037</v>
      </c>
      <c r="AA313">
        <v>1000002432</v>
      </c>
      <c r="AB313">
        <v>13.1775</v>
      </c>
      <c r="AC313">
        <v>0.91852400000000001</v>
      </c>
      <c r="AD313">
        <v>4.0099499999999999</v>
      </c>
      <c r="AE313">
        <v>24572296240</v>
      </c>
      <c r="AF313" t="s">
        <v>1011</v>
      </c>
      <c r="AG313" t="s">
        <v>1011</v>
      </c>
      <c r="AI313">
        <v>180730</v>
      </c>
      <c r="AJ313">
        <v>2873122984920</v>
      </c>
      <c r="AK313">
        <v>30218319</v>
      </c>
      <c r="AM313">
        <v>113818193</v>
      </c>
      <c r="AN313">
        <v>2527233587</v>
      </c>
      <c r="AO313">
        <v>9530466</v>
      </c>
      <c r="AP313">
        <v>1988682186</v>
      </c>
      <c r="AQ313">
        <v>0</v>
      </c>
      <c r="AR313">
        <v>20082488</v>
      </c>
      <c r="AS313">
        <v>1988682186</v>
      </c>
      <c r="AT313">
        <v>2008764674</v>
      </c>
      <c r="AU313">
        <v>33144703</v>
      </c>
      <c r="AV313">
        <v>0</v>
      </c>
      <c r="AW313">
        <v>334708</v>
      </c>
      <c r="AX313">
        <v>33144703</v>
      </c>
      <c r="AY313">
        <v>33479411</v>
      </c>
      <c r="AZ313">
        <v>21.982299999999999</v>
      </c>
      <c r="BA313">
        <v>12.918699999999999</v>
      </c>
      <c r="BB313">
        <v>3996.32</v>
      </c>
      <c r="BC313">
        <v>3332.31</v>
      </c>
      <c r="BD313">
        <v>59813</v>
      </c>
      <c r="BE313">
        <v>12106</v>
      </c>
      <c r="BF313">
        <f t="shared" si="81"/>
        <v>59.856728852499998</v>
      </c>
      <c r="BG313" s="31">
        <f t="shared" si="82"/>
        <v>5.585001177083334E-2</v>
      </c>
      <c r="BH313">
        <f t="shared" si="91"/>
        <v>0</v>
      </c>
      <c r="BI313">
        <f t="shared" si="92"/>
        <v>0</v>
      </c>
      <c r="BJ313">
        <f t="shared" si="93"/>
        <v>0</v>
      </c>
      <c r="BK313">
        <f t="shared" si="94"/>
        <v>8132</v>
      </c>
      <c r="BL313">
        <f t="shared" si="95"/>
        <v>48456</v>
      </c>
      <c r="BM313">
        <f t="shared" si="96"/>
        <v>0</v>
      </c>
      <c r="BN313" t="str">
        <f t="shared" si="83"/>
        <v>u=1%, k=2x10^9</v>
      </c>
      <c r="BO313" t="str">
        <f t="shared" si="84"/>
        <v>u=1%, k=2x10^9, sequential</v>
      </c>
      <c r="BP313">
        <f t="shared" si="85"/>
        <v>6.2954831250000001E-4</v>
      </c>
      <c r="BQ313">
        <f t="shared" si="86"/>
        <v>0</v>
      </c>
      <c r="BR313">
        <f t="shared" si="87"/>
        <v>2.3712123541666666E-3</v>
      </c>
      <c r="BS313">
        <f t="shared" si="88"/>
        <v>5.2650699729166667E-2</v>
      </c>
      <c r="BT313">
        <f t="shared" si="89"/>
        <v>1.9855137499999998E-4</v>
      </c>
      <c r="BU313">
        <f t="shared" si="90"/>
        <v>59.800878840729162</v>
      </c>
    </row>
    <row r="314" spans="1:73">
      <c r="A314" t="s">
        <v>1012</v>
      </c>
      <c r="B314" t="s">
        <v>136</v>
      </c>
      <c r="C314">
        <v>72</v>
      </c>
      <c r="D314" t="s">
        <v>56</v>
      </c>
      <c r="E314" t="s">
        <v>53</v>
      </c>
      <c r="F314" t="s">
        <v>54</v>
      </c>
      <c r="G314">
        <v>60000</v>
      </c>
      <c r="H314">
        <v>0.5</v>
      </c>
      <c r="I314">
        <v>0.5</v>
      </c>
      <c r="J314">
        <v>0</v>
      </c>
      <c r="K314">
        <v>1</v>
      </c>
      <c r="L314">
        <v>2000000000</v>
      </c>
      <c r="M314">
        <v>96</v>
      </c>
      <c r="N314">
        <v>96</v>
      </c>
      <c r="O314">
        <v>96</v>
      </c>
      <c r="P314">
        <v>0</v>
      </c>
      <c r="Q314" t="s">
        <v>55</v>
      </c>
      <c r="R314">
        <v>9.9997493503562701E+17</v>
      </c>
      <c r="S314">
        <v>1000002611</v>
      </c>
      <c r="T314">
        <v>9.9997493503562701E+17</v>
      </c>
      <c r="U314">
        <v>1000002611</v>
      </c>
      <c r="V314" t="s">
        <v>63</v>
      </c>
      <c r="W314">
        <v>7</v>
      </c>
      <c r="X314">
        <v>95125500</v>
      </c>
      <c r="Y314">
        <v>1100252693</v>
      </c>
      <c r="Z314">
        <v>1195378193</v>
      </c>
      <c r="AA314">
        <v>1000002611</v>
      </c>
      <c r="AB314">
        <v>12.5663</v>
      </c>
      <c r="AC314">
        <v>0.90888400000000003</v>
      </c>
      <c r="AD314">
        <v>4.0216500000000002</v>
      </c>
      <c r="AE314">
        <v>25217583792</v>
      </c>
      <c r="AF314" t="s">
        <v>1013</v>
      </c>
      <c r="AG314" t="s">
        <v>1013</v>
      </c>
      <c r="AI314">
        <v>99008</v>
      </c>
      <c r="AJ314">
        <v>5746246218828</v>
      </c>
      <c r="AK314">
        <v>192575058</v>
      </c>
      <c r="AM314">
        <v>640587396</v>
      </c>
      <c r="AN314">
        <v>10263493646</v>
      </c>
      <c r="AO314">
        <v>104683268</v>
      </c>
      <c r="AP314">
        <v>4408571698</v>
      </c>
      <c r="AQ314">
        <v>0</v>
      </c>
      <c r="AR314">
        <v>44538880</v>
      </c>
      <c r="AS314">
        <v>4408571698</v>
      </c>
      <c r="AT314">
        <v>4453110578</v>
      </c>
      <c r="AU314">
        <v>73476194</v>
      </c>
      <c r="AV314">
        <v>0</v>
      </c>
      <c r="AW314">
        <v>742314</v>
      </c>
      <c r="AX314">
        <v>73476194</v>
      </c>
      <c r="AY314">
        <v>74218509</v>
      </c>
      <c r="AZ314">
        <v>22.091200000000001</v>
      </c>
      <c r="BA314">
        <v>13.764699999999999</v>
      </c>
      <c r="BB314">
        <v>3601.81</v>
      </c>
      <c r="BC314">
        <v>2884.76</v>
      </c>
      <c r="BD314">
        <v>60704</v>
      </c>
      <c r="BE314">
        <v>9786</v>
      </c>
      <c r="BF314">
        <f t="shared" si="81"/>
        <v>59.856731446124996</v>
      </c>
      <c r="BG314" s="31">
        <f t="shared" si="82"/>
        <v>0.11668061841666666</v>
      </c>
      <c r="BH314">
        <f t="shared" si="91"/>
        <v>0</v>
      </c>
      <c r="BI314">
        <f t="shared" si="92"/>
        <v>0</v>
      </c>
      <c r="BJ314">
        <f t="shared" si="93"/>
        <v>0</v>
      </c>
      <c r="BK314">
        <f t="shared" si="94"/>
        <v>85697</v>
      </c>
      <c r="BL314">
        <f t="shared" si="95"/>
        <v>227164</v>
      </c>
      <c r="BM314">
        <f t="shared" si="96"/>
        <v>0</v>
      </c>
      <c r="BN314" t="str">
        <f t="shared" si="83"/>
        <v>u=1%, k=2x10^9</v>
      </c>
      <c r="BO314" t="str">
        <f t="shared" si="84"/>
        <v>u=1%, k=2x10^9, sequential</v>
      </c>
      <c r="BP314">
        <f t="shared" si="85"/>
        <v>2.0059901874999999E-3</v>
      </c>
      <c r="BQ314">
        <f t="shared" si="86"/>
        <v>0</v>
      </c>
      <c r="BR314">
        <f t="shared" si="87"/>
        <v>6.6727853750000003E-3</v>
      </c>
      <c r="BS314">
        <f t="shared" si="88"/>
        <v>0.10691139214583334</v>
      </c>
      <c r="BT314">
        <f t="shared" si="89"/>
        <v>1.0904507083333334E-3</v>
      </c>
      <c r="BU314">
        <f t="shared" si="90"/>
        <v>59.74005082770833</v>
      </c>
    </row>
    <row r="315" spans="1:73">
      <c r="A315" t="s">
        <v>1014</v>
      </c>
      <c r="B315" t="s">
        <v>136</v>
      </c>
      <c r="C315">
        <v>72</v>
      </c>
      <c r="D315" t="s">
        <v>56</v>
      </c>
      <c r="E315" t="s">
        <v>53</v>
      </c>
      <c r="F315" t="s">
        <v>54</v>
      </c>
      <c r="G315">
        <v>60000</v>
      </c>
      <c r="H315">
        <v>0.5</v>
      </c>
      <c r="I315">
        <v>0.5</v>
      </c>
      <c r="J315">
        <v>0</v>
      </c>
      <c r="K315">
        <v>1</v>
      </c>
      <c r="L315">
        <v>2000000000</v>
      </c>
      <c r="M315">
        <v>144</v>
      </c>
      <c r="N315">
        <v>144</v>
      </c>
      <c r="O315">
        <v>144</v>
      </c>
      <c r="P315">
        <v>0</v>
      </c>
      <c r="Q315" t="s">
        <v>55</v>
      </c>
      <c r="R315">
        <v>1.00000001509115E+18</v>
      </c>
      <c r="S315">
        <v>999997450</v>
      </c>
      <c r="T315">
        <v>1.00000001509115E+18</v>
      </c>
      <c r="U315">
        <v>999997450</v>
      </c>
      <c r="V315" t="s">
        <v>63</v>
      </c>
      <c r="W315">
        <v>7</v>
      </c>
      <c r="X315">
        <v>100039026</v>
      </c>
      <c r="Y315">
        <v>1110240178</v>
      </c>
      <c r="Z315">
        <v>1210279204</v>
      </c>
      <c r="AA315">
        <v>999997450</v>
      </c>
      <c r="AB315">
        <v>12.098100000000001</v>
      </c>
      <c r="AC315">
        <v>0.90070399999999995</v>
      </c>
      <c r="AD315">
        <v>4.0318300000000002</v>
      </c>
      <c r="AE315">
        <v>25774319344</v>
      </c>
      <c r="AF315" t="s">
        <v>1015</v>
      </c>
      <c r="AG315" t="s">
        <v>1015</v>
      </c>
      <c r="AI315">
        <v>65898</v>
      </c>
      <c r="AJ315">
        <v>8619370055698</v>
      </c>
      <c r="AK315">
        <v>527042271</v>
      </c>
      <c r="AL315">
        <v>3001</v>
      </c>
      <c r="AM315">
        <v>1605608223</v>
      </c>
      <c r="AN315">
        <v>13456263267</v>
      </c>
      <c r="AO315">
        <v>312446355</v>
      </c>
      <c r="AP315">
        <v>6635289971</v>
      </c>
      <c r="AQ315">
        <v>0</v>
      </c>
      <c r="AR315">
        <v>67021071</v>
      </c>
      <c r="AS315">
        <v>6635289971</v>
      </c>
      <c r="AT315">
        <v>6702311042</v>
      </c>
      <c r="AU315">
        <v>110588166</v>
      </c>
      <c r="AV315">
        <v>0</v>
      </c>
      <c r="AW315">
        <v>1117017</v>
      </c>
      <c r="AX315">
        <v>110588166</v>
      </c>
      <c r="AY315">
        <v>111705184</v>
      </c>
      <c r="AZ315">
        <v>22.1236</v>
      </c>
      <c r="BA315">
        <v>13.9992</v>
      </c>
      <c r="BB315">
        <v>3588.74</v>
      </c>
      <c r="BC315">
        <v>2860</v>
      </c>
      <c r="BD315">
        <v>61562</v>
      </c>
      <c r="BE315">
        <v>9208</v>
      </c>
      <c r="BF315">
        <f t="shared" si="81"/>
        <v>59.85673649790278</v>
      </c>
      <c r="BG315" s="31">
        <f t="shared" si="82"/>
        <v>0.11042613275694445</v>
      </c>
      <c r="BH315">
        <f t="shared" si="91"/>
        <v>0</v>
      </c>
      <c r="BI315">
        <f t="shared" si="92"/>
        <v>0</v>
      </c>
      <c r="BJ315">
        <f t="shared" si="93"/>
        <v>0</v>
      </c>
      <c r="BK315">
        <f t="shared" si="94"/>
        <v>283574</v>
      </c>
      <c r="BL315">
        <f t="shared" si="95"/>
        <v>490387</v>
      </c>
      <c r="BM315">
        <f t="shared" si="96"/>
        <v>0</v>
      </c>
      <c r="BN315" t="str">
        <f t="shared" si="83"/>
        <v>u=1%, k=2x10^9</v>
      </c>
      <c r="BO315" t="str">
        <f t="shared" si="84"/>
        <v>u=1%, k=2x10^9, sequential</v>
      </c>
      <c r="BP315">
        <f t="shared" si="85"/>
        <v>3.6600157708333333E-3</v>
      </c>
      <c r="BQ315">
        <f t="shared" si="86"/>
        <v>2.0840277777777779E-8</v>
      </c>
      <c r="BR315">
        <f t="shared" si="87"/>
        <v>1.1150057104166666E-2</v>
      </c>
      <c r="BS315">
        <f t="shared" si="88"/>
        <v>9.3446272687499998E-2</v>
      </c>
      <c r="BT315">
        <f t="shared" si="89"/>
        <v>2.1697663541666665E-3</v>
      </c>
      <c r="BU315">
        <f t="shared" si="90"/>
        <v>59.746310365145838</v>
      </c>
    </row>
    <row r="316" spans="1:73">
      <c r="A316" t="s">
        <v>1016</v>
      </c>
      <c r="B316" t="s">
        <v>136</v>
      </c>
      <c r="C316">
        <v>72</v>
      </c>
      <c r="D316" t="s">
        <v>56</v>
      </c>
      <c r="E316" t="s">
        <v>53</v>
      </c>
      <c r="F316" t="s">
        <v>54</v>
      </c>
      <c r="G316">
        <v>60000</v>
      </c>
      <c r="H316">
        <v>0.5</v>
      </c>
      <c r="I316">
        <v>0.5</v>
      </c>
      <c r="J316">
        <v>0</v>
      </c>
      <c r="K316">
        <v>1</v>
      </c>
      <c r="L316">
        <v>2000000000</v>
      </c>
      <c r="M316">
        <v>190</v>
      </c>
      <c r="N316">
        <v>190</v>
      </c>
      <c r="O316">
        <v>190</v>
      </c>
      <c r="P316">
        <v>0</v>
      </c>
      <c r="Q316" t="s">
        <v>55</v>
      </c>
      <c r="R316">
        <v>1.0000259258397199E+18</v>
      </c>
      <c r="S316">
        <v>1000004565</v>
      </c>
      <c r="T316">
        <v>1.0000259258397199E+18</v>
      </c>
      <c r="U316">
        <v>1000004565</v>
      </c>
      <c r="V316" t="s">
        <v>63</v>
      </c>
      <c r="W316">
        <v>7</v>
      </c>
      <c r="X316">
        <v>104171653</v>
      </c>
      <c r="Y316">
        <v>1118707281</v>
      </c>
      <c r="Z316">
        <v>1222878934</v>
      </c>
      <c r="AA316">
        <v>1000004565</v>
      </c>
      <c r="AB316">
        <v>11.739100000000001</v>
      </c>
      <c r="AC316">
        <v>0.89389300000000005</v>
      </c>
      <c r="AD316">
        <v>4.0404900000000001</v>
      </c>
      <c r="AE316">
        <v>26244677712</v>
      </c>
      <c r="AF316" t="s">
        <v>1017</v>
      </c>
      <c r="AG316" t="s">
        <v>1017</v>
      </c>
      <c r="AI316">
        <v>51180</v>
      </c>
      <c r="AJ316">
        <v>11372779980148</v>
      </c>
      <c r="AK316">
        <v>1022008825</v>
      </c>
      <c r="AM316">
        <v>2942156366</v>
      </c>
      <c r="AN316">
        <v>15069259038</v>
      </c>
      <c r="AO316">
        <v>603601660</v>
      </c>
      <c r="AP316">
        <v>8658249756</v>
      </c>
      <c r="AQ316">
        <v>0</v>
      </c>
      <c r="AR316">
        <v>87454322</v>
      </c>
      <c r="AS316">
        <v>8658249756</v>
      </c>
      <c r="AT316">
        <v>8745704078</v>
      </c>
      <c r="AU316">
        <v>144304162</v>
      </c>
      <c r="AV316">
        <v>0</v>
      </c>
      <c r="AW316">
        <v>1457572</v>
      </c>
      <c r="AX316">
        <v>144304162</v>
      </c>
      <c r="AY316">
        <v>145761734</v>
      </c>
      <c r="AZ316">
        <v>22.192699999999999</v>
      </c>
      <c r="BA316">
        <v>14.13</v>
      </c>
      <c r="BB316">
        <v>3627.83</v>
      </c>
      <c r="BC316">
        <v>2894.68</v>
      </c>
      <c r="BD316">
        <v>62236</v>
      </c>
      <c r="BE316">
        <v>9067</v>
      </c>
      <c r="BF316">
        <f t="shared" si="81"/>
        <v>59.856736737621048</v>
      </c>
      <c r="BG316" s="31">
        <f t="shared" si="82"/>
        <v>0.10335276783684211</v>
      </c>
      <c r="BH316">
        <f t="shared" si="91"/>
        <v>0</v>
      </c>
      <c r="BI316">
        <f t="shared" si="92"/>
        <v>0</v>
      </c>
      <c r="BJ316">
        <f t="shared" si="93"/>
        <v>0</v>
      </c>
      <c r="BK316">
        <f t="shared" si="94"/>
        <v>608383</v>
      </c>
      <c r="BL316">
        <f t="shared" si="95"/>
        <v>797444</v>
      </c>
      <c r="BM316">
        <f t="shared" si="96"/>
        <v>0</v>
      </c>
      <c r="BN316" t="str">
        <f t="shared" si="83"/>
        <v>u=1%, k=2x10^9</v>
      </c>
      <c r="BO316" t="str">
        <f t="shared" si="84"/>
        <v>u=1%, k=2x10^9, sequential</v>
      </c>
      <c r="BP316">
        <f t="shared" si="85"/>
        <v>5.3789938157894727E-3</v>
      </c>
      <c r="BQ316">
        <f t="shared" si="86"/>
        <v>0</v>
      </c>
      <c r="BR316">
        <f t="shared" si="87"/>
        <v>1.5485033505263156E-2</v>
      </c>
      <c r="BS316">
        <f t="shared" si="88"/>
        <v>7.9311889673684216E-2</v>
      </c>
      <c r="BT316">
        <f t="shared" si="89"/>
        <v>3.1768508421052633E-3</v>
      </c>
      <c r="BU316">
        <f t="shared" si="90"/>
        <v>59.75338396978421</v>
      </c>
    </row>
    <row r="317" spans="1:73">
      <c r="A317" t="s">
        <v>1018</v>
      </c>
      <c r="B317" t="s">
        <v>136</v>
      </c>
      <c r="C317">
        <v>72</v>
      </c>
      <c r="D317" t="s">
        <v>56</v>
      </c>
      <c r="E317" t="s">
        <v>53</v>
      </c>
      <c r="F317" t="s">
        <v>54</v>
      </c>
      <c r="G317">
        <v>60000</v>
      </c>
      <c r="H317">
        <v>5</v>
      </c>
      <c r="I317">
        <v>5</v>
      </c>
      <c r="J317">
        <v>0</v>
      </c>
      <c r="K317">
        <v>1</v>
      </c>
      <c r="L317">
        <v>2000000</v>
      </c>
      <c r="M317">
        <v>24</v>
      </c>
      <c r="N317">
        <v>24</v>
      </c>
      <c r="O317">
        <v>24</v>
      </c>
      <c r="P317">
        <v>0</v>
      </c>
      <c r="Q317" t="s">
        <v>55</v>
      </c>
      <c r="R317">
        <v>1000542076274</v>
      </c>
      <c r="S317">
        <v>1000494</v>
      </c>
      <c r="T317">
        <v>1000542076274</v>
      </c>
      <c r="U317">
        <v>1000494</v>
      </c>
      <c r="V317" t="s">
        <v>63</v>
      </c>
      <c r="W317">
        <v>6</v>
      </c>
      <c r="X317">
        <v>33043</v>
      </c>
      <c r="Y317">
        <v>1032539</v>
      </c>
      <c r="Z317">
        <v>1065582</v>
      </c>
      <c r="AA317">
        <v>1000494</v>
      </c>
      <c r="AB317">
        <v>32.2483</v>
      </c>
      <c r="AC317">
        <v>0.96896499999999997</v>
      </c>
      <c r="AD317">
        <v>3.0000200000000001</v>
      </c>
      <c r="AE317">
        <v>19164048</v>
      </c>
      <c r="AF317" t="s">
        <v>1019</v>
      </c>
      <c r="AG317" t="s">
        <v>1020</v>
      </c>
      <c r="AI317">
        <v>1060000</v>
      </c>
      <c r="AJ317">
        <v>1436986401827</v>
      </c>
      <c r="AK317">
        <v>24834037363</v>
      </c>
      <c r="AL317">
        <v>430800492960</v>
      </c>
      <c r="AM317">
        <v>29959400657</v>
      </c>
      <c r="AN317">
        <v>11827259425</v>
      </c>
      <c r="AO317">
        <v>12606306072</v>
      </c>
      <c r="AP317">
        <v>2519582289</v>
      </c>
      <c r="AQ317">
        <v>0</v>
      </c>
      <c r="AR317">
        <v>279980326</v>
      </c>
      <c r="AS317">
        <v>2519582289</v>
      </c>
      <c r="AT317">
        <v>2799562615</v>
      </c>
      <c r="AU317">
        <v>41993038</v>
      </c>
      <c r="AV317">
        <v>0</v>
      </c>
      <c r="AW317">
        <v>4666338</v>
      </c>
      <c r="AX317">
        <v>41993038</v>
      </c>
      <c r="AY317">
        <v>46659376</v>
      </c>
      <c r="AZ317">
        <v>9.8478600000000007</v>
      </c>
      <c r="BA317">
        <v>0.38550299999999998</v>
      </c>
      <c r="BB317">
        <v>1429.67</v>
      </c>
      <c r="BC317">
        <v>338.48500000000001</v>
      </c>
      <c r="BD317">
        <v>1714</v>
      </c>
      <c r="BE317">
        <v>26</v>
      </c>
      <c r="BF317">
        <f t="shared" si="81"/>
        <v>59.874433409458334</v>
      </c>
      <c r="BG317" s="31">
        <f t="shared" si="82"/>
        <v>21.251145686541665</v>
      </c>
      <c r="BH317">
        <f t="shared" si="91"/>
        <v>560</v>
      </c>
      <c r="BI317">
        <f t="shared" si="92"/>
        <v>502563</v>
      </c>
      <c r="BJ317">
        <f t="shared" si="93"/>
        <v>7234391</v>
      </c>
      <c r="BK317">
        <f t="shared" si="94"/>
        <v>8110499</v>
      </c>
      <c r="BL317">
        <f t="shared" si="95"/>
        <v>0</v>
      </c>
      <c r="BM317">
        <f t="shared" si="96"/>
        <v>0</v>
      </c>
      <c r="BN317" t="str">
        <f t="shared" si="83"/>
        <v>u=10%, k=2x10^6</v>
      </c>
      <c r="BO317" t="str">
        <f t="shared" si="84"/>
        <v>u=10%, k=2x10^6, sequential</v>
      </c>
      <c r="BP317">
        <f t="shared" si="85"/>
        <v>1.0347515567916667</v>
      </c>
      <c r="BQ317">
        <f t="shared" si="86"/>
        <v>17.950020540000001</v>
      </c>
      <c r="BR317">
        <f t="shared" si="87"/>
        <v>1.2483083607083334</v>
      </c>
      <c r="BS317">
        <f t="shared" si="88"/>
        <v>0.49280247604166666</v>
      </c>
      <c r="BT317">
        <f t="shared" si="89"/>
        <v>0.52526275300000003</v>
      </c>
      <c r="BU317">
        <f t="shared" si="90"/>
        <v>38.623287722916672</v>
      </c>
    </row>
    <row r="318" spans="1:73">
      <c r="A318" t="s">
        <v>1021</v>
      </c>
      <c r="B318" t="s">
        <v>136</v>
      </c>
      <c r="C318">
        <v>72</v>
      </c>
      <c r="D318" t="s">
        <v>56</v>
      </c>
      <c r="E318" t="s">
        <v>53</v>
      </c>
      <c r="F318" t="s">
        <v>54</v>
      </c>
      <c r="G318">
        <v>60000</v>
      </c>
      <c r="H318">
        <v>5</v>
      </c>
      <c r="I318">
        <v>5</v>
      </c>
      <c r="J318">
        <v>0</v>
      </c>
      <c r="K318">
        <v>1</v>
      </c>
      <c r="L318">
        <v>2000000</v>
      </c>
      <c r="M318">
        <v>48</v>
      </c>
      <c r="N318">
        <v>48</v>
      </c>
      <c r="O318">
        <v>48</v>
      </c>
      <c r="P318">
        <v>0</v>
      </c>
      <c r="Q318" t="s">
        <v>55</v>
      </c>
      <c r="R318">
        <v>998685678944</v>
      </c>
      <c r="S318">
        <v>998960</v>
      </c>
      <c r="T318">
        <v>998685678944</v>
      </c>
      <c r="U318">
        <v>998960</v>
      </c>
      <c r="V318" t="s">
        <v>63</v>
      </c>
      <c r="W318">
        <v>6</v>
      </c>
      <c r="X318">
        <v>33009</v>
      </c>
      <c r="Y318">
        <v>1030983</v>
      </c>
      <c r="Z318">
        <v>1063992</v>
      </c>
      <c r="AA318">
        <v>998960</v>
      </c>
      <c r="AB318">
        <v>32.233400000000003</v>
      </c>
      <c r="AC318">
        <v>0.96893899999999999</v>
      </c>
      <c r="AD318">
        <v>3.0000100000000001</v>
      </c>
      <c r="AE318">
        <v>19136432</v>
      </c>
      <c r="AF318" t="s">
        <v>1022</v>
      </c>
      <c r="AG318" t="s">
        <v>1023</v>
      </c>
      <c r="AI318">
        <v>294980</v>
      </c>
      <c r="AJ318">
        <v>2874756988406</v>
      </c>
      <c r="AK318">
        <v>44864265571</v>
      </c>
      <c r="AL318">
        <v>1431509793484</v>
      </c>
      <c r="AM318">
        <v>50164120156</v>
      </c>
      <c r="AN318">
        <v>21715907540</v>
      </c>
      <c r="AO318">
        <v>21649995784</v>
      </c>
      <c r="AP318">
        <v>2807298508</v>
      </c>
      <c r="AQ318">
        <v>0</v>
      </c>
      <c r="AR318">
        <v>311886564</v>
      </c>
      <c r="AS318">
        <v>2807298508</v>
      </c>
      <c r="AT318">
        <v>3119185072</v>
      </c>
      <c r="AU318">
        <v>46788308</v>
      </c>
      <c r="AV318">
        <v>0</v>
      </c>
      <c r="AW318">
        <v>5198109</v>
      </c>
      <c r="AX318">
        <v>46788308</v>
      </c>
      <c r="AY318">
        <v>51986417</v>
      </c>
      <c r="AZ318">
        <v>9.8523099999999992</v>
      </c>
      <c r="BA318">
        <v>0.47812300000000002</v>
      </c>
      <c r="BB318">
        <v>2559.21</v>
      </c>
      <c r="BC318">
        <v>501.46600000000001</v>
      </c>
      <c r="BD318">
        <v>2021</v>
      </c>
      <c r="BE318">
        <v>68</v>
      </c>
      <c r="BF318">
        <f t="shared" si="81"/>
        <v>59.890770591791664</v>
      </c>
      <c r="BG318" s="31">
        <f t="shared" si="82"/>
        <v>32.706335052812499</v>
      </c>
      <c r="BH318">
        <f t="shared" si="91"/>
        <v>624</v>
      </c>
      <c r="BI318">
        <f t="shared" si="92"/>
        <v>615325</v>
      </c>
      <c r="BJ318">
        <f t="shared" si="93"/>
        <v>5844659</v>
      </c>
      <c r="BK318">
        <f t="shared" si="94"/>
        <v>8485667</v>
      </c>
      <c r="BL318">
        <f t="shared" si="95"/>
        <v>0</v>
      </c>
      <c r="BM318">
        <f t="shared" si="96"/>
        <v>0</v>
      </c>
      <c r="BN318" t="str">
        <f t="shared" si="83"/>
        <v>u=10%, k=2x10^6</v>
      </c>
      <c r="BO318" t="str">
        <f t="shared" si="84"/>
        <v>u=10%, k=2x10^6, sequential</v>
      </c>
      <c r="BP318">
        <f t="shared" si="85"/>
        <v>0.93467219939583324</v>
      </c>
      <c r="BQ318">
        <f t="shared" si="86"/>
        <v>29.823120697583335</v>
      </c>
      <c r="BR318">
        <f t="shared" si="87"/>
        <v>1.0450858365833333</v>
      </c>
      <c r="BS318">
        <f t="shared" si="88"/>
        <v>0.45241474041666668</v>
      </c>
      <c r="BT318">
        <f t="shared" si="89"/>
        <v>0.45104157883333335</v>
      </c>
      <c r="BU318">
        <f t="shared" si="90"/>
        <v>27.184435538979166</v>
      </c>
    </row>
    <row r="319" spans="1:73">
      <c r="A319" t="s">
        <v>1024</v>
      </c>
      <c r="B319" t="s">
        <v>136</v>
      </c>
      <c r="C319">
        <v>72</v>
      </c>
      <c r="D319" t="s">
        <v>56</v>
      </c>
      <c r="E319" t="s">
        <v>53</v>
      </c>
      <c r="F319" t="s">
        <v>54</v>
      </c>
      <c r="G319">
        <v>60000</v>
      </c>
      <c r="H319">
        <v>5</v>
      </c>
      <c r="I319">
        <v>5</v>
      </c>
      <c r="J319">
        <v>0</v>
      </c>
      <c r="K319">
        <v>1</v>
      </c>
      <c r="L319">
        <v>2000000</v>
      </c>
      <c r="M319">
        <v>96</v>
      </c>
      <c r="N319">
        <v>96</v>
      </c>
      <c r="O319">
        <v>96</v>
      </c>
      <c r="P319">
        <v>0</v>
      </c>
      <c r="Q319" t="s">
        <v>55</v>
      </c>
      <c r="R319">
        <v>999843725389</v>
      </c>
      <c r="S319">
        <v>999843</v>
      </c>
      <c r="T319">
        <v>999843725389</v>
      </c>
      <c r="U319">
        <v>999843</v>
      </c>
      <c r="V319" t="s">
        <v>63</v>
      </c>
      <c r="W319">
        <v>6</v>
      </c>
      <c r="X319">
        <v>33025</v>
      </c>
      <c r="Y319">
        <v>1031899</v>
      </c>
      <c r="Z319">
        <v>1064924</v>
      </c>
      <c r="AA319">
        <v>999843</v>
      </c>
      <c r="AB319">
        <v>32.246000000000002</v>
      </c>
      <c r="AC319">
        <v>0.96893499999999999</v>
      </c>
      <c r="AD319">
        <v>3.0000499999999999</v>
      </c>
      <c r="AE319">
        <v>19152368</v>
      </c>
      <c r="AF319" t="s">
        <v>1025</v>
      </c>
      <c r="AG319" t="s">
        <v>1026</v>
      </c>
      <c r="AI319">
        <v>85658</v>
      </c>
      <c r="AJ319">
        <v>5751193925582</v>
      </c>
      <c r="AK319">
        <v>103802600740</v>
      </c>
      <c r="AL319">
        <v>3802274116869</v>
      </c>
      <c r="AM319">
        <v>80428032259</v>
      </c>
      <c r="AN319">
        <v>49334969616</v>
      </c>
      <c r="AO319">
        <v>25741894760</v>
      </c>
      <c r="AP319">
        <v>3116972314</v>
      </c>
      <c r="AQ319">
        <v>0</v>
      </c>
      <c r="AR319">
        <v>346318309</v>
      </c>
      <c r="AS319">
        <v>3116972314</v>
      </c>
      <c r="AT319">
        <v>3463290623</v>
      </c>
      <c r="AU319">
        <v>51949538</v>
      </c>
      <c r="AV319">
        <v>0</v>
      </c>
      <c r="AW319">
        <v>5771971</v>
      </c>
      <c r="AX319">
        <v>51949538</v>
      </c>
      <c r="AY319">
        <v>57721510</v>
      </c>
      <c r="AZ319">
        <v>10.351699999999999</v>
      </c>
      <c r="BA319">
        <v>1.4918</v>
      </c>
      <c r="BB319">
        <v>4618.8500000000004</v>
      </c>
      <c r="BC319">
        <v>780.75599999999997</v>
      </c>
      <c r="BD319">
        <v>2835</v>
      </c>
      <c r="BE319">
        <v>248</v>
      </c>
      <c r="BF319">
        <f t="shared" si="81"/>
        <v>59.908270058145831</v>
      </c>
      <c r="BG319" s="31">
        <f t="shared" si="82"/>
        <v>42.308141815041665</v>
      </c>
      <c r="BH319">
        <f t="shared" si="91"/>
        <v>693</v>
      </c>
      <c r="BI319">
        <f t="shared" si="92"/>
        <v>1082139</v>
      </c>
      <c r="BJ319">
        <f t="shared" si="93"/>
        <v>1878454</v>
      </c>
      <c r="BK319">
        <f t="shared" si="94"/>
        <v>7991233</v>
      </c>
      <c r="BL319">
        <f t="shared" si="95"/>
        <v>0</v>
      </c>
      <c r="BM319">
        <f t="shared" si="96"/>
        <v>0</v>
      </c>
      <c r="BN319" t="str">
        <f t="shared" si="83"/>
        <v>u=10%, k=2x10^6</v>
      </c>
      <c r="BO319" t="str">
        <f t="shared" si="84"/>
        <v>u=10%, k=2x10^6, sequential</v>
      </c>
      <c r="BP319">
        <f t="shared" si="85"/>
        <v>1.0812770910416667</v>
      </c>
      <c r="BQ319">
        <f t="shared" si="86"/>
        <v>39.607022050718747</v>
      </c>
      <c r="BR319">
        <f t="shared" si="87"/>
        <v>0.83779200269791676</v>
      </c>
      <c r="BS319">
        <f t="shared" si="88"/>
        <v>0.51390593350000002</v>
      </c>
      <c r="BT319">
        <f t="shared" si="89"/>
        <v>0.26814473708333336</v>
      </c>
      <c r="BU319">
        <f t="shared" si="90"/>
        <v>17.600128243104173</v>
      </c>
    </row>
    <row r="320" spans="1:73">
      <c r="A320" t="s">
        <v>1027</v>
      </c>
      <c r="B320" t="s">
        <v>136</v>
      </c>
      <c r="C320">
        <v>72</v>
      </c>
      <c r="D320" t="s">
        <v>56</v>
      </c>
      <c r="E320" t="s">
        <v>53</v>
      </c>
      <c r="F320" t="s">
        <v>54</v>
      </c>
      <c r="G320">
        <v>60000</v>
      </c>
      <c r="H320">
        <v>5</v>
      </c>
      <c r="I320">
        <v>5</v>
      </c>
      <c r="J320">
        <v>0</v>
      </c>
      <c r="K320">
        <v>1</v>
      </c>
      <c r="L320">
        <v>2000000</v>
      </c>
      <c r="M320">
        <v>144</v>
      </c>
      <c r="N320">
        <v>144</v>
      </c>
      <c r="O320">
        <v>144</v>
      </c>
      <c r="P320">
        <v>0</v>
      </c>
      <c r="Q320" t="s">
        <v>55</v>
      </c>
      <c r="R320">
        <v>1000252400962</v>
      </c>
      <c r="S320">
        <v>999727</v>
      </c>
      <c r="T320">
        <v>1000252400962</v>
      </c>
      <c r="U320">
        <v>999727</v>
      </c>
      <c r="V320" t="s">
        <v>63</v>
      </c>
      <c r="W320">
        <v>6</v>
      </c>
      <c r="X320">
        <v>33040</v>
      </c>
      <c r="Y320">
        <v>1031798</v>
      </c>
      <c r="Z320">
        <v>1064838</v>
      </c>
      <c r="AA320">
        <v>999727</v>
      </c>
      <c r="AB320">
        <v>32.2288</v>
      </c>
      <c r="AC320">
        <v>0.96891700000000003</v>
      </c>
      <c r="AD320">
        <v>3.0000800000000001</v>
      </c>
      <c r="AE320">
        <v>19151952</v>
      </c>
      <c r="AF320" t="s">
        <v>1028</v>
      </c>
      <c r="AG320" t="s">
        <v>1029</v>
      </c>
      <c r="AI320">
        <v>43732</v>
      </c>
      <c r="AJ320">
        <v>8628692860821</v>
      </c>
      <c r="AK320">
        <v>155013957645</v>
      </c>
      <c r="AL320">
        <v>6147795363682</v>
      </c>
      <c r="AM320">
        <v>116924536422</v>
      </c>
      <c r="AN320">
        <v>362727819202</v>
      </c>
      <c r="AO320">
        <v>32212273512</v>
      </c>
      <c r="AP320">
        <v>3035204173</v>
      </c>
      <c r="AQ320">
        <v>0</v>
      </c>
      <c r="AR320">
        <v>337240521</v>
      </c>
      <c r="AS320">
        <v>3035204173</v>
      </c>
      <c r="AT320">
        <v>3372444694</v>
      </c>
      <c r="AU320">
        <v>50586736</v>
      </c>
      <c r="AV320">
        <v>0</v>
      </c>
      <c r="AW320">
        <v>5620675</v>
      </c>
      <c r="AX320">
        <v>50586736</v>
      </c>
      <c r="AY320">
        <v>56207411</v>
      </c>
      <c r="AZ320">
        <v>11.436500000000001</v>
      </c>
      <c r="BA320">
        <v>2.4230399999999999</v>
      </c>
      <c r="BB320">
        <v>7029.21</v>
      </c>
      <c r="BC320">
        <v>1009.01</v>
      </c>
      <c r="BD320">
        <v>3750</v>
      </c>
      <c r="BE320">
        <v>316</v>
      </c>
      <c r="BF320">
        <f t="shared" si="81"/>
        <v>59.921478200145835</v>
      </c>
      <c r="BG320" s="31">
        <f t="shared" si="82"/>
        <v>47.32412465599306</v>
      </c>
      <c r="BH320">
        <f t="shared" si="91"/>
        <v>675</v>
      </c>
      <c r="BI320">
        <f t="shared" si="92"/>
        <v>1960154</v>
      </c>
      <c r="BJ320">
        <f t="shared" si="93"/>
        <v>352745</v>
      </c>
      <c r="BK320">
        <f t="shared" si="94"/>
        <v>5476986</v>
      </c>
      <c r="BL320">
        <f t="shared" si="95"/>
        <v>0</v>
      </c>
      <c r="BM320">
        <f t="shared" si="96"/>
        <v>0</v>
      </c>
      <c r="BN320" t="str">
        <f t="shared" si="83"/>
        <v>u=10%, k=2x10^6</v>
      </c>
      <c r="BO320" t="str">
        <f t="shared" si="84"/>
        <v>u=10%, k=2x10^6, sequential</v>
      </c>
      <c r="BP320">
        <f t="shared" si="85"/>
        <v>1.0764858169791667</v>
      </c>
      <c r="BQ320">
        <f t="shared" si="86"/>
        <v>42.693023358902778</v>
      </c>
      <c r="BR320">
        <f t="shared" si="87"/>
        <v>0.81197594737500001</v>
      </c>
      <c r="BS320">
        <f t="shared" si="88"/>
        <v>2.5189431889027776</v>
      </c>
      <c r="BT320">
        <f t="shared" si="89"/>
        <v>0.22369634383333337</v>
      </c>
      <c r="BU320">
        <f t="shared" si="90"/>
        <v>12.597353544152789</v>
      </c>
    </row>
    <row r="321" spans="1:73">
      <c r="A321" t="s">
        <v>1030</v>
      </c>
      <c r="B321" t="s">
        <v>136</v>
      </c>
      <c r="C321">
        <v>72</v>
      </c>
      <c r="D321" t="s">
        <v>56</v>
      </c>
      <c r="E321" t="s">
        <v>53</v>
      </c>
      <c r="F321" t="s">
        <v>54</v>
      </c>
      <c r="G321">
        <v>60000</v>
      </c>
      <c r="H321">
        <v>5</v>
      </c>
      <c r="I321">
        <v>5</v>
      </c>
      <c r="J321">
        <v>0</v>
      </c>
      <c r="K321">
        <v>1</v>
      </c>
      <c r="L321">
        <v>2000000</v>
      </c>
      <c r="M321">
        <v>190</v>
      </c>
      <c r="N321">
        <v>190</v>
      </c>
      <c r="O321">
        <v>190</v>
      </c>
      <c r="P321">
        <v>0</v>
      </c>
      <c r="Q321" t="s">
        <v>55</v>
      </c>
      <c r="R321">
        <v>1000038018942</v>
      </c>
      <c r="S321">
        <v>999885</v>
      </c>
      <c r="T321">
        <v>1000038018942</v>
      </c>
      <c r="U321">
        <v>999885</v>
      </c>
      <c r="V321" t="s">
        <v>63</v>
      </c>
      <c r="W321">
        <v>6</v>
      </c>
      <c r="X321">
        <v>54567</v>
      </c>
      <c r="Y321">
        <v>1075798</v>
      </c>
      <c r="Z321">
        <v>1130365</v>
      </c>
      <c r="AA321">
        <v>999885</v>
      </c>
      <c r="AB321">
        <v>20.715199999999999</v>
      </c>
      <c r="AC321">
        <v>0.92943600000000004</v>
      </c>
      <c r="AD321">
        <v>3.04501</v>
      </c>
      <c r="AE321">
        <v>21598688</v>
      </c>
      <c r="AF321" t="s">
        <v>1031</v>
      </c>
      <c r="AG321" t="s">
        <v>1032</v>
      </c>
      <c r="AI321">
        <v>37124</v>
      </c>
      <c r="AJ321">
        <v>11372856659226</v>
      </c>
      <c r="AK321">
        <v>200678330705</v>
      </c>
      <c r="AL321">
        <v>7936019024141</v>
      </c>
      <c r="AM321">
        <v>123560064882</v>
      </c>
      <c r="AN321">
        <v>827746787048</v>
      </c>
      <c r="AO321">
        <v>33467470668</v>
      </c>
      <c r="AP321">
        <v>3715497770</v>
      </c>
      <c r="AQ321">
        <v>0</v>
      </c>
      <c r="AR321">
        <v>412848521</v>
      </c>
      <c r="AS321">
        <v>3715497770</v>
      </c>
      <c r="AT321">
        <v>4128346291</v>
      </c>
      <c r="AU321">
        <v>61924962</v>
      </c>
      <c r="AV321">
        <v>0</v>
      </c>
      <c r="AW321">
        <v>6880808</v>
      </c>
      <c r="AX321">
        <v>61924962</v>
      </c>
      <c r="AY321">
        <v>68805771</v>
      </c>
      <c r="AZ321">
        <v>11.542199999999999</v>
      </c>
      <c r="BA321">
        <v>2.7707199999999998</v>
      </c>
      <c r="BB321">
        <v>7496.81</v>
      </c>
      <c r="BC321">
        <v>1130.44</v>
      </c>
      <c r="BD321">
        <v>3223</v>
      </c>
      <c r="BE321">
        <v>315</v>
      </c>
      <c r="BF321">
        <f t="shared" si="81"/>
        <v>59.857140311715789</v>
      </c>
      <c r="BG321" s="31">
        <f t="shared" si="82"/>
        <v>48.007745670757899</v>
      </c>
      <c r="BH321">
        <f t="shared" si="91"/>
        <v>826</v>
      </c>
      <c r="BI321">
        <f t="shared" si="92"/>
        <v>1929803</v>
      </c>
      <c r="BJ321">
        <f t="shared" si="93"/>
        <v>937524</v>
      </c>
      <c r="BK321">
        <f t="shared" si="94"/>
        <v>7746931</v>
      </c>
      <c r="BL321">
        <f t="shared" si="95"/>
        <v>0</v>
      </c>
      <c r="BM321">
        <f t="shared" si="96"/>
        <v>0</v>
      </c>
      <c r="BN321" t="str">
        <f t="shared" si="83"/>
        <v>u=10%, k=2x10^6</v>
      </c>
      <c r="BO321" t="str">
        <f t="shared" si="84"/>
        <v>u=10%, k=2x10^6, sequential</v>
      </c>
      <c r="BP321">
        <f t="shared" si="85"/>
        <v>1.0562017405526316</v>
      </c>
      <c r="BQ321">
        <f t="shared" si="86"/>
        <v>41.768521179689472</v>
      </c>
      <c r="BR321">
        <f t="shared" si="87"/>
        <v>0.65031613095789476</v>
      </c>
      <c r="BS321">
        <f t="shared" si="88"/>
        <v>4.3565620370947364</v>
      </c>
      <c r="BT321">
        <f t="shared" si="89"/>
        <v>0.17614458246315787</v>
      </c>
      <c r="BU321">
        <f t="shared" si="90"/>
        <v>11.849394640957897</v>
      </c>
    </row>
    <row r="322" spans="1:73">
      <c r="A322" t="s">
        <v>1033</v>
      </c>
      <c r="B322" t="s">
        <v>136</v>
      </c>
      <c r="C322">
        <v>72</v>
      </c>
      <c r="D322" t="s">
        <v>56</v>
      </c>
      <c r="E322" t="s">
        <v>53</v>
      </c>
      <c r="F322" t="s">
        <v>54</v>
      </c>
      <c r="G322">
        <v>60000</v>
      </c>
      <c r="H322">
        <v>5</v>
      </c>
      <c r="I322">
        <v>5</v>
      </c>
      <c r="J322">
        <v>0</v>
      </c>
      <c r="K322">
        <v>1</v>
      </c>
      <c r="L322">
        <v>20000000</v>
      </c>
      <c r="M322">
        <v>24</v>
      </c>
      <c r="N322">
        <v>24</v>
      </c>
      <c r="O322">
        <v>24</v>
      </c>
      <c r="P322">
        <v>0</v>
      </c>
      <c r="Q322" t="s">
        <v>55</v>
      </c>
      <c r="R322">
        <v>99972482028463</v>
      </c>
      <c r="S322">
        <v>9997019</v>
      </c>
      <c r="T322">
        <v>99972482028463</v>
      </c>
      <c r="U322">
        <v>9997019</v>
      </c>
      <c r="V322" t="s">
        <v>63</v>
      </c>
      <c r="W322">
        <v>7</v>
      </c>
      <c r="X322">
        <v>1625274</v>
      </c>
      <c r="Y322">
        <v>11438900</v>
      </c>
      <c r="Z322">
        <v>13064174</v>
      </c>
      <c r="AA322">
        <v>9997019</v>
      </c>
      <c r="AB322">
        <v>8.0381400000000003</v>
      </c>
      <c r="AC322">
        <v>0.87394899999999998</v>
      </c>
      <c r="AD322">
        <v>4</v>
      </c>
      <c r="AE322">
        <v>313044304</v>
      </c>
      <c r="AF322" t="s">
        <v>1034</v>
      </c>
      <c r="AG322" t="s">
        <v>1035</v>
      </c>
      <c r="AI322">
        <v>427010</v>
      </c>
      <c r="AJ322">
        <v>1442973092585</v>
      </c>
      <c r="AK322">
        <v>31809302763</v>
      </c>
      <c r="AL322">
        <v>472673195454</v>
      </c>
      <c r="AM322">
        <v>37313016484</v>
      </c>
      <c r="AN322">
        <v>23906600642</v>
      </c>
      <c r="AO322">
        <v>11660064025</v>
      </c>
      <c r="AP322">
        <v>1079810382</v>
      </c>
      <c r="AQ322">
        <v>0</v>
      </c>
      <c r="AR322">
        <v>119971029</v>
      </c>
      <c r="AS322">
        <v>1079810382</v>
      </c>
      <c r="AT322">
        <v>1199781411</v>
      </c>
      <c r="AU322">
        <v>17996839</v>
      </c>
      <c r="AV322">
        <v>0</v>
      </c>
      <c r="AW322">
        <v>1999517</v>
      </c>
      <c r="AX322">
        <v>17996839</v>
      </c>
      <c r="AY322">
        <v>19996356</v>
      </c>
      <c r="AZ322">
        <v>17.989799999999999</v>
      </c>
      <c r="BA322">
        <v>7.1730299999999998</v>
      </c>
      <c r="BB322">
        <v>3344.06</v>
      </c>
      <c r="BC322">
        <v>1434.41</v>
      </c>
      <c r="BD322">
        <v>3441</v>
      </c>
      <c r="BE322">
        <v>155</v>
      </c>
      <c r="BF322">
        <f t="shared" si="81"/>
        <v>60.123878857708327</v>
      </c>
      <c r="BG322" s="31">
        <f t="shared" si="82"/>
        <v>24.056757473666668</v>
      </c>
      <c r="BH322">
        <f t="shared" si="91"/>
        <v>24</v>
      </c>
      <c r="BI322">
        <f t="shared" si="92"/>
        <v>67096</v>
      </c>
      <c r="BJ322">
        <f t="shared" si="93"/>
        <v>1923501</v>
      </c>
      <c r="BK322">
        <f t="shared" si="94"/>
        <v>17554645</v>
      </c>
      <c r="BL322">
        <f t="shared" si="95"/>
        <v>58495</v>
      </c>
      <c r="BM322">
        <f t="shared" si="96"/>
        <v>0</v>
      </c>
      <c r="BN322" t="str">
        <f t="shared" si="83"/>
        <v>u=10%, k=2x10^7</v>
      </c>
      <c r="BO322" t="str">
        <f t="shared" si="84"/>
        <v>u=10%, k=2x10^7, sequential</v>
      </c>
      <c r="BP322">
        <f t="shared" si="85"/>
        <v>1.3253876151250001</v>
      </c>
      <c r="BQ322">
        <f t="shared" si="86"/>
        <v>19.694716477250001</v>
      </c>
      <c r="BR322">
        <f t="shared" si="87"/>
        <v>1.5547090201666667</v>
      </c>
      <c r="BS322">
        <f t="shared" si="88"/>
        <v>0.99610836008333337</v>
      </c>
      <c r="BT322">
        <f t="shared" si="89"/>
        <v>0.48583600104166669</v>
      </c>
      <c r="BU322">
        <f t="shared" si="90"/>
        <v>36.067121384041663</v>
      </c>
    </row>
    <row r="323" spans="1:73">
      <c r="A323" t="s">
        <v>1036</v>
      </c>
      <c r="B323" t="s">
        <v>136</v>
      </c>
      <c r="C323">
        <v>72</v>
      </c>
      <c r="D323" t="s">
        <v>56</v>
      </c>
      <c r="E323" t="s">
        <v>53</v>
      </c>
      <c r="F323" t="s">
        <v>54</v>
      </c>
      <c r="G323">
        <v>60000</v>
      </c>
      <c r="H323">
        <v>5</v>
      </c>
      <c r="I323">
        <v>5</v>
      </c>
      <c r="J323">
        <v>0</v>
      </c>
      <c r="K323">
        <v>1</v>
      </c>
      <c r="L323">
        <v>20000000</v>
      </c>
      <c r="M323">
        <v>48</v>
      </c>
      <c r="N323">
        <v>48</v>
      </c>
      <c r="O323">
        <v>48</v>
      </c>
      <c r="P323">
        <v>0</v>
      </c>
      <c r="Q323" t="s">
        <v>55</v>
      </c>
      <c r="R323">
        <v>99990456893940</v>
      </c>
      <c r="S323">
        <v>9999499</v>
      </c>
      <c r="T323">
        <v>99990456893940</v>
      </c>
      <c r="U323">
        <v>9999499</v>
      </c>
      <c r="V323" t="s">
        <v>63</v>
      </c>
      <c r="W323">
        <v>7</v>
      </c>
      <c r="X323">
        <v>1709306</v>
      </c>
      <c r="Y323">
        <v>11618384</v>
      </c>
      <c r="Z323">
        <v>13327690</v>
      </c>
      <c r="AA323">
        <v>9999499</v>
      </c>
      <c r="AB323">
        <v>7.7971399999999997</v>
      </c>
      <c r="AC323">
        <v>0.86066200000000004</v>
      </c>
      <c r="AD323">
        <v>4.0173899999999998</v>
      </c>
      <c r="AE323">
        <v>322642032</v>
      </c>
      <c r="AF323" t="s">
        <v>1037</v>
      </c>
      <c r="AG323" t="s">
        <v>1038</v>
      </c>
      <c r="AI323">
        <v>136150</v>
      </c>
      <c r="AJ323">
        <v>2873123913757</v>
      </c>
      <c r="AK323">
        <v>52891520447</v>
      </c>
      <c r="AL323">
        <v>1398067268272</v>
      </c>
      <c r="AM323">
        <v>66312470544</v>
      </c>
      <c r="AN323">
        <v>62138330827</v>
      </c>
      <c r="AO323">
        <v>20613177146</v>
      </c>
      <c r="AP323">
        <v>1393931580</v>
      </c>
      <c r="AQ323">
        <v>0</v>
      </c>
      <c r="AR323">
        <v>154877488</v>
      </c>
      <c r="AS323">
        <v>1393931580</v>
      </c>
      <c r="AT323">
        <v>1548809068</v>
      </c>
      <c r="AU323">
        <v>23232193</v>
      </c>
      <c r="AV323">
        <v>0</v>
      </c>
      <c r="AW323">
        <v>2581291</v>
      </c>
      <c r="AX323">
        <v>23232193</v>
      </c>
      <c r="AY323">
        <v>25813484</v>
      </c>
      <c r="AZ323">
        <v>18.1343</v>
      </c>
      <c r="BA323">
        <v>7.3234000000000004</v>
      </c>
      <c r="BB323">
        <v>5147.0600000000004</v>
      </c>
      <c r="BC323">
        <v>1757.62</v>
      </c>
      <c r="BD323">
        <v>3847</v>
      </c>
      <c r="BE323">
        <v>164</v>
      </c>
      <c r="BF323">
        <f t="shared" si="81"/>
        <v>59.856748203270833</v>
      </c>
      <c r="BG323" s="31">
        <f t="shared" si="82"/>
        <v>33.333807650749996</v>
      </c>
      <c r="BH323">
        <f t="shared" si="91"/>
        <v>30</v>
      </c>
      <c r="BI323">
        <f t="shared" si="92"/>
        <v>96082</v>
      </c>
      <c r="BJ323">
        <f t="shared" si="93"/>
        <v>2105596</v>
      </c>
      <c r="BK323">
        <f t="shared" si="94"/>
        <v>22033572</v>
      </c>
      <c r="BL323">
        <f t="shared" si="95"/>
        <v>72062</v>
      </c>
      <c r="BM323">
        <f t="shared" si="96"/>
        <v>0</v>
      </c>
      <c r="BN323" t="str">
        <f t="shared" si="83"/>
        <v>u=10%, k=2x10^7</v>
      </c>
      <c r="BO323" t="str">
        <f t="shared" si="84"/>
        <v>u=10%, k=2x10^7, sequential</v>
      </c>
      <c r="BP323">
        <f t="shared" si="85"/>
        <v>1.1019066759791667</v>
      </c>
      <c r="BQ323">
        <f t="shared" si="86"/>
        <v>29.126401422333334</v>
      </c>
      <c r="BR323">
        <f t="shared" si="87"/>
        <v>1.3815098030000001</v>
      </c>
      <c r="BS323">
        <f t="shared" si="88"/>
        <v>1.2945485588958332</v>
      </c>
      <c r="BT323">
        <f t="shared" si="89"/>
        <v>0.42944119054166668</v>
      </c>
      <c r="BU323">
        <f t="shared" si="90"/>
        <v>26.522940552520836</v>
      </c>
    </row>
    <row r="324" spans="1:73">
      <c r="A324" t="s">
        <v>1039</v>
      </c>
      <c r="B324" t="s">
        <v>136</v>
      </c>
      <c r="C324">
        <v>72</v>
      </c>
      <c r="D324" t="s">
        <v>56</v>
      </c>
      <c r="E324" t="s">
        <v>53</v>
      </c>
      <c r="F324" t="s">
        <v>54</v>
      </c>
      <c r="G324">
        <v>60000</v>
      </c>
      <c r="H324">
        <v>5</v>
      </c>
      <c r="I324">
        <v>5</v>
      </c>
      <c r="J324">
        <v>0</v>
      </c>
      <c r="K324">
        <v>1</v>
      </c>
      <c r="L324">
        <v>20000000</v>
      </c>
      <c r="M324">
        <v>96</v>
      </c>
      <c r="N324">
        <v>96</v>
      </c>
      <c r="O324">
        <v>96</v>
      </c>
      <c r="P324">
        <v>0</v>
      </c>
      <c r="Q324" t="s">
        <v>55</v>
      </c>
      <c r="R324">
        <v>100017414332991</v>
      </c>
      <c r="S324">
        <v>10001013</v>
      </c>
      <c r="T324">
        <v>100017414332991</v>
      </c>
      <c r="U324">
        <v>10001013</v>
      </c>
      <c r="V324" t="s">
        <v>63</v>
      </c>
      <c r="W324">
        <v>7</v>
      </c>
      <c r="X324">
        <v>1625801</v>
      </c>
      <c r="Y324">
        <v>11443389</v>
      </c>
      <c r="Z324">
        <v>13069190</v>
      </c>
      <c r="AA324">
        <v>10001013</v>
      </c>
      <c r="AB324">
        <v>8.0386199999999999</v>
      </c>
      <c r="AC324">
        <v>0.87395599999999996</v>
      </c>
      <c r="AD324">
        <v>4</v>
      </c>
      <c r="AE324">
        <v>313158288</v>
      </c>
      <c r="AF324" t="s">
        <v>1040</v>
      </c>
      <c r="AG324" t="s">
        <v>1041</v>
      </c>
      <c r="AI324">
        <v>48492</v>
      </c>
      <c r="AJ324">
        <v>5818533463767</v>
      </c>
      <c r="AK324">
        <v>63883051600</v>
      </c>
      <c r="AL324">
        <v>3716664551480</v>
      </c>
      <c r="AM324">
        <v>80515426675</v>
      </c>
      <c r="AN324">
        <v>440919691820</v>
      </c>
      <c r="AO324">
        <v>25165361127</v>
      </c>
      <c r="AP324">
        <v>1665155323</v>
      </c>
      <c r="AQ324">
        <v>0</v>
      </c>
      <c r="AR324">
        <v>185015747</v>
      </c>
      <c r="AS324">
        <v>1665155323</v>
      </c>
      <c r="AT324">
        <v>1850171070</v>
      </c>
      <c r="AU324">
        <v>27752588</v>
      </c>
      <c r="AV324">
        <v>0</v>
      </c>
      <c r="AW324">
        <v>3083595</v>
      </c>
      <c r="AX324">
        <v>27752588</v>
      </c>
      <c r="AY324">
        <v>30836184</v>
      </c>
      <c r="AZ324">
        <v>18.290500000000002</v>
      </c>
      <c r="BA324">
        <v>7.6856499999999999</v>
      </c>
      <c r="BB324">
        <v>8252.9699999999993</v>
      </c>
      <c r="BC324">
        <v>1648.08</v>
      </c>
      <c r="BD324">
        <v>4419</v>
      </c>
      <c r="BE324">
        <v>337</v>
      </c>
      <c r="BF324">
        <f t="shared" si="81"/>
        <v>60.609723580906255</v>
      </c>
      <c r="BG324" s="31">
        <f t="shared" si="82"/>
        <v>45.074459194812498</v>
      </c>
      <c r="BH324">
        <f t="shared" si="91"/>
        <v>37</v>
      </c>
      <c r="BI324">
        <f t="shared" si="92"/>
        <v>116982</v>
      </c>
      <c r="BJ324">
        <f t="shared" si="93"/>
        <v>1706127</v>
      </c>
      <c r="BK324">
        <f t="shared" si="94"/>
        <v>25353329</v>
      </c>
      <c r="BL324">
        <f t="shared" si="95"/>
        <v>74766</v>
      </c>
      <c r="BM324">
        <f t="shared" si="96"/>
        <v>0</v>
      </c>
      <c r="BN324" t="str">
        <f t="shared" si="83"/>
        <v>u=10%, k=2x10^7</v>
      </c>
      <c r="BO324" t="str">
        <f t="shared" si="84"/>
        <v>u=10%, k=2x10^7, sequential</v>
      </c>
      <c r="BP324">
        <f t="shared" si="85"/>
        <v>0.66544845416666665</v>
      </c>
      <c r="BQ324">
        <f t="shared" si="86"/>
        <v>38.715255744583338</v>
      </c>
      <c r="BR324">
        <f t="shared" si="87"/>
        <v>0.83870236119791663</v>
      </c>
      <c r="BS324">
        <f t="shared" si="88"/>
        <v>4.5929134564583336</v>
      </c>
      <c r="BT324">
        <f t="shared" si="89"/>
        <v>0.26213917840625001</v>
      </c>
      <c r="BU324">
        <f t="shared" si="90"/>
        <v>15.53526438609375</v>
      </c>
    </row>
    <row r="325" spans="1:73">
      <c r="A325" t="s">
        <v>1042</v>
      </c>
      <c r="B325" t="s">
        <v>136</v>
      </c>
      <c r="C325">
        <v>72</v>
      </c>
      <c r="D325" t="s">
        <v>56</v>
      </c>
      <c r="E325" t="s">
        <v>53</v>
      </c>
      <c r="F325" t="s">
        <v>54</v>
      </c>
      <c r="G325">
        <v>60000</v>
      </c>
      <c r="H325">
        <v>5</v>
      </c>
      <c r="I325">
        <v>5</v>
      </c>
      <c r="J325">
        <v>0</v>
      </c>
      <c r="K325">
        <v>1</v>
      </c>
      <c r="L325">
        <v>20000000</v>
      </c>
      <c r="M325">
        <v>144</v>
      </c>
      <c r="N325">
        <v>144</v>
      </c>
      <c r="O325">
        <v>144</v>
      </c>
      <c r="P325">
        <v>0</v>
      </c>
      <c r="Q325" t="s">
        <v>55</v>
      </c>
      <c r="R325">
        <v>99996959081729</v>
      </c>
      <c r="S325">
        <v>10000245</v>
      </c>
      <c r="T325">
        <v>99996959081729</v>
      </c>
      <c r="U325">
        <v>10000245</v>
      </c>
      <c r="V325" t="s">
        <v>63</v>
      </c>
      <c r="W325">
        <v>7</v>
      </c>
      <c r="X325">
        <v>1625820</v>
      </c>
      <c r="Y325">
        <v>11442646</v>
      </c>
      <c r="Z325">
        <v>13068466</v>
      </c>
      <c r="AA325">
        <v>10000245</v>
      </c>
      <c r="AB325">
        <v>8.0380800000000008</v>
      </c>
      <c r="AC325">
        <v>0.87394499999999997</v>
      </c>
      <c r="AD325">
        <v>4.0000099999999996</v>
      </c>
      <c r="AE325">
        <v>313147920</v>
      </c>
      <c r="AF325" t="s">
        <v>1043</v>
      </c>
      <c r="AG325" t="s">
        <v>1044</v>
      </c>
      <c r="AI325">
        <v>27496</v>
      </c>
      <c r="AJ325">
        <v>8729126374480</v>
      </c>
      <c r="AK325">
        <v>60307435236</v>
      </c>
      <c r="AL325">
        <v>6036122281252</v>
      </c>
      <c r="AM325">
        <v>78361685595</v>
      </c>
      <c r="AN325">
        <v>1106057561663</v>
      </c>
      <c r="AO325">
        <v>25305086331</v>
      </c>
      <c r="AP325">
        <v>1574935423</v>
      </c>
      <c r="AQ325">
        <v>0</v>
      </c>
      <c r="AR325">
        <v>174990738</v>
      </c>
      <c r="AS325">
        <v>1574935423</v>
      </c>
      <c r="AT325">
        <v>1749926161</v>
      </c>
      <c r="AU325">
        <v>26248923</v>
      </c>
      <c r="AV325">
        <v>0</v>
      </c>
      <c r="AW325">
        <v>2916512</v>
      </c>
      <c r="AX325">
        <v>26248923</v>
      </c>
      <c r="AY325">
        <v>29165436</v>
      </c>
      <c r="AZ325">
        <v>18.3718</v>
      </c>
      <c r="BA325">
        <v>7.9719899999999999</v>
      </c>
      <c r="BB325">
        <v>12249.9</v>
      </c>
      <c r="BC325">
        <v>1621.33</v>
      </c>
      <c r="BD325">
        <v>4762</v>
      </c>
      <c r="BE325">
        <v>403</v>
      </c>
      <c r="BF325">
        <f t="shared" si="81"/>
        <v>60.618933156111112</v>
      </c>
      <c r="BG325" s="31">
        <f t="shared" si="82"/>
        <v>50.737180903312499</v>
      </c>
      <c r="BH325">
        <f t="shared" si="91"/>
        <v>35</v>
      </c>
      <c r="BI325">
        <f t="shared" si="92"/>
        <v>110703</v>
      </c>
      <c r="BJ325">
        <f t="shared" si="93"/>
        <v>926116</v>
      </c>
      <c r="BK325">
        <f t="shared" si="94"/>
        <v>23416364</v>
      </c>
      <c r="BL325">
        <f t="shared" si="95"/>
        <v>58326</v>
      </c>
      <c r="BM325">
        <f t="shared" si="96"/>
        <v>0</v>
      </c>
      <c r="BN325" t="str">
        <f t="shared" si="83"/>
        <v>u=10%, k=2x10^7</v>
      </c>
      <c r="BO325" t="str">
        <f t="shared" si="84"/>
        <v>u=10%, k=2x10^7, sequential</v>
      </c>
      <c r="BP325">
        <f t="shared" si="85"/>
        <v>0.41880163358333333</v>
      </c>
      <c r="BQ325">
        <f t="shared" si="86"/>
        <v>41.917515842027775</v>
      </c>
      <c r="BR325">
        <f t="shared" si="87"/>
        <v>0.54417837218749998</v>
      </c>
      <c r="BS325">
        <f t="shared" si="88"/>
        <v>7.6809552893263877</v>
      </c>
      <c r="BT325">
        <f t="shared" si="89"/>
        <v>0.1757297661875</v>
      </c>
      <c r="BU325">
        <f t="shared" si="90"/>
        <v>9.8817522527986057</v>
      </c>
    </row>
    <row r="326" spans="1:73">
      <c r="A326" t="s">
        <v>1045</v>
      </c>
      <c r="B326" t="s">
        <v>136</v>
      </c>
      <c r="C326">
        <v>72</v>
      </c>
      <c r="D326" t="s">
        <v>56</v>
      </c>
      <c r="E326" t="s">
        <v>53</v>
      </c>
      <c r="F326" t="s">
        <v>54</v>
      </c>
      <c r="G326">
        <v>60000</v>
      </c>
      <c r="H326">
        <v>5</v>
      </c>
      <c r="I326">
        <v>5</v>
      </c>
      <c r="J326">
        <v>0</v>
      </c>
      <c r="K326">
        <v>1</v>
      </c>
      <c r="L326">
        <v>20000000</v>
      </c>
      <c r="M326">
        <v>190</v>
      </c>
      <c r="N326">
        <v>190</v>
      </c>
      <c r="O326">
        <v>190</v>
      </c>
      <c r="P326">
        <v>0</v>
      </c>
      <c r="Q326" t="s">
        <v>55</v>
      </c>
      <c r="R326">
        <v>99993990938700</v>
      </c>
      <c r="S326">
        <v>10000161</v>
      </c>
      <c r="T326">
        <v>99993990938700</v>
      </c>
      <c r="U326">
        <v>10000161</v>
      </c>
      <c r="V326" t="s">
        <v>63</v>
      </c>
      <c r="W326">
        <v>7</v>
      </c>
      <c r="X326">
        <v>1764706</v>
      </c>
      <c r="Y326">
        <v>11738493</v>
      </c>
      <c r="Z326">
        <v>13503199</v>
      </c>
      <c r="AA326">
        <v>10000161</v>
      </c>
      <c r="AB326">
        <v>7.6518100000000002</v>
      </c>
      <c r="AC326">
        <v>0.851912</v>
      </c>
      <c r="AD326">
        <v>4.0279699999999998</v>
      </c>
      <c r="AE326">
        <v>329009872</v>
      </c>
      <c r="AF326" t="s">
        <v>1046</v>
      </c>
      <c r="AG326" t="s">
        <v>1047</v>
      </c>
      <c r="AI326">
        <v>20846</v>
      </c>
      <c r="AJ326">
        <v>11382093239191</v>
      </c>
      <c r="AK326">
        <v>64365181836</v>
      </c>
      <c r="AL326">
        <v>7884859347336</v>
      </c>
      <c r="AM326">
        <v>82601599136</v>
      </c>
      <c r="AN326">
        <v>1816183424410</v>
      </c>
      <c r="AO326">
        <v>25675532572</v>
      </c>
      <c r="AP326">
        <v>1653724733</v>
      </c>
      <c r="AQ326">
        <v>0</v>
      </c>
      <c r="AR326">
        <v>183732989</v>
      </c>
      <c r="AS326">
        <v>1653724733</v>
      </c>
      <c r="AT326">
        <v>1837457722</v>
      </c>
      <c r="AU326">
        <v>27562078</v>
      </c>
      <c r="AV326">
        <v>0</v>
      </c>
      <c r="AW326">
        <v>3062216</v>
      </c>
      <c r="AX326">
        <v>27562078</v>
      </c>
      <c r="AY326">
        <v>30624295</v>
      </c>
      <c r="AZ326">
        <v>18.473800000000001</v>
      </c>
      <c r="BA326">
        <v>8.1802200000000003</v>
      </c>
      <c r="BB326">
        <v>14574.9</v>
      </c>
      <c r="BC326">
        <v>1647.38</v>
      </c>
      <c r="BD326">
        <v>5210</v>
      </c>
      <c r="BE326">
        <v>412</v>
      </c>
      <c r="BF326">
        <f t="shared" si="81"/>
        <v>59.905753890478941</v>
      </c>
      <c r="BG326" s="31">
        <f t="shared" si="82"/>
        <v>51.966763606789478</v>
      </c>
      <c r="BH326">
        <f t="shared" si="91"/>
        <v>36</v>
      </c>
      <c r="BI326">
        <f t="shared" si="92"/>
        <v>115875</v>
      </c>
      <c r="BJ326">
        <f t="shared" si="93"/>
        <v>983785</v>
      </c>
      <c r="BK326">
        <f t="shared" si="94"/>
        <v>24625205</v>
      </c>
      <c r="BL326">
        <f t="shared" si="95"/>
        <v>62003</v>
      </c>
      <c r="BM326">
        <f t="shared" si="96"/>
        <v>0</v>
      </c>
      <c r="BN326" t="str">
        <f t="shared" si="83"/>
        <v>u=10%, k=2x10^7</v>
      </c>
      <c r="BO326" t="str">
        <f t="shared" si="84"/>
        <v>u=10%, k=2x10^7, sequential</v>
      </c>
      <c r="BP326">
        <f t="shared" si="85"/>
        <v>0.33876411492631581</v>
      </c>
      <c r="BQ326">
        <f t="shared" si="86"/>
        <v>41.499259722821051</v>
      </c>
      <c r="BR326">
        <f t="shared" si="87"/>
        <v>0.43474525861052632</v>
      </c>
      <c r="BS326">
        <f t="shared" si="88"/>
        <v>9.5588601284736843</v>
      </c>
      <c r="BT326">
        <f t="shared" si="89"/>
        <v>0.13513438195789473</v>
      </c>
      <c r="BU326">
        <f t="shared" si="90"/>
        <v>7.9389902836894706</v>
      </c>
    </row>
    <row r="327" spans="1:73">
      <c r="A327" t="s">
        <v>1048</v>
      </c>
      <c r="B327" t="s">
        <v>136</v>
      </c>
      <c r="C327">
        <v>72</v>
      </c>
      <c r="D327" t="s">
        <v>56</v>
      </c>
      <c r="E327" t="s">
        <v>53</v>
      </c>
      <c r="F327" t="s">
        <v>54</v>
      </c>
      <c r="G327">
        <v>60000</v>
      </c>
      <c r="H327">
        <v>5</v>
      </c>
      <c r="I327">
        <v>5</v>
      </c>
      <c r="J327">
        <v>0</v>
      </c>
      <c r="K327">
        <v>1</v>
      </c>
      <c r="L327">
        <v>200000000</v>
      </c>
      <c r="M327">
        <v>24</v>
      </c>
      <c r="N327">
        <v>24</v>
      </c>
      <c r="O327">
        <v>24</v>
      </c>
      <c r="P327">
        <v>0</v>
      </c>
      <c r="Q327" t="s">
        <v>55</v>
      </c>
      <c r="R327">
        <v>1.00017751961716E+16</v>
      </c>
      <c r="S327">
        <v>100008769</v>
      </c>
      <c r="T327">
        <v>1.00017751961716E+16</v>
      </c>
      <c r="U327">
        <v>100008769</v>
      </c>
      <c r="V327" t="s">
        <v>63</v>
      </c>
      <c r="W327">
        <v>7</v>
      </c>
      <c r="X327">
        <v>11011105</v>
      </c>
      <c r="Y327">
        <v>110009778</v>
      </c>
      <c r="Z327">
        <v>121020883</v>
      </c>
      <c r="AA327">
        <v>100008769</v>
      </c>
      <c r="AB327">
        <v>10.9908</v>
      </c>
      <c r="AC327">
        <v>0.90908999999999995</v>
      </c>
      <c r="AD327">
        <v>4</v>
      </c>
      <c r="AE327">
        <v>2641044832</v>
      </c>
      <c r="AF327" t="s">
        <v>1049</v>
      </c>
      <c r="AG327" t="s">
        <v>1050</v>
      </c>
      <c r="AI327">
        <v>365128</v>
      </c>
      <c r="AJ327">
        <v>1470719624682</v>
      </c>
      <c r="AK327">
        <v>24270497486</v>
      </c>
      <c r="AL327">
        <v>445117489563</v>
      </c>
      <c r="AM327">
        <v>31670485879</v>
      </c>
      <c r="AN327">
        <v>29518836705</v>
      </c>
      <c r="AO327">
        <v>10162447317</v>
      </c>
      <c r="AP327">
        <v>900091551</v>
      </c>
      <c r="AQ327">
        <v>0</v>
      </c>
      <c r="AR327">
        <v>99994507</v>
      </c>
      <c r="AS327">
        <v>900091551</v>
      </c>
      <c r="AT327">
        <v>1000086058</v>
      </c>
      <c r="AU327">
        <v>15001525</v>
      </c>
      <c r="AV327">
        <v>0</v>
      </c>
      <c r="AW327">
        <v>1666575</v>
      </c>
      <c r="AX327">
        <v>15001525</v>
      </c>
      <c r="AY327">
        <v>16668100</v>
      </c>
      <c r="AZ327">
        <v>21.052700000000002</v>
      </c>
      <c r="BA327">
        <v>9.5846099999999996</v>
      </c>
      <c r="BB327">
        <v>4020.43</v>
      </c>
      <c r="BC327">
        <v>2034.86</v>
      </c>
      <c r="BD327">
        <v>9840</v>
      </c>
      <c r="BE327">
        <v>1566</v>
      </c>
      <c r="BF327">
        <f t="shared" si="81"/>
        <v>61.279984361749996</v>
      </c>
      <c r="BG327" s="31">
        <f t="shared" si="82"/>
        <v>22.530823206250002</v>
      </c>
      <c r="BH327">
        <f t="shared" si="91"/>
        <v>2</v>
      </c>
      <c r="BI327">
        <f t="shared" si="92"/>
        <v>12717</v>
      </c>
      <c r="BJ327">
        <f t="shared" si="93"/>
        <v>994664</v>
      </c>
      <c r="BK327">
        <f t="shared" si="94"/>
        <v>8433983</v>
      </c>
      <c r="BL327">
        <f t="shared" si="95"/>
        <v>1385881</v>
      </c>
      <c r="BM327">
        <f t="shared" si="96"/>
        <v>0</v>
      </c>
      <c r="BN327" t="str">
        <f t="shared" si="83"/>
        <v>u=10%, k=2x10^8</v>
      </c>
      <c r="BO327" t="str">
        <f t="shared" si="84"/>
        <v>u=10%, k=2x10^8, sequential</v>
      </c>
      <c r="BP327">
        <f t="shared" si="85"/>
        <v>1.0112707285833333</v>
      </c>
      <c r="BQ327">
        <f t="shared" si="86"/>
        <v>18.546562065124998</v>
      </c>
      <c r="BR327">
        <f t="shared" si="87"/>
        <v>1.3196035782916666</v>
      </c>
      <c r="BS327">
        <f t="shared" si="88"/>
        <v>1.2299515293749999</v>
      </c>
      <c r="BT327">
        <f t="shared" si="89"/>
        <v>0.42343530487499997</v>
      </c>
      <c r="BU327">
        <f t="shared" si="90"/>
        <v>38.749161155499998</v>
      </c>
    </row>
    <row r="328" spans="1:73">
      <c r="A328" t="s">
        <v>1051</v>
      </c>
      <c r="B328" t="s">
        <v>136</v>
      </c>
      <c r="C328">
        <v>72</v>
      </c>
      <c r="D328" t="s">
        <v>56</v>
      </c>
      <c r="E328" t="s">
        <v>53</v>
      </c>
      <c r="F328" t="s">
        <v>54</v>
      </c>
      <c r="G328">
        <v>60000</v>
      </c>
      <c r="H328">
        <v>5</v>
      </c>
      <c r="I328">
        <v>5</v>
      </c>
      <c r="J328">
        <v>0</v>
      </c>
      <c r="K328">
        <v>1</v>
      </c>
      <c r="L328">
        <v>200000000</v>
      </c>
      <c r="M328">
        <v>48</v>
      </c>
      <c r="N328">
        <v>48</v>
      </c>
      <c r="O328">
        <v>48</v>
      </c>
      <c r="P328">
        <v>0</v>
      </c>
      <c r="Q328" t="s">
        <v>55</v>
      </c>
      <c r="R328">
        <v>9999467248598830</v>
      </c>
      <c r="S328">
        <v>99999123</v>
      </c>
      <c r="T328">
        <v>9999467248598830</v>
      </c>
      <c r="U328">
        <v>99999123</v>
      </c>
      <c r="V328" t="s">
        <v>63</v>
      </c>
      <c r="W328">
        <v>7</v>
      </c>
      <c r="X328">
        <v>11010017</v>
      </c>
      <c r="Y328">
        <v>109999150</v>
      </c>
      <c r="Z328">
        <v>121009167</v>
      </c>
      <c r="AA328">
        <v>99999123</v>
      </c>
      <c r="AB328">
        <v>10.9908</v>
      </c>
      <c r="AC328">
        <v>0.90908999999999995</v>
      </c>
      <c r="AD328">
        <v>4</v>
      </c>
      <c r="AE328">
        <v>2640787744</v>
      </c>
      <c r="AF328" t="s">
        <v>1052</v>
      </c>
      <c r="AG328" t="s">
        <v>1053</v>
      </c>
      <c r="AI328">
        <v>136406</v>
      </c>
      <c r="AJ328">
        <v>3330725409764</v>
      </c>
      <c r="AK328">
        <v>57251020186</v>
      </c>
      <c r="AL328">
        <v>1401921992409</v>
      </c>
      <c r="AM328">
        <v>70046280403</v>
      </c>
      <c r="AN328">
        <v>185509133197</v>
      </c>
      <c r="AO328">
        <v>20986087813</v>
      </c>
      <c r="AP328">
        <v>1349774618</v>
      </c>
      <c r="AQ328">
        <v>0</v>
      </c>
      <c r="AR328">
        <v>149991738</v>
      </c>
      <c r="AS328">
        <v>1349774618</v>
      </c>
      <c r="AT328">
        <v>1499766356</v>
      </c>
      <c r="AU328">
        <v>22496243</v>
      </c>
      <c r="AV328">
        <v>0</v>
      </c>
      <c r="AW328">
        <v>2499862</v>
      </c>
      <c r="AX328">
        <v>22496243</v>
      </c>
      <c r="AY328">
        <v>24996105</v>
      </c>
      <c r="AZ328">
        <v>21.620699999999999</v>
      </c>
      <c r="BA328">
        <v>9.8429500000000001</v>
      </c>
      <c r="BB328">
        <v>5926.03</v>
      </c>
      <c r="BC328">
        <v>2388.1</v>
      </c>
      <c r="BD328">
        <v>13302</v>
      </c>
      <c r="BE328">
        <v>1307</v>
      </c>
      <c r="BF328">
        <f t="shared" si="81"/>
        <v>69.390112703416662</v>
      </c>
      <c r="BG328" s="31">
        <f t="shared" si="82"/>
        <v>36.160719041833332</v>
      </c>
      <c r="BH328">
        <f t="shared" si="91"/>
        <v>3</v>
      </c>
      <c r="BI328">
        <f t="shared" si="92"/>
        <v>25768</v>
      </c>
      <c r="BJ328">
        <f t="shared" si="93"/>
        <v>1409824</v>
      </c>
      <c r="BK328">
        <f t="shared" si="94"/>
        <v>12480763</v>
      </c>
      <c r="BL328">
        <f t="shared" si="95"/>
        <v>2055148</v>
      </c>
      <c r="BM328">
        <f t="shared" si="96"/>
        <v>0</v>
      </c>
      <c r="BN328" t="str">
        <f t="shared" si="83"/>
        <v>u=10%, k=2x10^8</v>
      </c>
      <c r="BO328" t="str">
        <f t="shared" si="84"/>
        <v>u=10%, k=2x10^8, sequential</v>
      </c>
      <c r="BP328">
        <f t="shared" si="85"/>
        <v>1.1927295872083332</v>
      </c>
      <c r="BQ328">
        <f t="shared" si="86"/>
        <v>29.206708175187501</v>
      </c>
      <c r="BR328">
        <f t="shared" si="87"/>
        <v>1.4592975083958333</v>
      </c>
      <c r="BS328">
        <f t="shared" si="88"/>
        <v>3.8647736082708337</v>
      </c>
      <c r="BT328">
        <f t="shared" si="89"/>
        <v>0.43721016277083335</v>
      </c>
      <c r="BU328">
        <f t="shared" si="90"/>
        <v>33.22939366158333</v>
      </c>
    </row>
    <row r="329" spans="1:73">
      <c r="A329" t="s">
        <v>1054</v>
      </c>
      <c r="B329" t="s">
        <v>136</v>
      </c>
      <c r="C329">
        <v>72</v>
      </c>
      <c r="D329" t="s">
        <v>56</v>
      </c>
      <c r="E329" t="s">
        <v>53</v>
      </c>
      <c r="F329" t="s">
        <v>54</v>
      </c>
      <c r="G329">
        <v>60000</v>
      </c>
      <c r="H329">
        <v>5</v>
      </c>
      <c r="I329">
        <v>5</v>
      </c>
      <c r="J329">
        <v>0</v>
      </c>
      <c r="K329">
        <v>1</v>
      </c>
      <c r="L329">
        <v>200000000</v>
      </c>
      <c r="M329">
        <v>96</v>
      </c>
      <c r="N329">
        <v>96</v>
      </c>
      <c r="O329">
        <v>96</v>
      </c>
      <c r="P329">
        <v>0</v>
      </c>
      <c r="Q329" t="s">
        <v>55</v>
      </c>
      <c r="R329">
        <v>9999515689317330</v>
      </c>
      <c r="S329">
        <v>99992622</v>
      </c>
      <c r="T329">
        <v>9999515689317330</v>
      </c>
      <c r="U329">
        <v>99992622</v>
      </c>
      <c r="V329" t="s">
        <v>63</v>
      </c>
      <c r="W329">
        <v>7</v>
      </c>
      <c r="X329">
        <v>14659314</v>
      </c>
      <c r="Y329">
        <v>117582508</v>
      </c>
      <c r="Z329">
        <v>132241822</v>
      </c>
      <c r="AA329">
        <v>99992622</v>
      </c>
      <c r="AB329">
        <v>9.0210100000000004</v>
      </c>
      <c r="AC329">
        <v>0.85040400000000005</v>
      </c>
      <c r="AD329">
        <v>4.0760399999999999</v>
      </c>
      <c r="AE329">
        <v>3057495920</v>
      </c>
      <c r="AF329" t="s">
        <v>1055</v>
      </c>
      <c r="AG329" t="s">
        <v>1056</v>
      </c>
      <c r="AI329">
        <v>49698</v>
      </c>
      <c r="AJ329">
        <v>5767033699276</v>
      </c>
      <c r="AK329">
        <v>59023751692</v>
      </c>
      <c r="AL329">
        <v>2644652587111</v>
      </c>
      <c r="AM329">
        <v>72269126272</v>
      </c>
      <c r="AN329">
        <v>1140840197283</v>
      </c>
      <c r="AO329">
        <v>20508481087</v>
      </c>
      <c r="AP329">
        <v>1562896307</v>
      </c>
      <c r="AQ329">
        <v>0</v>
      </c>
      <c r="AR329">
        <v>173653517</v>
      </c>
      <c r="AS329">
        <v>1562896307</v>
      </c>
      <c r="AT329">
        <v>1736549824</v>
      </c>
      <c r="AU329">
        <v>26048271</v>
      </c>
      <c r="AV329">
        <v>0</v>
      </c>
      <c r="AW329">
        <v>2894225</v>
      </c>
      <c r="AX329">
        <v>26048271</v>
      </c>
      <c r="AY329">
        <v>28942497</v>
      </c>
      <c r="AZ329">
        <v>21.798100000000002</v>
      </c>
      <c r="BA329">
        <v>10.4693</v>
      </c>
      <c r="BB329">
        <v>7593.51</v>
      </c>
      <c r="BC329">
        <v>2271.92</v>
      </c>
      <c r="BD329">
        <v>14122</v>
      </c>
      <c r="BE329">
        <v>1059</v>
      </c>
      <c r="BF329">
        <f t="shared" si="81"/>
        <v>60.073267700791668</v>
      </c>
      <c r="BG329" s="31">
        <f t="shared" si="82"/>
        <v>41.013480660885413</v>
      </c>
      <c r="BH329">
        <f t="shared" si="91"/>
        <v>3</v>
      </c>
      <c r="BI329">
        <f t="shared" si="92"/>
        <v>29736</v>
      </c>
      <c r="BJ329">
        <f t="shared" si="93"/>
        <v>1185658</v>
      </c>
      <c r="BK329">
        <f t="shared" si="94"/>
        <v>13235236</v>
      </c>
      <c r="BL329">
        <f t="shared" si="95"/>
        <v>2330061</v>
      </c>
      <c r="BM329">
        <f t="shared" si="96"/>
        <v>0</v>
      </c>
      <c r="BN329" t="str">
        <f t="shared" si="83"/>
        <v>u=10%, k=2x10^8</v>
      </c>
      <c r="BO329" t="str">
        <f t="shared" si="84"/>
        <v>u=10%, k=2x10^8, sequential</v>
      </c>
      <c r="BP329">
        <f t="shared" si="85"/>
        <v>0.6148307467916666</v>
      </c>
      <c r="BQ329">
        <f t="shared" si="86"/>
        <v>27.548464449072913</v>
      </c>
      <c r="BR329">
        <f t="shared" si="87"/>
        <v>0.75280339866666657</v>
      </c>
      <c r="BS329">
        <f t="shared" si="88"/>
        <v>11.88375205503125</v>
      </c>
      <c r="BT329">
        <f t="shared" si="89"/>
        <v>0.21363001132291667</v>
      </c>
      <c r="BU329">
        <f t="shared" si="90"/>
        <v>19.059787039906247</v>
      </c>
    </row>
    <row r="330" spans="1:73">
      <c r="A330" t="s">
        <v>1057</v>
      </c>
      <c r="B330" t="s">
        <v>136</v>
      </c>
      <c r="C330">
        <v>72</v>
      </c>
      <c r="D330" t="s">
        <v>56</v>
      </c>
      <c r="E330" t="s">
        <v>53</v>
      </c>
      <c r="F330" t="s">
        <v>54</v>
      </c>
      <c r="G330">
        <v>60000</v>
      </c>
      <c r="H330">
        <v>5</v>
      </c>
      <c r="I330">
        <v>5</v>
      </c>
      <c r="J330">
        <v>0</v>
      </c>
      <c r="K330">
        <v>1</v>
      </c>
      <c r="L330">
        <v>200000000</v>
      </c>
      <c r="M330">
        <v>144</v>
      </c>
      <c r="N330">
        <v>144</v>
      </c>
      <c r="O330">
        <v>144</v>
      </c>
      <c r="P330">
        <v>0</v>
      </c>
      <c r="Q330" t="s">
        <v>55</v>
      </c>
      <c r="R330">
        <v>1.00004085328754E+16</v>
      </c>
      <c r="S330">
        <v>100005359</v>
      </c>
      <c r="T330">
        <v>1.00004085328754E+16</v>
      </c>
      <c r="U330">
        <v>100005359</v>
      </c>
      <c r="V330" t="s">
        <v>63</v>
      </c>
      <c r="W330">
        <v>7</v>
      </c>
      <c r="X330">
        <v>13055553</v>
      </c>
      <c r="Y330">
        <v>114205186</v>
      </c>
      <c r="Z330">
        <v>127260739</v>
      </c>
      <c r="AA330">
        <v>100005359</v>
      </c>
      <c r="AB330">
        <v>9.7476299999999991</v>
      </c>
      <c r="AC330">
        <v>0.875664</v>
      </c>
      <c r="AD330">
        <v>4.0401899999999999</v>
      </c>
      <c r="AE330">
        <v>2873790800</v>
      </c>
      <c r="AF330" t="s">
        <v>1058</v>
      </c>
      <c r="AG330" t="s">
        <v>1059</v>
      </c>
      <c r="AI330">
        <v>33792</v>
      </c>
      <c r="AJ330">
        <v>8652332439964</v>
      </c>
      <c r="AK330">
        <v>66877954365</v>
      </c>
      <c r="AL330">
        <v>3963913886924</v>
      </c>
      <c r="AM330">
        <v>90650830797</v>
      </c>
      <c r="AN330">
        <v>2405513996590</v>
      </c>
      <c r="AO330">
        <v>22732105793</v>
      </c>
      <c r="AP330">
        <v>1758311962</v>
      </c>
      <c r="AQ330">
        <v>0</v>
      </c>
      <c r="AR330">
        <v>195346127</v>
      </c>
      <c r="AS330">
        <v>1758311962</v>
      </c>
      <c r="AT330">
        <v>1953658089</v>
      </c>
      <c r="AU330">
        <v>29305199</v>
      </c>
      <c r="AV330">
        <v>0</v>
      </c>
      <c r="AW330">
        <v>3255768</v>
      </c>
      <c r="AX330">
        <v>29305199</v>
      </c>
      <c r="AY330">
        <v>32560968</v>
      </c>
      <c r="AZ330">
        <v>21.912800000000001</v>
      </c>
      <c r="BA330">
        <v>10.7827</v>
      </c>
      <c r="BB330">
        <v>9300.93</v>
      </c>
      <c r="BC330">
        <v>2306.85</v>
      </c>
      <c r="BD330">
        <v>16855</v>
      </c>
      <c r="BE330">
        <v>1248</v>
      </c>
      <c r="BF330">
        <f t="shared" si="81"/>
        <v>60.08564194419445</v>
      </c>
      <c r="BG330" s="31">
        <f t="shared" si="82"/>
        <v>45.483949822701391</v>
      </c>
      <c r="BH330">
        <f t="shared" si="91"/>
        <v>3</v>
      </c>
      <c r="BI330">
        <f t="shared" si="92"/>
        <v>34428</v>
      </c>
      <c r="BJ330">
        <f t="shared" si="93"/>
        <v>1376201</v>
      </c>
      <c r="BK330">
        <f t="shared" si="94"/>
        <v>15515524</v>
      </c>
      <c r="BL330">
        <f t="shared" si="95"/>
        <v>2637582</v>
      </c>
      <c r="BM330">
        <f t="shared" si="96"/>
        <v>0</v>
      </c>
      <c r="BN330" t="str">
        <f t="shared" si="83"/>
        <v>u=10%, k=2x10^8</v>
      </c>
      <c r="BO330" t="str">
        <f t="shared" si="84"/>
        <v>u=10%, k=2x10^8, sequential</v>
      </c>
      <c r="BP330">
        <f t="shared" si="85"/>
        <v>0.46443023864583327</v>
      </c>
      <c r="BQ330">
        <f t="shared" si="86"/>
        <v>27.527179770305555</v>
      </c>
      <c r="BR330">
        <f t="shared" si="87"/>
        <v>0.62951965831250001</v>
      </c>
      <c r="BS330">
        <f t="shared" si="88"/>
        <v>16.704958309652778</v>
      </c>
      <c r="BT330">
        <f t="shared" si="89"/>
        <v>0.1578618457847222</v>
      </c>
      <c r="BU330">
        <f t="shared" si="90"/>
        <v>14.601692121493059</v>
      </c>
    </row>
    <row r="331" spans="1:73">
      <c r="A331" t="s">
        <v>1060</v>
      </c>
      <c r="B331" t="s">
        <v>136</v>
      </c>
      <c r="C331">
        <v>72</v>
      </c>
      <c r="D331" t="s">
        <v>56</v>
      </c>
      <c r="E331" t="s">
        <v>53</v>
      </c>
      <c r="F331" t="s">
        <v>54</v>
      </c>
      <c r="G331">
        <v>60000</v>
      </c>
      <c r="H331">
        <v>5</v>
      </c>
      <c r="I331">
        <v>5</v>
      </c>
      <c r="J331">
        <v>0</v>
      </c>
      <c r="K331">
        <v>1</v>
      </c>
      <c r="L331">
        <v>200000000</v>
      </c>
      <c r="M331">
        <v>190</v>
      </c>
      <c r="N331">
        <v>190</v>
      </c>
      <c r="O331">
        <v>190</v>
      </c>
      <c r="P331">
        <v>0</v>
      </c>
      <c r="Q331" t="s">
        <v>55</v>
      </c>
      <c r="R331">
        <v>1.00008769842667E+16</v>
      </c>
      <c r="S331">
        <v>100010399</v>
      </c>
      <c r="T331">
        <v>1.00008769842667E+16</v>
      </c>
      <c r="U331">
        <v>100010399</v>
      </c>
      <c r="V331" t="s">
        <v>63</v>
      </c>
      <c r="W331">
        <v>7</v>
      </c>
      <c r="X331">
        <v>12548295</v>
      </c>
      <c r="Y331">
        <v>113141556</v>
      </c>
      <c r="Z331">
        <v>125689851</v>
      </c>
      <c r="AA331">
        <v>100010399</v>
      </c>
      <c r="AB331">
        <v>10.016500000000001</v>
      </c>
      <c r="AC331">
        <v>0.88393999999999995</v>
      </c>
      <c r="AD331">
        <v>4.0298600000000002</v>
      </c>
      <c r="AE331">
        <v>2815556192</v>
      </c>
      <c r="AF331" t="s">
        <v>1061</v>
      </c>
      <c r="AG331" t="s">
        <v>1062</v>
      </c>
      <c r="AI331">
        <v>26402</v>
      </c>
      <c r="AJ331">
        <v>11440173734544</v>
      </c>
      <c r="AK331">
        <v>69568248679</v>
      </c>
      <c r="AL331">
        <v>5277624826489</v>
      </c>
      <c r="AM331">
        <v>87277664523</v>
      </c>
      <c r="AN331">
        <v>3859510976435</v>
      </c>
      <c r="AO331">
        <v>22909262091</v>
      </c>
      <c r="AP331">
        <v>1761928923</v>
      </c>
      <c r="AQ331">
        <v>0</v>
      </c>
      <c r="AR331">
        <v>195788557</v>
      </c>
      <c r="AS331">
        <v>1761928923</v>
      </c>
      <c r="AT331">
        <v>1957717480</v>
      </c>
      <c r="AU331">
        <v>29365482</v>
      </c>
      <c r="AV331">
        <v>0</v>
      </c>
      <c r="AW331">
        <v>3263142</v>
      </c>
      <c r="AX331">
        <v>29365482</v>
      </c>
      <c r="AY331">
        <v>32628624</v>
      </c>
      <c r="AZ331">
        <v>22.07</v>
      </c>
      <c r="BA331">
        <v>11.0054</v>
      </c>
      <c r="BB331">
        <v>11278.4</v>
      </c>
      <c r="BC331">
        <v>2335.3200000000002</v>
      </c>
      <c r="BD331">
        <v>15404</v>
      </c>
      <c r="BE331">
        <v>1104</v>
      </c>
      <c r="BF331">
        <f t="shared" si="81"/>
        <v>60.211440708126311</v>
      </c>
      <c r="BG331" s="31">
        <f t="shared" si="82"/>
        <v>49.036268306405262</v>
      </c>
      <c r="BH331">
        <f t="shared" si="91"/>
        <v>3</v>
      </c>
      <c r="BI331">
        <f t="shared" si="92"/>
        <v>36151</v>
      </c>
      <c r="BJ331">
        <f t="shared" si="93"/>
        <v>1363880</v>
      </c>
      <c r="BK331">
        <f t="shared" si="94"/>
        <v>15491701</v>
      </c>
      <c r="BL331">
        <f t="shared" si="95"/>
        <v>2637846</v>
      </c>
      <c r="BM331">
        <f t="shared" si="96"/>
        <v>0</v>
      </c>
      <c r="BN331" t="str">
        <f t="shared" si="83"/>
        <v>u=10%, k=2x10^8</v>
      </c>
      <c r="BO331" t="str">
        <f t="shared" si="84"/>
        <v>u=10%, k=2x10^8, sequential</v>
      </c>
      <c r="BP331">
        <f t="shared" si="85"/>
        <v>0.36614867725789479</v>
      </c>
      <c r="BQ331">
        <f t="shared" si="86"/>
        <v>27.776972770994735</v>
      </c>
      <c r="BR331">
        <f t="shared" si="87"/>
        <v>0.45935612906842105</v>
      </c>
      <c r="BS331">
        <f t="shared" si="88"/>
        <v>20.31321566544737</v>
      </c>
      <c r="BT331">
        <f t="shared" si="89"/>
        <v>0.1205750636368421</v>
      </c>
      <c r="BU331">
        <f t="shared" si="90"/>
        <v>11.175172401721049</v>
      </c>
    </row>
    <row r="332" spans="1:73">
      <c r="A332" t="s">
        <v>1063</v>
      </c>
      <c r="B332" t="s">
        <v>136</v>
      </c>
      <c r="C332">
        <v>72</v>
      </c>
      <c r="D332" t="s">
        <v>56</v>
      </c>
      <c r="E332" t="s">
        <v>53</v>
      </c>
      <c r="F332" t="s">
        <v>54</v>
      </c>
      <c r="G332">
        <v>60000</v>
      </c>
      <c r="H332">
        <v>5</v>
      </c>
      <c r="I332">
        <v>5</v>
      </c>
      <c r="J332">
        <v>0</v>
      </c>
      <c r="K332">
        <v>1</v>
      </c>
      <c r="L332">
        <v>2000000000</v>
      </c>
      <c r="M332">
        <v>24</v>
      </c>
      <c r="N332">
        <v>24</v>
      </c>
      <c r="O332">
        <v>24</v>
      </c>
      <c r="P332">
        <v>0</v>
      </c>
      <c r="Q332" t="s">
        <v>55</v>
      </c>
      <c r="R332">
        <v>9.9998913568521101E+17</v>
      </c>
      <c r="S332">
        <v>999998702</v>
      </c>
      <c r="T332">
        <v>9.9998913568521101E+17</v>
      </c>
      <c r="U332">
        <v>999998702</v>
      </c>
      <c r="V332" t="s">
        <v>63</v>
      </c>
      <c r="W332">
        <v>7</v>
      </c>
      <c r="X332">
        <v>107459792</v>
      </c>
      <c r="Y332">
        <v>1125494989</v>
      </c>
      <c r="Z332">
        <v>1232954781</v>
      </c>
      <c r="AA332">
        <v>999998702</v>
      </c>
      <c r="AB332">
        <v>11.473599999999999</v>
      </c>
      <c r="AC332">
        <v>0.88849699999999998</v>
      </c>
      <c r="AD332">
        <v>4.0474500000000004</v>
      </c>
      <c r="AE332">
        <v>26620506464</v>
      </c>
      <c r="AF332" t="s">
        <v>1064</v>
      </c>
      <c r="AG332" t="s">
        <v>1064</v>
      </c>
      <c r="AI332">
        <v>388828</v>
      </c>
      <c r="AJ332">
        <v>1436559113759</v>
      </c>
      <c r="AK332">
        <v>875135690</v>
      </c>
      <c r="AM332">
        <v>1764366261</v>
      </c>
      <c r="AN332">
        <v>2212357454</v>
      </c>
      <c r="AO332">
        <v>241846640</v>
      </c>
      <c r="AP332">
        <v>946507790</v>
      </c>
      <c r="AQ332">
        <v>0</v>
      </c>
      <c r="AR332">
        <v>105176088</v>
      </c>
      <c r="AS332">
        <v>946507790</v>
      </c>
      <c r="AT332">
        <v>1051683878</v>
      </c>
      <c r="AU332">
        <v>15775129</v>
      </c>
      <c r="AV332">
        <v>0</v>
      </c>
      <c r="AW332">
        <v>1752934</v>
      </c>
      <c r="AX332">
        <v>15775129</v>
      </c>
      <c r="AY332">
        <v>17528064</v>
      </c>
      <c r="AZ332">
        <v>22.952000000000002</v>
      </c>
      <c r="BA332">
        <v>13.4697</v>
      </c>
      <c r="BB332">
        <v>3810.88</v>
      </c>
      <c r="BC332">
        <v>3044.6</v>
      </c>
      <c r="BD332">
        <v>61806</v>
      </c>
      <c r="BE332">
        <v>16083</v>
      </c>
      <c r="BF332">
        <f t="shared" si="81"/>
        <v>59.856629739958329</v>
      </c>
      <c r="BG332" s="31">
        <f t="shared" si="82"/>
        <v>0.21223775187500002</v>
      </c>
      <c r="BH332">
        <f t="shared" si="91"/>
        <v>0</v>
      </c>
      <c r="BI332">
        <f t="shared" si="92"/>
        <v>0</v>
      </c>
      <c r="BJ332">
        <f t="shared" si="93"/>
        <v>0</v>
      </c>
      <c r="BK332">
        <f t="shared" si="94"/>
        <v>1023748</v>
      </c>
      <c r="BL332">
        <f t="shared" si="95"/>
        <v>1105778</v>
      </c>
      <c r="BM332">
        <f t="shared" si="96"/>
        <v>0</v>
      </c>
      <c r="BN332" t="str">
        <f t="shared" si="83"/>
        <v>u=10%, k=2x10^9</v>
      </c>
      <c r="BO332" t="str">
        <f t="shared" si="84"/>
        <v>u=10%, k=2x10^9, sequential</v>
      </c>
      <c r="BP332">
        <f t="shared" si="85"/>
        <v>3.6463987083333337E-2</v>
      </c>
      <c r="BQ332">
        <f t="shared" si="86"/>
        <v>0</v>
      </c>
      <c r="BR332">
        <f t="shared" si="87"/>
        <v>7.3515260875000002E-2</v>
      </c>
      <c r="BS332">
        <f t="shared" si="88"/>
        <v>9.2181560583333336E-2</v>
      </c>
      <c r="BT332">
        <f t="shared" si="89"/>
        <v>1.0076943333333333E-2</v>
      </c>
      <c r="BU332">
        <f t="shared" si="90"/>
        <v>59.644391988083328</v>
      </c>
    </row>
    <row r="333" spans="1:73">
      <c r="A333" t="s">
        <v>1065</v>
      </c>
      <c r="B333" t="s">
        <v>136</v>
      </c>
      <c r="C333">
        <v>72</v>
      </c>
      <c r="D333" t="s">
        <v>56</v>
      </c>
      <c r="E333" t="s">
        <v>53</v>
      </c>
      <c r="F333" t="s">
        <v>54</v>
      </c>
      <c r="G333">
        <v>60000</v>
      </c>
      <c r="H333">
        <v>5</v>
      </c>
      <c r="I333">
        <v>5</v>
      </c>
      <c r="J333">
        <v>0</v>
      </c>
      <c r="K333">
        <v>1</v>
      </c>
      <c r="L333">
        <v>2000000000</v>
      </c>
      <c r="M333">
        <v>48</v>
      </c>
      <c r="N333">
        <v>48</v>
      </c>
      <c r="O333">
        <v>48</v>
      </c>
      <c r="P333">
        <v>0</v>
      </c>
      <c r="Q333" t="s">
        <v>55</v>
      </c>
      <c r="R333">
        <v>1.00001452013759E+18</v>
      </c>
      <c r="S333">
        <v>1000015774</v>
      </c>
      <c r="T333">
        <v>1.00001452013759E+18</v>
      </c>
      <c r="U333">
        <v>1000015774</v>
      </c>
      <c r="V333" t="s">
        <v>63</v>
      </c>
      <c r="W333">
        <v>7</v>
      </c>
      <c r="X333">
        <v>119354497</v>
      </c>
      <c r="Y333">
        <v>1150602360</v>
      </c>
      <c r="Z333">
        <v>1269956857</v>
      </c>
      <c r="AA333">
        <v>1000015774</v>
      </c>
      <c r="AB333">
        <v>10.6402</v>
      </c>
      <c r="AC333">
        <v>0.86912400000000001</v>
      </c>
      <c r="AD333">
        <v>4.0731099999999998</v>
      </c>
      <c r="AE333">
        <v>27994560064</v>
      </c>
      <c r="AF333" t="s">
        <v>1066</v>
      </c>
      <c r="AG333" t="s">
        <v>1067</v>
      </c>
      <c r="AI333">
        <v>171536</v>
      </c>
      <c r="AJ333">
        <v>2873118960933</v>
      </c>
      <c r="AK333">
        <v>5145536496</v>
      </c>
      <c r="AM333">
        <v>9190457896</v>
      </c>
      <c r="AN333">
        <v>9217216696</v>
      </c>
      <c r="AO333">
        <v>1746210914</v>
      </c>
      <c r="AP333">
        <v>1698818247</v>
      </c>
      <c r="AQ333">
        <v>0</v>
      </c>
      <c r="AR333">
        <v>188767118</v>
      </c>
      <c r="AS333">
        <v>1698818247</v>
      </c>
      <c r="AT333">
        <v>1887585365</v>
      </c>
      <c r="AU333">
        <v>28313637</v>
      </c>
      <c r="AV333">
        <v>0</v>
      </c>
      <c r="AW333">
        <v>3146118</v>
      </c>
      <c r="AX333">
        <v>28313637</v>
      </c>
      <c r="AY333">
        <v>31459756</v>
      </c>
      <c r="AZ333">
        <v>23.132400000000001</v>
      </c>
      <c r="BA333">
        <v>13.6997</v>
      </c>
      <c r="BB333">
        <v>4245.16</v>
      </c>
      <c r="BC333">
        <v>3534.62</v>
      </c>
      <c r="BD333">
        <v>63668</v>
      </c>
      <c r="BE333">
        <v>12442</v>
      </c>
      <c r="BF333">
        <f t="shared" si="81"/>
        <v>59.856645019437501</v>
      </c>
      <c r="BG333" s="31">
        <f t="shared" si="82"/>
        <v>0.52707129170833333</v>
      </c>
      <c r="BH333">
        <f t="shared" si="91"/>
        <v>0</v>
      </c>
      <c r="BI333">
        <f t="shared" si="92"/>
        <v>0</v>
      </c>
      <c r="BJ333">
        <f t="shared" si="93"/>
        <v>1</v>
      </c>
      <c r="BK333">
        <f t="shared" si="94"/>
        <v>4891644</v>
      </c>
      <c r="BL333">
        <f t="shared" si="95"/>
        <v>2899318</v>
      </c>
      <c r="BM333">
        <f t="shared" si="96"/>
        <v>0</v>
      </c>
      <c r="BN333" t="str">
        <f t="shared" si="83"/>
        <v>u=10%, k=2x10^9</v>
      </c>
      <c r="BO333" t="str">
        <f t="shared" si="84"/>
        <v>u=10%, k=2x10^9, sequential</v>
      </c>
      <c r="BP333">
        <f t="shared" si="85"/>
        <v>0.10719867700000001</v>
      </c>
      <c r="BQ333">
        <f t="shared" si="86"/>
        <v>0</v>
      </c>
      <c r="BR333">
        <f t="shared" si="87"/>
        <v>0.19146787283333333</v>
      </c>
      <c r="BS333">
        <f t="shared" si="88"/>
        <v>0.19202534783333333</v>
      </c>
      <c r="BT333">
        <f t="shared" si="89"/>
        <v>3.6379394041666666E-2</v>
      </c>
      <c r="BU333">
        <f t="shared" si="90"/>
        <v>59.329573727729169</v>
      </c>
    </row>
    <row r="334" spans="1:73">
      <c r="A334" t="s">
        <v>1068</v>
      </c>
      <c r="B334" t="s">
        <v>136</v>
      </c>
      <c r="C334">
        <v>72</v>
      </c>
      <c r="D334" t="s">
        <v>56</v>
      </c>
      <c r="E334" t="s">
        <v>53</v>
      </c>
      <c r="F334" t="s">
        <v>54</v>
      </c>
      <c r="G334">
        <v>60000</v>
      </c>
      <c r="H334">
        <v>5</v>
      </c>
      <c r="I334">
        <v>5</v>
      </c>
      <c r="J334">
        <v>0</v>
      </c>
      <c r="K334">
        <v>1</v>
      </c>
      <c r="L334">
        <v>2000000000</v>
      </c>
      <c r="M334">
        <v>96</v>
      </c>
      <c r="N334">
        <v>96</v>
      </c>
      <c r="O334">
        <v>96</v>
      </c>
      <c r="P334">
        <v>0</v>
      </c>
      <c r="Q334" t="s">
        <v>55</v>
      </c>
      <c r="R334">
        <v>9.9999648939111603E+17</v>
      </c>
      <c r="S334">
        <v>999994784</v>
      </c>
      <c r="T334">
        <v>9.9999648939111603E+17</v>
      </c>
      <c r="U334">
        <v>999994784</v>
      </c>
      <c r="V334" t="s">
        <v>63</v>
      </c>
      <c r="W334">
        <v>7</v>
      </c>
      <c r="X334">
        <v>126255255</v>
      </c>
      <c r="Y334">
        <v>1167309990</v>
      </c>
      <c r="Z334">
        <v>1293565245</v>
      </c>
      <c r="AA334">
        <v>999994784</v>
      </c>
      <c r="AB334">
        <v>10.2456</v>
      </c>
      <c r="AC334">
        <v>0.85666600000000004</v>
      </c>
      <c r="AD334">
        <v>4.0892999999999997</v>
      </c>
      <c r="AE334">
        <v>28841750768</v>
      </c>
      <c r="AF334" t="s">
        <v>1069</v>
      </c>
      <c r="AG334" t="s">
        <v>1070</v>
      </c>
      <c r="AI334">
        <v>90430</v>
      </c>
      <c r="AJ334">
        <v>5746252953244</v>
      </c>
      <c r="AK334">
        <v>32323118141</v>
      </c>
      <c r="AL334">
        <v>334383</v>
      </c>
      <c r="AM334">
        <v>45930721204</v>
      </c>
      <c r="AN334">
        <v>41376671181</v>
      </c>
      <c r="AO334">
        <v>10957616611</v>
      </c>
      <c r="AP334">
        <v>3603555867</v>
      </c>
      <c r="AQ334">
        <v>0</v>
      </c>
      <c r="AR334">
        <v>400395121</v>
      </c>
      <c r="AS334">
        <v>3603555867</v>
      </c>
      <c r="AT334">
        <v>4003950988</v>
      </c>
      <c r="AU334">
        <v>60059264</v>
      </c>
      <c r="AV334">
        <v>0</v>
      </c>
      <c r="AW334">
        <v>6673252</v>
      </c>
      <c r="AX334">
        <v>60059264</v>
      </c>
      <c r="AY334">
        <v>66732516</v>
      </c>
      <c r="AZ334">
        <v>23.614100000000001</v>
      </c>
      <c r="BA334">
        <v>14.6919</v>
      </c>
      <c r="BB334">
        <v>3999.76</v>
      </c>
      <c r="BC334">
        <v>3234.5</v>
      </c>
      <c r="BD334">
        <v>66650</v>
      </c>
      <c r="BE334">
        <v>9961</v>
      </c>
      <c r="BF334">
        <f t="shared" si="81"/>
        <v>59.856801596291668</v>
      </c>
      <c r="BG334" s="31">
        <f t="shared" si="82"/>
        <v>1.3602964741666668</v>
      </c>
      <c r="BH334">
        <f t="shared" si="91"/>
        <v>0</v>
      </c>
      <c r="BI334">
        <f t="shared" si="92"/>
        <v>0</v>
      </c>
      <c r="BJ334">
        <f t="shared" si="93"/>
        <v>455919</v>
      </c>
      <c r="BK334">
        <f t="shared" si="94"/>
        <v>25846837</v>
      </c>
      <c r="BL334">
        <f t="shared" si="95"/>
        <v>7895176</v>
      </c>
      <c r="BM334">
        <f t="shared" si="96"/>
        <v>0</v>
      </c>
      <c r="BN334" t="str">
        <f t="shared" si="83"/>
        <v>u=10%, k=2x10^9</v>
      </c>
      <c r="BO334" t="str">
        <f t="shared" si="84"/>
        <v>u=10%, k=2x10^9, sequential</v>
      </c>
      <c r="BP334">
        <f t="shared" si="85"/>
        <v>0.33669914730208333</v>
      </c>
      <c r="BQ334">
        <f t="shared" si="86"/>
        <v>3.4831562499999999E-6</v>
      </c>
      <c r="BR334">
        <f t="shared" si="87"/>
        <v>0.47844501254166666</v>
      </c>
      <c r="BS334">
        <f t="shared" si="88"/>
        <v>0.43100699146874999</v>
      </c>
      <c r="BT334">
        <f t="shared" si="89"/>
        <v>0.11414183969791668</v>
      </c>
      <c r="BU334">
        <f t="shared" si="90"/>
        <v>58.496505122125001</v>
      </c>
    </row>
    <row r="335" spans="1:73">
      <c r="A335" t="s">
        <v>1071</v>
      </c>
      <c r="B335" t="s">
        <v>136</v>
      </c>
      <c r="C335">
        <v>72</v>
      </c>
      <c r="D335" t="s">
        <v>56</v>
      </c>
      <c r="E335" t="s">
        <v>53</v>
      </c>
      <c r="F335" t="s">
        <v>54</v>
      </c>
      <c r="G335">
        <v>60000</v>
      </c>
      <c r="H335">
        <v>5</v>
      </c>
      <c r="I335">
        <v>5</v>
      </c>
      <c r="J335">
        <v>0</v>
      </c>
      <c r="K335">
        <v>1</v>
      </c>
      <c r="L335">
        <v>2000000000</v>
      </c>
      <c r="M335">
        <v>190</v>
      </c>
      <c r="N335">
        <v>190</v>
      </c>
      <c r="O335">
        <v>190</v>
      </c>
      <c r="P335">
        <v>0</v>
      </c>
      <c r="Q335" t="s">
        <v>55</v>
      </c>
      <c r="R335">
        <v>9.9999612179411994E+17</v>
      </c>
      <c r="S335">
        <v>999979799</v>
      </c>
      <c r="T335">
        <v>9.9999612179411994E+17</v>
      </c>
      <c r="U335">
        <v>999979799</v>
      </c>
      <c r="V335" t="s">
        <v>63</v>
      </c>
      <c r="W335">
        <v>7</v>
      </c>
      <c r="X335">
        <v>84465084</v>
      </c>
      <c r="Y335">
        <v>1078784410</v>
      </c>
      <c r="Z335">
        <v>1163249494</v>
      </c>
      <c r="AA335">
        <v>999979799</v>
      </c>
      <c r="AB335">
        <v>13.772</v>
      </c>
      <c r="AC335">
        <v>0.92695099999999997</v>
      </c>
      <c r="AD335">
        <v>4</v>
      </c>
      <c r="AE335">
        <v>24017757264</v>
      </c>
      <c r="AF335" t="s">
        <v>1072</v>
      </c>
      <c r="AG335" t="s">
        <v>1073</v>
      </c>
      <c r="AI335">
        <v>28372</v>
      </c>
      <c r="AJ335">
        <v>20421656735146</v>
      </c>
      <c r="AK335">
        <v>239134257200</v>
      </c>
      <c r="AL335">
        <v>12482269974555</v>
      </c>
      <c r="AM335">
        <v>235078347819</v>
      </c>
      <c r="AN335">
        <v>154628392722</v>
      </c>
      <c r="AO335">
        <v>87439823002</v>
      </c>
      <c r="AP335">
        <v>4500707811</v>
      </c>
      <c r="AQ335">
        <v>0</v>
      </c>
      <c r="AR335">
        <v>500016368</v>
      </c>
      <c r="AS335">
        <v>4500707811</v>
      </c>
      <c r="AT335">
        <v>5000724179</v>
      </c>
      <c r="AU335">
        <v>75011796</v>
      </c>
      <c r="AV335">
        <v>0</v>
      </c>
      <c r="AW335">
        <v>8333606</v>
      </c>
      <c r="AX335">
        <v>75011796</v>
      </c>
      <c r="AY335">
        <v>83345402</v>
      </c>
      <c r="AZ335">
        <v>25.139800000000001</v>
      </c>
      <c r="BA335">
        <v>15.9772</v>
      </c>
      <c r="BB335">
        <v>11364.7</v>
      </c>
      <c r="BC335">
        <v>3534.39</v>
      </c>
      <c r="BD335">
        <v>121577</v>
      </c>
      <c r="BE335">
        <v>8918</v>
      </c>
      <c r="BF335">
        <f t="shared" si="81"/>
        <v>107.48240386918947</v>
      </c>
      <c r="BG335" s="31">
        <f t="shared" si="82"/>
        <v>69.466056817357895</v>
      </c>
      <c r="BH335">
        <f t="shared" si="91"/>
        <v>1</v>
      </c>
      <c r="BI335">
        <f t="shared" si="92"/>
        <v>31597</v>
      </c>
      <c r="BJ335">
        <f t="shared" si="93"/>
        <v>2148485</v>
      </c>
      <c r="BK335">
        <f t="shared" si="94"/>
        <v>33458637</v>
      </c>
      <c r="BL335">
        <f t="shared" si="95"/>
        <v>9430974</v>
      </c>
      <c r="BM335">
        <f t="shared" si="96"/>
        <v>0</v>
      </c>
      <c r="BN335" t="str">
        <f t="shared" si="83"/>
        <v>u=10%, k=2x10^9</v>
      </c>
      <c r="BO335" t="str">
        <f t="shared" si="84"/>
        <v>u=10%, k=2x10^9, sequential</v>
      </c>
      <c r="BP335">
        <f t="shared" si="85"/>
        <v>1.2586013536842107</v>
      </c>
      <c r="BQ335">
        <f t="shared" si="86"/>
        <v>65.696157760815794</v>
      </c>
      <c r="BR335">
        <f t="shared" si="87"/>
        <v>1.237254462205263</v>
      </c>
      <c r="BS335">
        <f t="shared" si="88"/>
        <v>0.81383364590526319</v>
      </c>
      <c r="BT335">
        <f t="shared" si="89"/>
        <v>0.46020959474736839</v>
      </c>
      <c r="BU335">
        <f t="shared" si="90"/>
        <v>38.016347051831573</v>
      </c>
    </row>
    <row r="336" spans="1:73">
      <c r="A336" t="s">
        <v>1074</v>
      </c>
      <c r="B336" t="s">
        <v>136</v>
      </c>
      <c r="C336">
        <v>72</v>
      </c>
      <c r="D336" t="s">
        <v>56</v>
      </c>
      <c r="E336" t="s">
        <v>53</v>
      </c>
      <c r="F336" t="s">
        <v>54</v>
      </c>
      <c r="G336">
        <v>60000</v>
      </c>
      <c r="H336">
        <v>20</v>
      </c>
      <c r="I336">
        <v>20</v>
      </c>
      <c r="J336">
        <v>0</v>
      </c>
      <c r="K336">
        <v>1</v>
      </c>
      <c r="L336">
        <v>2000000</v>
      </c>
      <c r="M336">
        <v>24</v>
      </c>
      <c r="N336">
        <v>24</v>
      </c>
      <c r="O336">
        <v>24</v>
      </c>
      <c r="P336">
        <v>0</v>
      </c>
      <c r="Q336" t="s">
        <v>55</v>
      </c>
      <c r="R336">
        <v>998768154418</v>
      </c>
      <c r="S336">
        <v>998696</v>
      </c>
      <c r="T336">
        <v>998768154418</v>
      </c>
      <c r="U336">
        <v>998696</v>
      </c>
      <c r="V336" t="s">
        <v>63</v>
      </c>
      <c r="W336">
        <v>6</v>
      </c>
      <c r="X336">
        <v>33008</v>
      </c>
      <c r="Y336">
        <v>1030711</v>
      </c>
      <c r="Z336">
        <v>1063719</v>
      </c>
      <c r="AA336">
        <v>998696</v>
      </c>
      <c r="AB336">
        <v>32.226100000000002</v>
      </c>
      <c r="AC336">
        <v>0.96893899999999999</v>
      </c>
      <c r="AD336">
        <v>3.0000100000000001</v>
      </c>
      <c r="AE336">
        <v>19132000</v>
      </c>
      <c r="AF336" t="s">
        <v>1075</v>
      </c>
      <c r="AG336" t="s">
        <v>1076</v>
      </c>
      <c r="AI336">
        <v>513328</v>
      </c>
      <c r="AJ336">
        <v>1437029230951</v>
      </c>
      <c r="AK336">
        <v>45507778395</v>
      </c>
      <c r="AL336">
        <v>751596282692</v>
      </c>
      <c r="AM336">
        <v>51219998608</v>
      </c>
      <c r="AN336">
        <v>18129123452</v>
      </c>
      <c r="AO336">
        <v>22367271814</v>
      </c>
      <c r="AP336">
        <v>755171992</v>
      </c>
      <c r="AQ336">
        <v>0</v>
      </c>
      <c r="AR336">
        <v>503457555</v>
      </c>
      <c r="AS336">
        <v>755171992</v>
      </c>
      <c r="AT336">
        <v>1258629547</v>
      </c>
      <c r="AU336">
        <v>12586199</v>
      </c>
      <c r="AV336">
        <v>0</v>
      </c>
      <c r="AW336">
        <v>8390959</v>
      </c>
      <c r="AX336">
        <v>12586199</v>
      </c>
      <c r="AY336">
        <v>20977159</v>
      </c>
      <c r="AZ336">
        <v>14.850199999999999</v>
      </c>
      <c r="BA336">
        <v>1.2215</v>
      </c>
      <c r="BB336">
        <v>3175.65</v>
      </c>
      <c r="BC336">
        <v>586.58799999999997</v>
      </c>
      <c r="BD336">
        <v>1774</v>
      </c>
      <c r="BE336">
        <v>27</v>
      </c>
      <c r="BF336">
        <f t="shared" si="81"/>
        <v>59.876217956291669</v>
      </c>
      <c r="BG336" s="31">
        <f t="shared" si="82"/>
        <v>37.034185623375002</v>
      </c>
      <c r="BH336">
        <f t="shared" si="91"/>
        <v>1007</v>
      </c>
      <c r="BI336">
        <f t="shared" si="92"/>
        <v>901919</v>
      </c>
      <c r="BJ336">
        <f t="shared" si="93"/>
        <v>13003798</v>
      </c>
      <c r="BK336">
        <f t="shared" si="94"/>
        <v>14556802</v>
      </c>
      <c r="BL336">
        <f t="shared" si="95"/>
        <v>0</v>
      </c>
      <c r="BM336">
        <f t="shared" si="96"/>
        <v>0</v>
      </c>
      <c r="BN336" t="str">
        <f t="shared" si="83"/>
        <v>u=40%, k=2x10^6</v>
      </c>
      <c r="BO336" t="str">
        <f t="shared" si="84"/>
        <v>u=40%, k=2x10^6, sequential</v>
      </c>
      <c r="BP336">
        <f t="shared" si="85"/>
        <v>1.8961574331250002</v>
      </c>
      <c r="BQ336">
        <f t="shared" si="86"/>
        <v>31.316511778833334</v>
      </c>
      <c r="BR336">
        <f t="shared" si="87"/>
        <v>2.1341666086666664</v>
      </c>
      <c r="BS336">
        <f t="shared" si="88"/>
        <v>0.75538014383333341</v>
      </c>
      <c r="BT336">
        <f t="shared" si="89"/>
        <v>0.93196965891666661</v>
      </c>
      <c r="BU336">
        <f t="shared" si="90"/>
        <v>22.842032332916666</v>
      </c>
    </row>
    <row r="337" spans="1:73">
      <c r="A337" t="s">
        <v>1077</v>
      </c>
      <c r="B337" t="s">
        <v>136</v>
      </c>
      <c r="C337">
        <v>72</v>
      </c>
      <c r="D337" t="s">
        <v>56</v>
      </c>
      <c r="E337" t="s">
        <v>53</v>
      </c>
      <c r="F337" t="s">
        <v>54</v>
      </c>
      <c r="G337">
        <v>60000</v>
      </c>
      <c r="H337">
        <v>20</v>
      </c>
      <c r="I337">
        <v>20</v>
      </c>
      <c r="J337">
        <v>0</v>
      </c>
      <c r="K337">
        <v>1</v>
      </c>
      <c r="L337">
        <v>2000000</v>
      </c>
      <c r="M337">
        <v>48</v>
      </c>
      <c r="N337">
        <v>48</v>
      </c>
      <c r="O337">
        <v>48</v>
      </c>
      <c r="P337">
        <v>0</v>
      </c>
      <c r="Q337" t="s">
        <v>55</v>
      </c>
      <c r="R337">
        <v>1000387834536</v>
      </c>
      <c r="S337">
        <v>1000365</v>
      </c>
      <c r="T337">
        <v>1000387834536</v>
      </c>
      <c r="U337">
        <v>1000365</v>
      </c>
      <c r="V337" t="s">
        <v>63</v>
      </c>
      <c r="W337">
        <v>6</v>
      </c>
      <c r="X337">
        <v>33043</v>
      </c>
      <c r="Y337">
        <v>1032415</v>
      </c>
      <c r="Z337">
        <v>1065458</v>
      </c>
      <c r="AA337">
        <v>1000365</v>
      </c>
      <c r="AB337">
        <v>32.244599999999998</v>
      </c>
      <c r="AC337">
        <v>0.96895600000000004</v>
      </c>
      <c r="AD337">
        <v>3.0000200000000001</v>
      </c>
      <c r="AE337">
        <v>19162064</v>
      </c>
      <c r="AF337" t="s">
        <v>1078</v>
      </c>
      <c r="AG337" t="s">
        <v>1079</v>
      </c>
      <c r="AI337">
        <v>120368</v>
      </c>
      <c r="AJ337">
        <v>2874956575409</v>
      </c>
      <c r="AK337">
        <v>70160367116</v>
      </c>
      <c r="AL337">
        <v>2043260068005</v>
      </c>
      <c r="AM337">
        <v>70628127735</v>
      </c>
      <c r="AN337">
        <v>30386296508</v>
      </c>
      <c r="AO337">
        <v>30917796703</v>
      </c>
      <c r="AP337">
        <v>680859247</v>
      </c>
      <c r="AQ337">
        <v>0</v>
      </c>
      <c r="AR337">
        <v>453942365</v>
      </c>
      <c r="AS337">
        <v>680859247</v>
      </c>
      <c r="AT337">
        <v>1134801612</v>
      </c>
      <c r="AU337">
        <v>11347654</v>
      </c>
      <c r="AV337">
        <v>0</v>
      </c>
      <c r="AW337">
        <v>7565706</v>
      </c>
      <c r="AX337">
        <v>11347654</v>
      </c>
      <c r="AY337">
        <v>18913360</v>
      </c>
      <c r="AZ337">
        <v>14.9092</v>
      </c>
      <c r="BA337">
        <v>1.63018</v>
      </c>
      <c r="BB337">
        <v>7050.58</v>
      </c>
      <c r="BC337">
        <v>980.99400000000003</v>
      </c>
      <c r="BD337">
        <v>2161</v>
      </c>
      <c r="BE337">
        <v>69</v>
      </c>
      <c r="BF337">
        <f t="shared" si="81"/>
        <v>59.894928654354167</v>
      </c>
      <c r="BG337" s="31">
        <f t="shared" si="82"/>
        <v>46.778180334729171</v>
      </c>
      <c r="BH337">
        <f t="shared" si="91"/>
        <v>908</v>
      </c>
      <c r="BI337">
        <f t="shared" si="92"/>
        <v>894557</v>
      </c>
      <c r="BJ337">
        <f t="shared" si="93"/>
        <v>8500383</v>
      </c>
      <c r="BK337">
        <f t="shared" si="94"/>
        <v>12347902</v>
      </c>
      <c r="BL337">
        <f t="shared" si="95"/>
        <v>0</v>
      </c>
      <c r="BM337">
        <f t="shared" si="96"/>
        <v>0</v>
      </c>
      <c r="BN337" t="str">
        <f t="shared" si="83"/>
        <v>u=40%, k=2x10^6</v>
      </c>
      <c r="BO337" t="str">
        <f t="shared" si="84"/>
        <v>u=40%, k=2x10^6, sequential</v>
      </c>
      <c r="BP337">
        <f t="shared" si="85"/>
        <v>1.4616743149166667</v>
      </c>
      <c r="BQ337">
        <f t="shared" si="86"/>
        <v>42.567918083437498</v>
      </c>
      <c r="BR337">
        <f t="shared" si="87"/>
        <v>1.4714193278125001</v>
      </c>
      <c r="BS337">
        <f t="shared" si="88"/>
        <v>0.63304784391666669</v>
      </c>
      <c r="BT337">
        <f t="shared" si="89"/>
        <v>0.64412076464583334</v>
      </c>
      <c r="BU337">
        <f t="shared" si="90"/>
        <v>13.11674831962501</v>
      </c>
    </row>
    <row r="338" spans="1:73">
      <c r="A338" t="s">
        <v>1080</v>
      </c>
      <c r="B338" t="s">
        <v>136</v>
      </c>
      <c r="C338">
        <v>72</v>
      </c>
      <c r="D338" t="s">
        <v>56</v>
      </c>
      <c r="E338" t="s">
        <v>53</v>
      </c>
      <c r="F338" t="s">
        <v>54</v>
      </c>
      <c r="G338">
        <v>60000</v>
      </c>
      <c r="H338">
        <v>20</v>
      </c>
      <c r="I338">
        <v>20</v>
      </c>
      <c r="J338">
        <v>0</v>
      </c>
      <c r="K338">
        <v>1</v>
      </c>
      <c r="L338">
        <v>2000000</v>
      </c>
      <c r="M338">
        <v>96</v>
      </c>
      <c r="N338">
        <v>96</v>
      </c>
      <c r="O338">
        <v>96</v>
      </c>
      <c r="P338">
        <v>0</v>
      </c>
      <c r="Q338" t="s">
        <v>55</v>
      </c>
      <c r="R338">
        <v>999768349783</v>
      </c>
      <c r="S338">
        <v>999994</v>
      </c>
      <c r="T338">
        <v>999768349783</v>
      </c>
      <c r="U338">
        <v>999994</v>
      </c>
      <c r="V338" t="s">
        <v>63</v>
      </c>
      <c r="W338">
        <v>6</v>
      </c>
      <c r="X338">
        <v>33029</v>
      </c>
      <c r="Y338">
        <v>1032041</v>
      </c>
      <c r="Z338">
        <v>1065070</v>
      </c>
      <c r="AA338">
        <v>999994</v>
      </c>
      <c r="AB338">
        <v>32.246499999999997</v>
      </c>
      <c r="AC338">
        <v>0.96894800000000003</v>
      </c>
      <c r="AD338">
        <v>3.0000499999999999</v>
      </c>
      <c r="AE338">
        <v>19154960</v>
      </c>
      <c r="AF338" t="s">
        <v>1081</v>
      </c>
      <c r="AG338" t="s">
        <v>1082</v>
      </c>
      <c r="AI338">
        <v>33400</v>
      </c>
      <c r="AJ338">
        <v>5748740112298</v>
      </c>
      <c r="AK338">
        <v>134226529519</v>
      </c>
      <c r="AL338">
        <v>4409275615505</v>
      </c>
      <c r="AM338">
        <v>91510377410</v>
      </c>
      <c r="AN338">
        <v>308993101494</v>
      </c>
      <c r="AO338">
        <v>28429719177</v>
      </c>
      <c r="AP338">
        <v>570440345</v>
      </c>
      <c r="AQ338">
        <v>0</v>
      </c>
      <c r="AR338">
        <v>380288959</v>
      </c>
      <c r="AS338">
        <v>570440345</v>
      </c>
      <c r="AT338">
        <v>950729304</v>
      </c>
      <c r="AU338">
        <v>9507339</v>
      </c>
      <c r="AV338">
        <v>0</v>
      </c>
      <c r="AW338">
        <v>6338149</v>
      </c>
      <c r="AX338">
        <v>9507339</v>
      </c>
      <c r="AY338">
        <v>15845488</v>
      </c>
      <c r="AZ338">
        <v>17.239599999999999</v>
      </c>
      <c r="BA338">
        <v>5.5125999999999999</v>
      </c>
      <c r="BB338">
        <v>16592.900000000001</v>
      </c>
      <c r="BC338">
        <v>2195.4</v>
      </c>
      <c r="BD338">
        <v>2986</v>
      </c>
      <c r="BE338">
        <v>112</v>
      </c>
      <c r="BF338">
        <f t="shared" si="81"/>
        <v>59.882709503104167</v>
      </c>
      <c r="BG338" s="31">
        <f t="shared" si="82"/>
        <v>51.796201490677085</v>
      </c>
      <c r="BH338">
        <f t="shared" si="91"/>
        <v>761</v>
      </c>
      <c r="BI338">
        <f t="shared" si="92"/>
        <v>1183563</v>
      </c>
      <c r="BJ338">
        <f t="shared" si="93"/>
        <v>2066397</v>
      </c>
      <c r="BK338">
        <f t="shared" si="94"/>
        <v>8784205</v>
      </c>
      <c r="BL338">
        <f t="shared" si="95"/>
        <v>0</v>
      </c>
      <c r="BM338">
        <f t="shared" si="96"/>
        <v>0</v>
      </c>
      <c r="BN338" t="str">
        <f t="shared" si="83"/>
        <v>u=40%, k=2x10^6</v>
      </c>
      <c r="BO338" t="str">
        <f t="shared" si="84"/>
        <v>u=40%, k=2x10^6, sequential</v>
      </c>
      <c r="BP338">
        <f t="shared" si="85"/>
        <v>1.3981930158229166</v>
      </c>
      <c r="BQ338">
        <f t="shared" si="86"/>
        <v>45.929954328177082</v>
      </c>
      <c r="BR338">
        <f t="shared" si="87"/>
        <v>0.95323309802083334</v>
      </c>
      <c r="BS338">
        <f t="shared" si="88"/>
        <v>3.2186781405624996</v>
      </c>
      <c r="BT338">
        <f t="shared" si="89"/>
        <v>0.29614290809374999</v>
      </c>
      <c r="BU338">
        <f t="shared" si="90"/>
        <v>8.0865080124270818</v>
      </c>
    </row>
    <row r="339" spans="1:73">
      <c r="A339" t="s">
        <v>1083</v>
      </c>
      <c r="B339" t="s">
        <v>136</v>
      </c>
      <c r="C339">
        <v>72</v>
      </c>
      <c r="D339" t="s">
        <v>56</v>
      </c>
      <c r="E339" t="s">
        <v>53</v>
      </c>
      <c r="F339" t="s">
        <v>54</v>
      </c>
      <c r="G339">
        <v>60000</v>
      </c>
      <c r="H339">
        <v>20</v>
      </c>
      <c r="I339">
        <v>20</v>
      </c>
      <c r="J339">
        <v>0</v>
      </c>
      <c r="K339">
        <v>1</v>
      </c>
      <c r="L339">
        <v>2000000</v>
      </c>
      <c r="M339">
        <v>144</v>
      </c>
      <c r="N339">
        <v>144</v>
      </c>
      <c r="O339">
        <v>144</v>
      </c>
      <c r="P339">
        <v>0</v>
      </c>
      <c r="Q339" t="s">
        <v>55</v>
      </c>
      <c r="R339">
        <v>1000648108663</v>
      </c>
      <c r="S339">
        <v>1000986</v>
      </c>
      <c r="T339">
        <v>1000648108663</v>
      </c>
      <c r="U339">
        <v>1000986</v>
      </c>
      <c r="V339" t="s">
        <v>63</v>
      </c>
      <c r="W339">
        <v>6</v>
      </c>
      <c r="X339">
        <v>51409</v>
      </c>
      <c r="Y339">
        <v>1070191</v>
      </c>
      <c r="Z339">
        <v>1121600</v>
      </c>
      <c r="AA339">
        <v>1000986</v>
      </c>
      <c r="AB339">
        <v>21.8172</v>
      </c>
      <c r="AC339">
        <v>0.935334</v>
      </c>
      <c r="AD339">
        <v>3.0381300000000002</v>
      </c>
      <c r="AE339">
        <v>21251184</v>
      </c>
      <c r="AF339" t="s">
        <v>1084</v>
      </c>
      <c r="AG339" t="s">
        <v>1085</v>
      </c>
      <c r="AI339">
        <v>16328</v>
      </c>
      <c r="AJ339">
        <v>8619419416614</v>
      </c>
      <c r="AK339">
        <v>190377259692</v>
      </c>
      <c r="AL339">
        <v>6700334850609</v>
      </c>
      <c r="AM339">
        <v>125355014112</v>
      </c>
      <c r="AN339">
        <v>746233766903</v>
      </c>
      <c r="AO339">
        <v>32642574124</v>
      </c>
      <c r="AP339">
        <v>528933474</v>
      </c>
      <c r="AQ339">
        <v>0</v>
      </c>
      <c r="AR339">
        <v>352580531</v>
      </c>
      <c r="AS339">
        <v>528933474</v>
      </c>
      <c r="AT339">
        <v>881514005</v>
      </c>
      <c r="AU339">
        <v>8815557</v>
      </c>
      <c r="AV339">
        <v>0</v>
      </c>
      <c r="AW339">
        <v>5876342</v>
      </c>
      <c r="AX339">
        <v>8815557</v>
      </c>
      <c r="AY339">
        <v>14691900</v>
      </c>
      <c r="AZ339">
        <v>20.734100000000002</v>
      </c>
      <c r="BA339">
        <v>8.8296200000000002</v>
      </c>
      <c r="BB339">
        <v>26137.5</v>
      </c>
      <c r="BC339">
        <v>2930.73</v>
      </c>
      <c r="BD339">
        <v>3699</v>
      </c>
      <c r="BE339">
        <v>206</v>
      </c>
      <c r="BF339">
        <f t="shared" si="81"/>
        <v>59.857079282041667</v>
      </c>
      <c r="BG339" s="31">
        <f t="shared" si="82"/>
        <v>54.131551843333334</v>
      </c>
      <c r="BH339">
        <f t="shared" si="91"/>
        <v>705</v>
      </c>
      <c r="BI339">
        <f t="shared" si="92"/>
        <v>2043356</v>
      </c>
      <c r="BJ339">
        <f t="shared" si="93"/>
        <v>367318</v>
      </c>
      <c r="BK339">
        <f t="shared" si="94"/>
        <v>5722204</v>
      </c>
      <c r="BL339">
        <f t="shared" si="95"/>
        <v>0</v>
      </c>
      <c r="BM339">
        <f t="shared" si="96"/>
        <v>0</v>
      </c>
      <c r="BN339" t="str">
        <f t="shared" si="83"/>
        <v>u=40%, k=2x10^6</v>
      </c>
      <c r="BO339" t="str">
        <f t="shared" si="84"/>
        <v>u=40%, k=2x10^6, sequential</v>
      </c>
      <c r="BP339">
        <f t="shared" si="85"/>
        <v>1.3220643034166666</v>
      </c>
      <c r="BQ339">
        <f t="shared" si="86"/>
        <v>46.530103129229161</v>
      </c>
      <c r="BR339">
        <f t="shared" si="87"/>
        <v>0.87052093133333341</v>
      </c>
      <c r="BS339">
        <f t="shared" si="88"/>
        <v>5.1821789368263884</v>
      </c>
      <c r="BT339">
        <f t="shared" si="89"/>
        <v>0.22668454252777778</v>
      </c>
      <c r="BU339">
        <f t="shared" si="90"/>
        <v>5.7255274387083404</v>
      </c>
    </row>
    <row r="340" spans="1:73">
      <c r="A340" t="s">
        <v>1086</v>
      </c>
      <c r="B340" t="s">
        <v>136</v>
      </c>
      <c r="C340">
        <v>72</v>
      </c>
      <c r="D340" t="s">
        <v>56</v>
      </c>
      <c r="E340" t="s">
        <v>53</v>
      </c>
      <c r="F340" t="s">
        <v>54</v>
      </c>
      <c r="G340">
        <v>60000</v>
      </c>
      <c r="H340">
        <v>20</v>
      </c>
      <c r="I340">
        <v>20</v>
      </c>
      <c r="J340">
        <v>0</v>
      </c>
      <c r="K340">
        <v>1</v>
      </c>
      <c r="L340">
        <v>2000000</v>
      </c>
      <c r="M340">
        <v>190</v>
      </c>
      <c r="N340">
        <v>190</v>
      </c>
      <c r="O340">
        <v>190</v>
      </c>
      <c r="P340">
        <v>0</v>
      </c>
      <c r="Q340" t="s">
        <v>55</v>
      </c>
      <c r="R340">
        <v>1000351767455</v>
      </c>
      <c r="S340">
        <v>1001169</v>
      </c>
      <c r="T340">
        <v>1000351767455</v>
      </c>
      <c r="U340">
        <v>1001169</v>
      </c>
      <c r="V340" t="s">
        <v>63</v>
      </c>
      <c r="W340">
        <v>6</v>
      </c>
      <c r="X340">
        <v>33094</v>
      </c>
      <c r="Y340">
        <v>1033302</v>
      </c>
      <c r="Z340">
        <v>1066396</v>
      </c>
      <c r="AA340">
        <v>1001169</v>
      </c>
      <c r="AB340">
        <v>32.223199999999999</v>
      </c>
      <c r="AC340">
        <v>0.96890299999999996</v>
      </c>
      <c r="AD340">
        <v>3.0001199999999999</v>
      </c>
      <c r="AE340">
        <v>19180336</v>
      </c>
      <c r="AF340" t="s">
        <v>1087</v>
      </c>
      <c r="AG340" t="s">
        <v>1088</v>
      </c>
      <c r="AI340">
        <v>10646</v>
      </c>
      <c r="AJ340">
        <v>11380121563042</v>
      </c>
      <c r="AK340">
        <v>201515945627</v>
      </c>
      <c r="AL340">
        <v>9029738412588</v>
      </c>
      <c r="AM340">
        <v>119145222939</v>
      </c>
      <c r="AN340">
        <v>1091895690962</v>
      </c>
      <c r="AO340">
        <v>29559373308</v>
      </c>
      <c r="AP340">
        <v>531128155</v>
      </c>
      <c r="AQ340">
        <v>0</v>
      </c>
      <c r="AR340">
        <v>354079872</v>
      </c>
      <c r="AS340">
        <v>531128155</v>
      </c>
      <c r="AT340">
        <v>885208027</v>
      </c>
      <c r="AU340">
        <v>8852135</v>
      </c>
      <c r="AV340">
        <v>0</v>
      </c>
      <c r="AW340">
        <v>5901331</v>
      </c>
      <c r="AX340">
        <v>8852135</v>
      </c>
      <c r="AY340">
        <v>14753467</v>
      </c>
      <c r="AZ340">
        <v>20.83</v>
      </c>
      <c r="BA340">
        <v>9.6503099999999993</v>
      </c>
      <c r="BB340">
        <v>34268.5</v>
      </c>
      <c r="BC340">
        <v>3458.48</v>
      </c>
      <c r="BD340">
        <v>4054</v>
      </c>
      <c r="BE340">
        <v>313</v>
      </c>
      <c r="BF340">
        <f t="shared" si="81"/>
        <v>59.895376647589472</v>
      </c>
      <c r="BG340" s="31">
        <f t="shared" si="82"/>
        <v>55.1150244496</v>
      </c>
      <c r="BH340">
        <f t="shared" si="91"/>
        <v>709</v>
      </c>
      <c r="BI340">
        <f t="shared" si="92"/>
        <v>1655300</v>
      </c>
      <c r="BJ340">
        <f t="shared" si="93"/>
        <v>804366</v>
      </c>
      <c r="BK340">
        <f t="shared" si="94"/>
        <v>6644438</v>
      </c>
      <c r="BL340">
        <f t="shared" si="95"/>
        <v>0</v>
      </c>
      <c r="BM340">
        <f t="shared" si="96"/>
        <v>0</v>
      </c>
      <c r="BN340" t="str">
        <f t="shared" si="83"/>
        <v>u=40%, k=2x10^6</v>
      </c>
      <c r="BO340" t="str">
        <f t="shared" si="84"/>
        <v>u=40%, k=2x10^6, sequential</v>
      </c>
      <c r="BP340">
        <f t="shared" si="85"/>
        <v>1.0606102401421054</v>
      </c>
      <c r="BQ340">
        <f t="shared" si="86"/>
        <v>47.524939013621051</v>
      </c>
      <c r="BR340">
        <f t="shared" si="87"/>
        <v>0.62708012073157904</v>
      </c>
      <c r="BS340">
        <f t="shared" si="88"/>
        <v>5.7468194261157892</v>
      </c>
      <c r="BT340">
        <f t="shared" si="89"/>
        <v>0.15557564898947368</v>
      </c>
      <c r="BU340">
        <f t="shared" si="90"/>
        <v>4.7803521979894725</v>
      </c>
    </row>
    <row r="341" spans="1:73">
      <c r="A341" t="s">
        <v>1089</v>
      </c>
      <c r="B341" t="s">
        <v>136</v>
      </c>
      <c r="C341">
        <v>72</v>
      </c>
      <c r="D341" t="s">
        <v>56</v>
      </c>
      <c r="E341" t="s">
        <v>53</v>
      </c>
      <c r="F341" t="s">
        <v>54</v>
      </c>
      <c r="G341">
        <v>60000</v>
      </c>
      <c r="H341">
        <v>20</v>
      </c>
      <c r="I341">
        <v>20</v>
      </c>
      <c r="J341">
        <v>0</v>
      </c>
      <c r="K341">
        <v>1</v>
      </c>
      <c r="L341">
        <v>20000000</v>
      </c>
      <c r="M341">
        <v>24</v>
      </c>
      <c r="N341">
        <v>24</v>
      </c>
      <c r="O341">
        <v>24</v>
      </c>
      <c r="P341">
        <v>0</v>
      </c>
      <c r="Q341" t="s">
        <v>55</v>
      </c>
      <c r="R341">
        <v>99976877319236</v>
      </c>
      <c r="S341">
        <v>10000007</v>
      </c>
      <c r="T341">
        <v>99976877319236</v>
      </c>
      <c r="U341">
        <v>10000007</v>
      </c>
      <c r="V341" t="s">
        <v>63</v>
      </c>
      <c r="W341">
        <v>7</v>
      </c>
      <c r="X341">
        <v>1782466</v>
      </c>
      <c r="Y341">
        <v>11785286</v>
      </c>
      <c r="Z341">
        <v>13567752</v>
      </c>
      <c r="AA341">
        <v>10000007</v>
      </c>
      <c r="AB341">
        <v>7.6117900000000001</v>
      </c>
      <c r="AC341">
        <v>0.84851600000000005</v>
      </c>
      <c r="AD341">
        <v>4.0295199999999998</v>
      </c>
      <c r="AE341">
        <v>331191168</v>
      </c>
      <c r="AF341" t="s">
        <v>1090</v>
      </c>
      <c r="AG341" t="s">
        <v>1091</v>
      </c>
      <c r="AI341">
        <v>207300</v>
      </c>
      <c r="AJ341">
        <v>1436562186566</v>
      </c>
      <c r="AK341">
        <v>54033680487</v>
      </c>
      <c r="AL341">
        <v>798449746697</v>
      </c>
      <c r="AM341">
        <v>63001642251</v>
      </c>
      <c r="AN341">
        <v>56938259703</v>
      </c>
      <c r="AO341">
        <v>20007833694</v>
      </c>
      <c r="AP341">
        <v>322016108</v>
      </c>
      <c r="AQ341">
        <v>0</v>
      </c>
      <c r="AR341">
        <v>214681628</v>
      </c>
      <c r="AS341">
        <v>322016108</v>
      </c>
      <c r="AT341">
        <v>536697736</v>
      </c>
      <c r="AU341">
        <v>5366935</v>
      </c>
      <c r="AV341">
        <v>0</v>
      </c>
      <c r="AW341">
        <v>3578027</v>
      </c>
      <c r="AX341">
        <v>5366935</v>
      </c>
      <c r="AY341">
        <v>8944962</v>
      </c>
      <c r="AZ341">
        <v>24.246400000000001</v>
      </c>
      <c r="BA341">
        <v>10.4855</v>
      </c>
      <c r="BB341">
        <v>7388.92</v>
      </c>
      <c r="BC341">
        <v>1937.2</v>
      </c>
      <c r="BD341">
        <v>3953</v>
      </c>
      <c r="BE341">
        <v>157</v>
      </c>
      <c r="BF341">
        <f t="shared" si="81"/>
        <v>59.856757773583332</v>
      </c>
      <c r="BG341" s="31">
        <f t="shared" si="82"/>
        <v>41.351298451333335</v>
      </c>
      <c r="BH341">
        <f t="shared" si="91"/>
        <v>42</v>
      </c>
      <c r="BI341">
        <f t="shared" si="92"/>
        <v>118517</v>
      </c>
      <c r="BJ341">
        <f t="shared" si="93"/>
        <v>3441265</v>
      </c>
      <c r="BK341">
        <f t="shared" si="94"/>
        <v>31437019</v>
      </c>
      <c r="BL341">
        <f t="shared" si="95"/>
        <v>106413</v>
      </c>
      <c r="BM341">
        <f t="shared" si="96"/>
        <v>0</v>
      </c>
      <c r="BN341" t="str">
        <f t="shared" si="83"/>
        <v>u=40%, k=2x10^7</v>
      </c>
      <c r="BO341" t="str">
        <f t="shared" si="84"/>
        <v>u=40%, k=2x10^7, sequential</v>
      </c>
      <c r="BP341">
        <f t="shared" si="85"/>
        <v>2.2514033536249998</v>
      </c>
      <c r="BQ341">
        <f t="shared" si="86"/>
        <v>33.268739445708334</v>
      </c>
      <c r="BR341">
        <f t="shared" si="87"/>
        <v>2.625068427125</v>
      </c>
      <c r="BS341">
        <f t="shared" si="88"/>
        <v>2.372427487625</v>
      </c>
      <c r="BT341">
        <f t="shared" si="89"/>
        <v>0.83365973724999998</v>
      </c>
      <c r="BU341">
        <f t="shared" si="90"/>
        <v>18.505459322249997</v>
      </c>
    </row>
    <row r="342" spans="1:73">
      <c r="A342" t="s">
        <v>1092</v>
      </c>
      <c r="B342" t="s">
        <v>136</v>
      </c>
      <c r="C342">
        <v>72</v>
      </c>
      <c r="D342" t="s">
        <v>56</v>
      </c>
      <c r="E342" t="s">
        <v>53</v>
      </c>
      <c r="F342" t="s">
        <v>54</v>
      </c>
      <c r="G342">
        <v>60000</v>
      </c>
      <c r="H342">
        <v>20</v>
      </c>
      <c r="I342">
        <v>20</v>
      </c>
      <c r="J342">
        <v>0</v>
      </c>
      <c r="K342">
        <v>1</v>
      </c>
      <c r="L342">
        <v>20000000</v>
      </c>
      <c r="M342">
        <v>48</v>
      </c>
      <c r="N342">
        <v>48</v>
      </c>
      <c r="O342">
        <v>48</v>
      </c>
      <c r="P342">
        <v>0</v>
      </c>
      <c r="Q342" t="s">
        <v>55</v>
      </c>
      <c r="R342">
        <v>99993257482503</v>
      </c>
      <c r="S342">
        <v>9997812</v>
      </c>
      <c r="T342">
        <v>99993257482503</v>
      </c>
      <c r="U342">
        <v>9997812</v>
      </c>
      <c r="V342" t="s">
        <v>63</v>
      </c>
      <c r="W342">
        <v>7</v>
      </c>
      <c r="X342">
        <v>1625283</v>
      </c>
      <c r="Y342">
        <v>11439712</v>
      </c>
      <c r="Z342">
        <v>13064995</v>
      </c>
      <c r="AA342">
        <v>9997812</v>
      </c>
      <c r="AB342">
        <v>8.0386000000000006</v>
      </c>
      <c r="AC342">
        <v>0.87395699999999998</v>
      </c>
      <c r="AD342">
        <v>4</v>
      </c>
      <c r="AE342">
        <v>313058016</v>
      </c>
      <c r="AF342" t="s">
        <v>1093</v>
      </c>
      <c r="AG342" t="s">
        <v>1094</v>
      </c>
      <c r="AI342">
        <v>55960</v>
      </c>
      <c r="AJ342">
        <v>2914120836038</v>
      </c>
      <c r="AK342">
        <v>70834923681</v>
      </c>
      <c r="AL342">
        <v>2046555971993</v>
      </c>
      <c r="AM342">
        <v>88454912967</v>
      </c>
      <c r="AN342">
        <v>151625260204</v>
      </c>
      <c r="AO342">
        <v>27354624450</v>
      </c>
      <c r="AP342">
        <v>322466778</v>
      </c>
      <c r="AQ342">
        <v>0</v>
      </c>
      <c r="AR342">
        <v>214975762</v>
      </c>
      <c r="AS342">
        <v>322466778</v>
      </c>
      <c r="AT342">
        <v>537442540</v>
      </c>
      <c r="AU342">
        <v>5374446</v>
      </c>
      <c r="AV342">
        <v>0</v>
      </c>
      <c r="AW342">
        <v>3582929</v>
      </c>
      <c r="AX342">
        <v>5374446</v>
      </c>
      <c r="AY342">
        <v>8957375</v>
      </c>
      <c r="AZ342">
        <v>24.872199999999999</v>
      </c>
      <c r="BA342">
        <v>11.045400000000001</v>
      </c>
      <c r="BB342">
        <v>14748.4</v>
      </c>
      <c r="BC342">
        <v>2494.5100000000002</v>
      </c>
      <c r="BD342">
        <v>4357</v>
      </c>
      <c r="BE342">
        <v>170</v>
      </c>
      <c r="BF342">
        <f t="shared" si="81"/>
        <v>60.710850750791671</v>
      </c>
      <c r="BG342" s="31">
        <f t="shared" si="82"/>
        <v>49.683868610312494</v>
      </c>
      <c r="BH342">
        <f t="shared" si="91"/>
        <v>43</v>
      </c>
      <c r="BI342">
        <f t="shared" si="92"/>
        <v>133408</v>
      </c>
      <c r="BJ342">
        <f t="shared" si="93"/>
        <v>2921229</v>
      </c>
      <c r="BK342">
        <f t="shared" si="94"/>
        <v>30571812</v>
      </c>
      <c r="BL342">
        <f t="shared" si="95"/>
        <v>100198</v>
      </c>
      <c r="BM342">
        <f t="shared" si="96"/>
        <v>0</v>
      </c>
      <c r="BN342" t="str">
        <f t="shared" si="83"/>
        <v>u=40%, k=2x10^7</v>
      </c>
      <c r="BO342" t="str">
        <f t="shared" si="84"/>
        <v>u=40%, k=2x10^7, sequential</v>
      </c>
      <c r="BP342">
        <f t="shared" si="85"/>
        <v>1.4757275766875002</v>
      </c>
      <c r="BQ342">
        <f t="shared" si="86"/>
        <v>42.636582749854163</v>
      </c>
      <c r="BR342">
        <f t="shared" si="87"/>
        <v>1.8428106868125</v>
      </c>
      <c r="BS342">
        <f t="shared" si="88"/>
        <v>3.1588595875833332</v>
      </c>
      <c r="BT342">
        <f t="shared" si="89"/>
        <v>0.56988800937499995</v>
      </c>
      <c r="BU342">
        <f t="shared" si="90"/>
        <v>11.026982140479177</v>
      </c>
    </row>
    <row r="343" spans="1:73">
      <c r="A343" t="s">
        <v>1095</v>
      </c>
      <c r="B343" t="s">
        <v>136</v>
      </c>
      <c r="C343">
        <v>72</v>
      </c>
      <c r="D343" t="s">
        <v>56</v>
      </c>
      <c r="E343" t="s">
        <v>53</v>
      </c>
      <c r="F343" t="s">
        <v>54</v>
      </c>
      <c r="G343">
        <v>60000</v>
      </c>
      <c r="H343">
        <v>20</v>
      </c>
      <c r="I343">
        <v>20</v>
      </c>
      <c r="J343">
        <v>0</v>
      </c>
      <c r="K343">
        <v>1</v>
      </c>
      <c r="L343">
        <v>20000000</v>
      </c>
      <c r="M343">
        <v>96</v>
      </c>
      <c r="N343">
        <v>96</v>
      </c>
      <c r="O343">
        <v>96</v>
      </c>
      <c r="P343">
        <v>0</v>
      </c>
      <c r="Q343" t="s">
        <v>55</v>
      </c>
      <c r="R343">
        <v>99943308802380</v>
      </c>
      <c r="S343">
        <v>9995814</v>
      </c>
      <c r="T343">
        <v>99943308802380</v>
      </c>
      <c r="U343">
        <v>9995814</v>
      </c>
      <c r="V343" t="s">
        <v>63</v>
      </c>
      <c r="W343">
        <v>7</v>
      </c>
      <c r="X343">
        <v>1625298</v>
      </c>
      <c r="Y343">
        <v>11437733</v>
      </c>
      <c r="Z343">
        <v>13063031</v>
      </c>
      <c r="AA343">
        <v>9995814</v>
      </c>
      <c r="AB343">
        <v>8.0373099999999997</v>
      </c>
      <c r="AC343">
        <v>0.87393299999999996</v>
      </c>
      <c r="AD343">
        <v>4.0000099999999996</v>
      </c>
      <c r="AE343">
        <v>313027552</v>
      </c>
      <c r="AF343" t="s">
        <v>1096</v>
      </c>
      <c r="AG343" t="s">
        <v>1097</v>
      </c>
      <c r="AI343">
        <v>25824</v>
      </c>
      <c r="AJ343">
        <v>5759021053889</v>
      </c>
      <c r="AK343">
        <v>63937595310</v>
      </c>
      <c r="AL343">
        <v>4057722286473</v>
      </c>
      <c r="AM343">
        <v>83777805217</v>
      </c>
      <c r="AN343">
        <v>1015097484331</v>
      </c>
      <c r="AO343">
        <v>26017410185</v>
      </c>
      <c r="AP343">
        <v>284988532</v>
      </c>
      <c r="AQ343">
        <v>0</v>
      </c>
      <c r="AR343">
        <v>189981776</v>
      </c>
      <c r="AS343">
        <v>284988532</v>
      </c>
      <c r="AT343">
        <v>474970308</v>
      </c>
      <c r="AU343">
        <v>4749808</v>
      </c>
      <c r="AV343">
        <v>0</v>
      </c>
      <c r="AW343">
        <v>3166362</v>
      </c>
      <c r="AX343">
        <v>4749808</v>
      </c>
      <c r="AY343">
        <v>7916171</v>
      </c>
      <c r="AZ343">
        <v>25.661899999999999</v>
      </c>
      <c r="BA343">
        <v>12.571999999999999</v>
      </c>
      <c r="BB343">
        <v>28490.1</v>
      </c>
      <c r="BC343">
        <v>2628.57</v>
      </c>
      <c r="BD343">
        <v>4582</v>
      </c>
      <c r="BE343">
        <v>237</v>
      </c>
      <c r="BF343">
        <f t="shared" ref="BF343:BF347" si="97">AJ343/1000000000/$N343</f>
        <v>59.989802644677077</v>
      </c>
      <c r="BG343" s="31">
        <f t="shared" ref="BG343:BG347" si="98">SUM(AK343:AO343)/1000000000/$N343</f>
        <v>54.651589390791663</v>
      </c>
      <c r="BH343">
        <f t="shared" si="91"/>
        <v>38</v>
      </c>
      <c r="BI343">
        <f t="shared" si="92"/>
        <v>120138</v>
      </c>
      <c r="BJ343">
        <f t="shared" si="93"/>
        <v>1753419</v>
      </c>
      <c r="BK343">
        <f t="shared" si="94"/>
        <v>26032587</v>
      </c>
      <c r="BL343">
        <f t="shared" si="95"/>
        <v>76320</v>
      </c>
      <c r="BM343">
        <f t="shared" si="96"/>
        <v>0</v>
      </c>
      <c r="BN343" t="str">
        <f t="shared" ref="BN343:BN347" si="99">"u="&amp;(H343+I343)&amp;"%, k=2x10^"&amp;LOG10(L343/2)</f>
        <v>u=40%, k=2x10^7</v>
      </c>
      <c r="BO343" t="str">
        <f t="shared" ref="BO343:BO347" si="100">BN343&amp;", "&amp;IF(getFieldDelim(B343,"_",4)="enabled","collaborative","sequential")</f>
        <v>u=40%, k=2x10^7, sequential</v>
      </c>
      <c r="BP343">
        <f t="shared" ref="BP343:BP347" si="101">AK343/1000000000/$N343</f>
        <v>0.66601661781249999</v>
      </c>
      <c r="BQ343">
        <f t="shared" ref="BQ343:BQ347" si="102">AL343/1000000000/$N343</f>
        <v>42.267940484093749</v>
      </c>
      <c r="BR343">
        <f t="shared" ref="BR343:BR347" si="103">AM343/1000000000/$N343</f>
        <v>0.8726854710104166</v>
      </c>
      <c r="BS343">
        <f t="shared" ref="BS343:BS347" si="104">AN343/1000000000/$N343</f>
        <v>10.573932128447916</v>
      </c>
      <c r="BT343">
        <f t="shared" ref="BT343:BT347" si="105">AO343/1000000000/$N343</f>
        <v>0.27101468942708334</v>
      </c>
      <c r="BU343">
        <f t="shared" ref="BU343:BU347" si="106">BF343-SUM(BP343:BT343)</f>
        <v>5.3382132538854137</v>
      </c>
    </row>
    <row r="344" spans="1:73">
      <c r="A344" t="s">
        <v>1098</v>
      </c>
      <c r="B344" t="s">
        <v>136</v>
      </c>
      <c r="C344">
        <v>72</v>
      </c>
      <c r="D344" t="s">
        <v>56</v>
      </c>
      <c r="E344" t="s">
        <v>53</v>
      </c>
      <c r="F344" t="s">
        <v>54</v>
      </c>
      <c r="G344">
        <v>60000</v>
      </c>
      <c r="H344">
        <v>20</v>
      </c>
      <c r="I344">
        <v>20</v>
      </c>
      <c r="J344">
        <v>0</v>
      </c>
      <c r="K344">
        <v>1</v>
      </c>
      <c r="L344">
        <v>20000000</v>
      </c>
      <c r="M344">
        <v>144</v>
      </c>
      <c r="N344">
        <v>144</v>
      </c>
      <c r="O344">
        <v>144</v>
      </c>
      <c r="P344">
        <v>0</v>
      </c>
      <c r="Q344" t="s">
        <v>55</v>
      </c>
      <c r="R344">
        <v>100030197533392</v>
      </c>
      <c r="S344">
        <v>10003362</v>
      </c>
      <c r="T344">
        <v>100030197533392</v>
      </c>
      <c r="U344">
        <v>10003362</v>
      </c>
      <c r="V344" t="s">
        <v>63</v>
      </c>
      <c r="W344">
        <v>7</v>
      </c>
      <c r="X344">
        <v>1729283</v>
      </c>
      <c r="Y344">
        <v>11663911</v>
      </c>
      <c r="Z344">
        <v>13393194</v>
      </c>
      <c r="AA344">
        <v>10003362</v>
      </c>
      <c r="AB344">
        <v>7.7449399999999997</v>
      </c>
      <c r="AC344">
        <v>0.85763400000000001</v>
      </c>
      <c r="AD344">
        <v>4.0210900000000001</v>
      </c>
      <c r="AE344">
        <v>324972608</v>
      </c>
      <c r="AF344" t="s">
        <v>1099</v>
      </c>
      <c r="AG344" t="s">
        <v>1100</v>
      </c>
      <c r="AI344">
        <v>16172</v>
      </c>
      <c r="AJ344">
        <v>8622631875134</v>
      </c>
      <c r="AK344">
        <v>59351957453</v>
      </c>
      <c r="AL344">
        <v>6216475619100</v>
      </c>
      <c r="AM344">
        <v>79652755370</v>
      </c>
      <c r="AN344">
        <v>1733326936059</v>
      </c>
      <c r="AO344">
        <v>25574023862</v>
      </c>
      <c r="AP344">
        <v>275810415</v>
      </c>
      <c r="AQ344">
        <v>0</v>
      </c>
      <c r="AR344">
        <v>183859721</v>
      </c>
      <c r="AS344">
        <v>275810415</v>
      </c>
      <c r="AT344">
        <v>459670136</v>
      </c>
      <c r="AU344">
        <v>4596840</v>
      </c>
      <c r="AV344">
        <v>0</v>
      </c>
      <c r="AW344">
        <v>3064328</v>
      </c>
      <c r="AX344">
        <v>4596840</v>
      </c>
      <c r="AY344">
        <v>7661168</v>
      </c>
      <c r="AZ344">
        <v>25.8293</v>
      </c>
      <c r="BA344">
        <v>13.133599999999999</v>
      </c>
      <c r="BB344">
        <v>41953.2</v>
      </c>
      <c r="BC344">
        <v>2685.24</v>
      </c>
      <c r="BD344">
        <v>4709</v>
      </c>
      <c r="BE344">
        <v>302</v>
      </c>
      <c r="BF344">
        <f t="shared" si="97"/>
        <v>59.879388021763894</v>
      </c>
      <c r="BG344" s="31">
        <f t="shared" si="98"/>
        <v>56.34987008225</v>
      </c>
      <c r="BH344">
        <f t="shared" si="91"/>
        <v>36</v>
      </c>
      <c r="BI344">
        <f t="shared" si="92"/>
        <v>116534</v>
      </c>
      <c r="BJ344">
        <f t="shared" si="93"/>
        <v>979674</v>
      </c>
      <c r="BK344">
        <f t="shared" si="94"/>
        <v>24633755</v>
      </c>
      <c r="BL344">
        <f t="shared" si="95"/>
        <v>62161</v>
      </c>
      <c r="BM344">
        <f t="shared" si="96"/>
        <v>0</v>
      </c>
      <c r="BN344" t="str">
        <f t="shared" si="99"/>
        <v>u=40%, k=2x10^7</v>
      </c>
      <c r="BO344" t="str">
        <f t="shared" si="100"/>
        <v>u=40%, k=2x10^7, sequential</v>
      </c>
      <c r="BP344">
        <f t="shared" si="101"/>
        <v>0.41216637120138888</v>
      </c>
      <c r="BQ344">
        <f t="shared" si="102"/>
        <v>43.169969577083329</v>
      </c>
      <c r="BR344">
        <f t="shared" si="103"/>
        <v>0.55314413451388889</v>
      </c>
      <c r="BS344">
        <f t="shared" si="104"/>
        <v>12.036992611520834</v>
      </c>
      <c r="BT344">
        <f t="shared" si="105"/>
        <v>0.17759738793055557</v>
      </c>
      <c r="BU344">
        <f t="shared" si="106"/>
        <v>3.5295179395139087</v>
      </c>
    </row>
    <row r="345" spans="1:73">
      <c r="A345" t="s">
        <v>1101</v>
      </c>
      <c r="B345" t="s">
        <v>136</v>
      </c>
      <c r="C345">
        <v>72</v>
      </c>
      <c r="D345" t="s">
        <v>56</v>
      </c>
      <c r="E345" t="s">
        <v>53</v>
      </c>
      <c r="F345" t="s">
        <v>54</v>
      </c>
      <c r="G345">
        <v>60000</v>
      </c>
      <c r="H345">
        <v>20</v>
      </c>
      <c r="I345">
        <v>20</v>
      </c>
      <c r="J345">
        <v>0</v>
      </c>
      <c r="K345">
        <v>1</v>
      </c>
      <c r="L345">
        <v>20000000</v>
      </c>
      <c r="M345">
        <v>190</v>
      </c>
      <c r="N345">
        <v>190</v>
      </c>
      <c r="O345">
        <v>190</v>
      </c>
      <c r="P345">
        <v>0</v>
      </c>
      <c r="Q345" t="s">
        <v>55</v>
      </c>
      <c r="R345">
        <v>100007642832237</v>
      </c>
      <c r="S345">
        <v>10001612</v>
      </c>
      <c r="T345">
        <v>100007642832237</v>
      </c>
      <c r="U345">
        <v>10001612</v>
      </c>
      <c r="V345" t="s">
        <v>63</v>
      </c>
      <c r="W345">
        <v>7</v>
      </c>
      <c r="X345">
        <v>1625834</v>
      </c>
      <c r="Y345">
        <v>11444039</v>
      </c>
      <c r="Z345">
        <v>13069873</v>
      </c>
      <c r="AA345">
        <v>10001612</v>
      </c>
      <c r="AB345">
        <v>8.0388699999999993</v>
      </c>
      <c r="AC345">
        <v>0.87395800000000001</v>
      </c>
      <c r="AD345">
        <v>4.0000099999999996</v>
      </c>
      <c r="AE345">
        <v>313171328</v>
      </c>
      <c r="AF345" t="s">
        <v>1102</v>
      </c>
      <c r="AG345" t="s">
        <v>1103</v>
      </c>
      <c r="AI345">
        <v>11786</v>
      </c>
      <c r="AJ345">
        <v>11390527287042</v>
      </c>
      <c r="AK345">
        <v>59660833724</v>
      </c>
      <c r="AL345">
        <v>8255957116920</v>
      </c>
      <c r="AM345">
        <v>83426201621</v>
      </c>
      <c r="AN345">
        <v>2444162525088</v>
      </c>
      <c r="AO345">
        <v>25739357417</v>
      </c>
      <c r="AP345">
        <v>277524556</v>
      </c>
      <c r="AQ345">
        <v>0</v>
      </c>
      <c r="AR345">
        <v>185011457</v>
      </c>
      <c r="AS345">
        <v>277524556</v>
      </c>
      <c r="AT345">
        <v>462536013</v>
      </c>
      <c r="AU345">
        <v>4625409</v>
      </c>
      <c r="AV345">
        <v>0</v>
      </c>
      <c r="AW345">
        <v>3083524</v>
      </c>
      <c r="AX345">
        <v>4625409</v>
      </c>
      <c r="AY345">
        <v>7708933</v>
      </c>
      <c r="AZ345">
        <v>26.171199999999999</v>
      </c>
      <c r="BA345">
        <v>13.6685</v>
      </c>
      <c r="BB345">
        <v>53913</v>
      </c>
      <c r="BC345">
        <v>2809.3</v>
      </c>
      <c r="BD345">
        <v>5441</v>
      </c>
      <c r="BE345">
        <v>442</v>
      </c>
      <c r="BF345">
        <f t="shared" si="97"/>
        <v>59.950143616010521</v>
      </c>
      <c r="BG345" s="31">
        <f t="shared" si="98"/>
        <v>57.204979130368422</v>
      </c>
      <c r="BH345">
        <f t="shared" si="91"/>
        <v>37</v>
      </c>
      <c r="BI345">
        <f t="shared" si="92"/>
        <v>117030</v>
      </c>
      <c r="BJ345">
        <f t="shared" si="93"/>
        <v>986508</v>
      </c>
      <c r="BK345">
        <f t="shared" si="94"/>
        <v>24763580</v>
      </c>
      <c r="BL345">
        <f t="shared" si="95"/>
        <v>62151</v>
      </c>
      <c r="BM345">
        <f t="shared" si="96"/>
        <v>0</v>
      </c>
      <c r="BN345" t="str">
        <f t="shared" si="99"/>
        <v>u=40%, k=2x10^7</v>
      </c>
      <c r="BO345" t="str">
        <f t="shared" si="100"/>
        <v>u=40%, k=2x10^7, sequential</v>
      </c>
      <c r="BP345">
        <f t="shared" si="101"/>
        <v>0.31400438802105263</v>
      </c>
      <c r="BQ345">
        <f t="shared" si="102"/>
        <v>43.452405878526321</v>
      </c>
      <c r="BR345">
        <f t="shared" si="103"/>
        <v>0.4390852716894737</v>
      </c>
      <c r="BS345">
        <f t="shared" si="104"/>
        <v>12.864013289936842</v>
      </c>
      <c r="BT345">
        <f t="shared" si="105"/>
        <v>0.13547030219473685</v>
      </c>
      <c r="BU345">
        <f t="shared" si="106"/>
        <v>2.7451644856420927</v>
      </c>
    </row>
    <row r="346" spans="1:73">
      <c r="A346" t="s">
        <v>1104</v>
      </c>
      <c r="B346" t="s">
        <v>136</v>
      </c>
      <c r="C346">
        <v>72</v>
      </c>
      <c r="D346" t="s">
        <v>56</v>
      </c>
      <c r="E346" t="s">
        <v>53</v>
      </c>
      <c r="F346" t="s">
        <v>54</v>
      </c>
      <c r="G346">
        <v>60000</v>
      </c>
      <c r="H346">
        <v>20</v>
      </c>
      <c r="I346">
        <v>20</v>
      </c>
      <c r="J346">
        <v>0</v>
      </c>
      <c r="K346">
        <v>1</v>
      </c>
      <c r="L346">
        <v>200000000</v>
      </c>
      <c r="M346">
        <v>24</v>
      </c>
      <c r="N346">
        <v>24</v>
      </c>
      <c r="O346">
        <v>24</v>
      </c>
      <c r="P346">
        <v>0</v>
      </c>
      <c r="Q346" t="s">
        <v>55</v>
      </c>
      <c r="R346">
        <v>9999533958441650</v>
      </c>
      <c r="S346">
        <v>99993636</v>
      </c>
      <c r="T346">
        <v>9999533958441650</v>
      </c>
      <c r="U346">
        <v>99993636</v>
      </c>
      <c r="V346" t="s">
        <v>63</v>
      </c>
      <c r="W346">
        <v>7</v>
      </c>
      <c r="X346">
        <v>14254405</v>
      </c>
      <c r="Y346">
        <v>116642716</v>
      </c>
      <c r="Z346">
        <v>130897121</v>
      </c>
      <c r="AA346">
        <v>99993636</v>
      </c>
      <c r="AB346">
        <v>9.1829199999999993</v>
      </c>
      <c r="AC346">
        <v>0.85726400000000003</v>
      </c>
      <c r="AD346">
        <v>4.0634100000000002</v>
      </c>
      <c r="AE346">
        <v>3009985040</v>
      </c>
      <c r="AF346" t="s">
        <v>1105</v>
      </c>
      <c r="AG346" t="s">
        <v>1106</v>
      </c>
      <c r="AI346">
        <v>193972</v>
      </c>
      <c r="AJ346">
        <v>1436592686141</v>
      </c>
      <c r="AK346">
        <v>42007613598</v>
      </c>
      <c r="AL346">
        <v>680622137138</v>
      </c>
      <c r="AM346">
        <v>53336882220</v>
      </c>
      <c r="AN346">
        <v>86147221253</v>
      </c>
      <c r="AO346">
        <v>16629198942</v>
      </c>
      <c r="AP346">
        <v>295703910</v>
      </c>
      <c r="AQ346">
        <v>0</v>
      </c>
      <c r="AR346">
        <v>197160067</v>
      </c>
      <c r="AS346">
        <v>295703910</v>
      </c>
      <c r="AT346">
        <v>492863977</v>
      </c>
      <c r="AU346">
        <v>4928398</v>
      </c>
      <c r="AV346">
        <v>0</v>
      </c>
      <c r="AW346">
        <v>3286001</v>
      </c>
      <c r="AX346">
        <v>4928398</v>
      </c>
      <c r="AY346">
        <v>8214399</v>
      </c>
      <c r="AZ346">
        <v>26.62</v>
      </c>
      <c r="BA346">
        <v>12.5223</v>
      </c>
      <c r="BB346">
        <v>7749.28</v>
      </c>
      <c r="BC346">
        <v>2679.92</v>
      </c>
      <c r="BD346">
        <v>12749</v>
      </c>
      <c r="BE346">
        <v>1566</v>
      </c>
      <c r="BF346">
        <f t="shared" si="97"/>
        <v>59.858028589208338</v>
      </c>
      <c r="BG346" s="31">
        <f t="shared" si="98"/>
        <v>36.614293881291665</v>
      </c>
      <c r="BH346">
        <f t="shared" si="91"/>
        <v>3</v>
      </c>
      <c r="BI346">
        <f t="shared" si="92"/>
        <v>19162</v>
      </c>
      <c r="BJ346">
        <f t="shared" si="93"/>
        <v>1904760</v>
      </c>
      <c r="BK346">
        <f t="shared" si="94"/>
        <v>16680933</v>
      </c>
      <c r="BL346">
        <f t="shared" si="95"/>
        <v>2741584</v>
      </c>
      <c r="BM346">
        <f t="shared" si="96"/>
        <v>0</v>
      </c>
      <c r="BN346" t="str">
        <f t="shared" si="99"/>
        <v>u=40%, k=2x10^8</v>
      </c>
      <c r="BO346" t="str">
        <f t="shared" si="100"/>
        <v>u=40%, k=2x10^8, sequential</v>
      </c>
      <c r="BP346">
        <f t="shared" si="101"/>
        <v>1.7503172332499999</v>
      </c>
      <c r="BQ346">
        <f t="shared" si="102"/>
        <v>28.359255714083332</v>
      </c>
      <c r="BR346">
        <f t="shared" si="103"/>
        <v>2.2223700924999998</v>
      </c>
      <c r="BS346">
        <f t="shared" si="104"/>
        <v>3.5894675522083332</v>
      </c>
      <c r="BT346">
        <f t="shared" si="105"/>
        <v>0.69288328924999998</v>
      </c>
      <c r="BU346">
        <f t="shared" si="106"/>
        <v>23.243734707916673</v>
      </c>
    </row>
    <row r="347" spans="1:73">
      <c r="A347" t="s">
        <v>1107</v>
      </c>
      <c r="B347" t="s">
        <v>136</v>
      </c>
      <c r="C347">
        <v>72</v>
      </c>
      <c r="D347" t="s">
        <v>56</v>
      </c>
      <c r="E347" t="s">
        <v>53</v>
      </c>
      <c r="F347" t="s">
        <v>54</v>
      </c>
      <c r="G347">
        <v>60000</v>
      </c>
      <c r="H347">
        <v>20</v>
      </c>
      <c r="I347">
        <v>20</v>
      </c>
      <c r="J347">
        <v>0</v>
      </c>
      <c r="K347">
        <v>1</v>
      </c>
      <c r="L347">
        <v>200000000</v>
      </c>
      <c r="M347">
        <v>48</v>
      </c>
      <c r="N347">
        <v>48</v>
      </c>
      <c r="O347">
        <v>48</v>
      </c>
      <c r="P347">
        <v>0</v>
      </c>
      <c r="Q347" t="s">
        <v>55</v>
      </c>
      <c r="R347">
        <v>9999934722801280</v>
      </c>
      <c r="S347">
        <v>100003700</v>
      </c>
      <c r="T347">
        <v>9999934722801280</v>
      </c>
      <c r="U347">
        <v>100003700</v>
      </c>
      <c r="V347" t="s">
        <v>63</v>
      </c>
      <c r="W347">
        <v>7</v>
      </c>
      <c r="X347">
        <v>11011112</v>
      </c>
      <c r="Y347">
        <v>110004723</v>
      </c>
      <c r="Z347">
        <v>121015835</v>
      </c>
      <c r="AA347">
        <v>100003700</v>
      </c>
      <c r="AB347">
        <v>10.9903</v>
      </c>
      <c r="AC347">
        <v>0.90908599999999995</v>
      </c>
      <c r="AD347">
        <v>4</v>
      </c>
      <c r="AE347">
        <v>2640964512</v>
      </c>
      <c r="AF347" t="s">
        <v>1108</v>
      </c>
      <c r="AG347" t="s">
        <v>1109</v>
      </c>
      <c r="AI347">
        <v>54974</v>
      </c>
      <c r="AJ347">
        <v>3225645742984</v>
      </c>
      <c r="AK347">
        <v>74751128518</v>
      </c>
      <c r="AL347">
        <v>1978400008420</v>
      </c>
      <c r="AM347">
        <v>90905274799</v>
      </c>
      <c r="AN347">
        <v>409842253825</v>
      </c>
      <c r="AO347">
        <v>27145175490</v>
      </c>
      <c r="AP347">
        <v>300023152</v>
      </c>
      <c r="AQ347">
        <v>0</v>
      </c>
      <c r="AR347">
        <v>200017987</v>
      </c>
      <c r="AS347">
        <v>300023152</v>
      </c>
      <c r="AT347">
        <v>500041139</v>
      </c>
      <c r="AU347">
        <v>5000385</v>
      </c>
      <c r="AV347">
        <v>0</v>
      </c>
      <c r="AW347">
        <v>3333633</v>
      </c>
      <c r="AX347">
        <v>5000385</v>
      </c>
      <c r="AY347">
        <v>8334018</v>
      </c>
      <c r="AZ347">
        <v>29.691199999999998</v>
      </c>
      <c r="BA347">
        <v>13.643000000000001</v>
      </c>
      <c r="BB347">
        <v>16453.2</v>
      </c>
      <c r="BC347">
        <v>3458.04</v>
      </c>
      <c r="BD347">
        <v>13299</v>
      </c>
      <c r="BE347">
        <v>1255</v>
      </c>
      <c r="BF347">
        <f t="shared" si="97"/>
        <v>67.200952978833342</v>
      </c>
      <c r="BG347" s="31">
        <f t="shared" si="98"/>
        <v>53.771746688583335</v>
      </c>
      <c r="BH347">
        <f t="shared" si="91"/>
        <v>4</v>
      </c>
      <c r="BI347">
        <f t="shared" si="92"/>
        <v>34385</v>
      </c>
      <c r="BJ347">
        <f t="shared" si="93"/>
        <v>1879936</v>
      </c>
      <c r="BK347">
        <f t="shared" si="94"/>
        <v>16641209</v>
      </c>
      <c r="BL347">
        <f t="shared" si="95"/>
        <v>2741380</v>
      </c>
      <c r="BM347">
        <f t="shared" si="96"/>
        <v>0</v>
      </c>
      <c r="BN347" t="str">
        <f t="shared" si="99"/>
        <v>u=40%, k=2x10^8</v>
      </c>
      <c r="BO347" t="str">
        <f t="shared" si="100"/>
        <v>u=40%, k=2x10^8, sequential</v>
      </c>
      <c r="BP347">
        <f t="shared" si="101"/>
        <v>1.5573151774583334</v>
      </c>
      <c r="BQ347">
        <f t="shared" si="102"/>
        <v>41.216666842083335</v>
      </c>
      <c r="BR347">
        <f t="shared" si="103"/>
        <v>1.8938598916458333</v>
      </c>
      <c r="BS347">
        <f t="shared" si="104"/>
        <v>8.5383802880208339</v>
      </c>
      <c r="BT347">
        <f t="shared" si="105"/>
        <v>0.56552448937499999</v>
      </c>
      <c r="BU347">
        <f t="shared" si="106"/>
        <v>13.429206290250008</v>
      </c>
    </row>
    <row r="348" spans="1:73">
      <c r="A348" t="s">
        <v>1110</v>
      </c>
      <c r="B348" t="s">
        <v>136</v>
      </c>
      <c r="C348">
        <v>72</v>
      </c>
      <c r="D348" t="s">
        <v>56</v>
      </c>
      <c r="E348" t="s">
        <v>53</v>
      </c>
      <c r="F348" t="s">
        <v>54</v>
      </c>
      <c r="G348">
        <v>60000</v>
      </c>
      <c r="H348">
        <v>20</v>
      </c>
      <c r="I348">
        <v>20</v>
      </c>
      <c r="J348">
        <v>0</v>
      </c>
      <c r="K348">
        <v>1</v>
      </c>
      <c r="L348">
        <v>200000000</v>
      </c>
      <c r="M348">
        <v>96</v>
      </c>
      <c r="N348">
        <v>96</v>
      </c>
      <c r="O348">
        <v>96</v>
      </c>
      <c r="P348">
        <v>0</v>
      </c>
      <c r="Q348" t="s">
        <v>55</v>
      </c>
      <c r="R348">
        <v>9999054137309070</v>
      </c>
      <c r="S348">
        <v>99999746</v>
      </c>
      <c r="T348">
        <v>9999054137309070</v>
      </c>
      <c r="U348">
        <v>99999746</v>
      </c>
      <c r="V348" t="s">
        <v>63</v>
      </c>
      <c r="W348">
        <v>7</v>
      </c>
      <c r="X348">
        <v>11865668</v>
      </c>
      <c r="Y348">
        <v>111679552</v>
      </c>
      <c r="Z348">
        <v>123545220</v>
      </c>
      <c r="AA348">
        <v>99999746</v>
      </c>
      <c r="AB348">
        <v>10.412000000000001</v>
      </c>
      <c r="AC348">
        <v>0.89541700000000002</v>
      </c>
      <c r="AD348">
        <v>4.0160200000000001</v>
      </c>
      <c r="AE348">
        <v>2736581568</v>
      </c>
      <c r="AF348" t="s">
        <v>1111</v>
      </c>
      <c r="AG348" t="s">
        <v>1112</v>
      </c>
      <c r="AI348">
        <v>20948</v>
      </c>
      <c r="AJ348">
        <v>5763522232502</v>
      </c>
      <c r="AK348">
        <v>70931241543</v>
      </c>
      <c r="AL348">
        <v>2789032392956</v>
      </c>
      <c r="AM348">
        <v>85061784062</v>
      </c>
      <c r="AN348">
        <v>2147290061573</v>
      </c>
      <c r="AO348">
        <v>23184904447</v>
      </c>
      <c r="AP348">
        <v>297708713</v>
      </c>
      <c r="AQ348">
        <v>0</v>
      </c>
      <c r="AR348">
        <v>198474349</v>
      </c>
      <c r="AS348">
        <v>297708713</v>
      </c>
      <c r="AT348">
        <v>496183062</v>
      </c>
      <c r="AU348">
        <v>4961811</v>
      </c>
      <c r="AV348">
        <v>0</v>
      </c>
      <c r="AW348">
        <v>3307905</v>
      </c>
      <c r="AX348">
        <v>4961811</v>
      </c>
      <c r="AY348">
        <v>8269717</v>
      </c>
      <c r="AZ348">
        <v>30.25</v>
      </c>
      <c r="BA348">
        <v>15.095000000000001</v>
      </c>
      <c r="BB348">
        <v>21987.8</v>
      </c>
      <c r="BC348">
        <v>3347.65</v>
      </c>
      <c r="BD348">
        <v>14435</v>
      </c>
      <c r="BE348">
        <v>1036</v>
      </c>
      <c r="BF348">
        <f t="shared" ref="BF348:BF359" si="107">AJ348/1000000000/$N348</f>
        <v>60.036689921895835</v>
      </c>
      <c r="BG348" s="31">
        <f t="shared" ref="BG348:BG359" si="108">SUM(AK348:AO348)/1000000000/$N348</f>
        <v>53.286462339385416</v>
      </c>
      <c r="BH348">
        <f t="shared" si="91"/>
        <v>3</v>
      </c>
      <c r="BI348">
        <f t="shared" si="92"/>
        <v>38650</v>
      </c>
      <c r="BJ348">
        <f t="shared" si="93"/>
        <v>1574873</v>
      </c>
      <c r="BK348">
        <f t="shared" si="94"/>
        <v>15974478</v>
      </c>
      <c r="BL348">
        <f t="shared" si="95"/>
        <v>2680982</v>
      </c>
      <c r="BM348">
        <f t="shared" si="96"/>
        <v>0</v>
      </c>
      <c r="BN348" t="str">
        <f t="shared" ref="BN348:BN359" si="109">"u="&amp;(H348+I348)&amp;"%, k=2x10^"&amp;LOG10(L348/2)</f>
        <v>u=40%, k=2x10^8</v>
      </c>
      <c r="BO348" t="str">
        <f t="shared" ref="BO348:BO359" si="110">BN348&amp;", "&amp;IF(getFieldDelim(B348,"_",4)="enabled","collaborative","sequential")</f>
        <v>u=40%, k=2x10^8, sequential</v>
      </c>
      <c r="BP348">
        <f t="shared" ref="BP348:BP359" si="111">AK348/1000000000/$N348</f>
        <v>0.73886709940624995</v>
      </c>
      <c r="BQ348">
        <f t="shared" ref="BQ348:BQ359" si="112">AL348/1000000000/$N348</f>
        <v>29.052420759958334</v>
      </c>
      <c r="BR348">
        <f t="shared" ref="BR348:BR359" si="113">AM348/1000000000/$N348</f>
        <v>0.88606025064583338</v>
      </c>
      <c r="BS348">
        <f t="shared" ref="BS348:BS359" si="114">AN348/1000000000/$N348</f>
        <v>22.367604808052082</v>
      </c>
      <c r="BT348">
        <f t="shared" ref="BT348:BT359" si="115">AO348/1000000000/$N348</f>
        <v>0.24150942132291667</v>
      </c>
      <c r="BU348">
        <f t="shared" ref="BU348:BU359" si="116">BF348-SUM(BP348:BT348)</f>
        <v>6.7502275825104192</v>
      </c>
    </row>
    <row r="349" spans="1:73">
      <c r="A349" t="s">
        <v>1113</v>
      </c>
      <c r="B349" t="s">
        <v>136</v>
      </c>
      <c r="C349">
        <v>72</v>
      </c>
      <c r="D349" t="s">
        <v>56</v>
      </c>
      <c r="E349" t="s">
        <v>53</v>
      </c>
      <c r="F349" t="s">
        <v>54</v>
      </c>
      <c r="G349">
        <v>60000</v>
      </c>
      <c r="H349">
        <v>20</v>
      </c>
      <c r="I349">
        <v>20</v>
      </c>
      <c r="J349">
        <v>0</v>
      </c>
      <c r="K349">
        <v>1</v>
      </c>
      <c r="L349">
        <v>200000000</v>
      </c>
      <c r="M349">
        <v>144</v>
      </c>
      <c r="N349">
        <v>144</v>
      </c>
      <c r="O349">
        <v>144</v>
      </c>
      <c r="P349">
        <v>0</v>
      </c>
      <c r="Q349" t="s">
        <v>55</v>
      </c>
      <c r="R349">
        <v>1.00001556772149E+16</v>
      </c>
      <c r="S349">
        <v>100006753</v>
      </c>
      <c r="T349">
        <v>1.00001556772149E+16</v>
      </c>
      <c r="U349">
        <v>100006753</v>
      </c>
      <c r="V349" t="s">
        <v>63</v>
      </c>
      <c r="W349">
        <v>7</v>
      </c>
      <c r="X349">
        <v>12259976</v>
      </c>
      <c r="Y349">
        <v>112526871</v>
      </c>
      <c r="Z349">
        <v>124786847</v>
      </c>
      <c r="AA349">
        <v>100006753</v>
      </c>
      <c r="AB349">
        <v>10.1784</v>
      </c>
      <c r="AC349">
        <v>0.888737</v>
      </c>
      <c r="AD349">
        <v>4.0240099999999996</v>
      </c>
      <c r="AE349">
        <v>2782283632</v>
      </c>
      <c r="AF349" t="s">
        <v>1114</v>
      </c>
      <c r="AG349" t="s">
        <v>1115</v>
      </c>
      <c r="AI349">
        <v>19074</v>
      </c>
      <c r="AJ349">
        <v>8652444904789</v>
      </c>
      <c r="AK349">
        <v>66707533351</v>
      </c>
      <c r="AL349">
        <v>4174678050834</v>
      </c>
      <c r="AM349">
        <v>84954895292</v>
      </c>
      <c r="AN349">
        <v>3648915386144</v>
      </c>
      <c r="AO349">
        <v>22874642494</v>
      </c>
      <c r="AP349">
        <v>294471216</v>
      </c>
      <c r="AQ349">
        <v>0</v>
      </c>
      <c r="AR349">
        <v>196329762</v>
      </c>
      <c r="AS349">
        <v>294471216</v>
      </c>
      <c r="AT349">
        <v>490800978</v>
      </c>
      <c r="AU349">
        <v>4907853</v>
      </c>
      <c r="AV349">
        <v>0</v>
      </c>
      <c r="AW349">
        <v>3272162</v>
      </c>
      <c r="AX349">
        <v>4907853</v>
      </c>
      <c r="AY349">
        <v>8180016</v>
      </c>
      <c r="AZ349">
        <v>30.37</v>
      </c>
      <c r="BA349">
        <v>15.7966</v>
      </c>
      <c r="BB349">
        <v>29739</v>
      </c>
      <c r="BC349">
        <v>3250.66</v>
      </c>
      <c r="BD349">
        <v>17120</v>
      </c>
      <c r="BE349">
        <v>1038</v>
      </c>
      <c r="BF349">
        <f t="shared" si="107"/>
        <v>60.086422949923609</v>
      </c>
      <c r="BG349" s="31">
        <f t="shared" si="108"/>
        <v>55.542572973020839</v>
      </c>
      <c r="BH349">
        <f t="shared" si="91"/>
        <v>3</v>
      </c>
      <c r="BI349">
        <f t="shared" si="92"/>
        <v>37166</v>
      </c>
      <c r="BJ349">
        <f t="shared" si="93"/>
        <v>1392834</v>
      </c>
      <c r="BK349">
        <f t="shared" si="94"/>
        <v>15557004</v>
      </c>
      <c r="BL349">
        <f t="shared" si="95"/>
        <v>2644148</v>
      </c>
      <c r="BM349">
        <f t="shared" si="96"/>
        <v>0</v>
      </c>
      <c r="BN349" t="str">
        <f t="shared" si="109"/>
        <v>u=40%, k=2x10^8</v>
      </c>
      <c r="BO349" t="str">
        <f t="shared" si="110"/>
        <v>u=40%, k=2x10^8, sequential</v>
      </c>
      <c r="BP349">
        <f t="shared" si="111"/>
        <v>0.46324675938194443</v>
      </c>
      <c r="BQ349">
        <f t="shared" si="112"/>
        <v>28.990819797458332</v>
      </c>
      <c r="BR349">
        <f t="shared" si="113"/>
        <v>0.58996455063888886</v>
      </c>
      <c r="BS349">
        <f t="shared" si="114"/>
        <v>25.339690181555554</v>
      </c>
      <c r="BT349">
        <f t="shared" si="115"/>
        <v>0.1588516839861111</v>
      </c>
      <c r="BU349">
        <f t="shared" si="116"/>
        <v>4.54384997690277</v>
      </c>
    </row>
    <row r="350" spans="1:73">
      <c r="A350" t="s">
        <v>1116</v>
      </c>
      <c r="B350" t="s">
        <v>136</v>
      </c>
      <c r="C350">
        <v>72</v>
      </c>
      <c r="D350" t="s">
        <v>56</v>
      </c>
      <c r="E350" t="s">
        <v>53</v>
      </c>
      <c r="F350" t="s">
        <v>54</v>
      </c>
      <c r="G350">
        <v>60000</v>
      </c>
      <c r="H350">
        <v>20</v>
      </c>
      <c r="I350">
        <v>20</v>
      </c>
      <c r="J350">
        <v>0</v>
      </c>
      <c r="K350">
        <v>1</v>
      </c>
      <c r="L350">
        <v>200000000</v>
      </c>
      <c r="M350">
        <v>190</v>
      </c>
      <c r="N350">
        <v>190</v>
      </c>
      <c r="O350">
        <v>190</v>
      </c>
      <c r="P350">
        <v>0</v>
      </c>
      <c r="Q350" t="s">
        <v>55</v>
      </c>
      <c r="R350">
        <v>1.00015457034726E+16</v>
      </c>
      <c r="S350">
        <v>100016685</v>
      </c>
      <c r="T350">
        <v>1.00015457034726E+16</v>
      </c>
      <c r="U350">
        <v>100016685</v>
      </c>
      <c r="V350" t="s">
        <v>63</v>
      </c>
      <c r="W350">
        <v>7</v>
      </c>
      <c r="X350">
        <v>11084672</v>
      </c>
      <c r="Y350">
        <v>110084625</v>
      </c>
      <c r="Z350">
        <v>121169297</v>
      </c>
      <c r="AA350">
        <v>100016685</v>
      </c>
      <c r="AB350">
        <v>10.9312</v>
      </c>
      <c r="AC350">
        <v>0.90854400000000002</v>
      </c>
      <c r="AD350">
        <v>4</v>
      </c>
      <c r="AE350">
        <v>2648127744</v>
      </c>
      <c r="AF350" t="s">
        <v>1117</v>
      </c>
      <c r="AG350" t="s">
        <v>1118</v>
      </c>
      <c r="AI350">
        <v>12104</v>
      </c>
      <c r="AJ350">
        <v>11395122542180</v>
      </c>
      <c r="AK350">
        <v>70709673247</v>
      </c>
      <c r="AL350">
        <v>6662539262718</v>
      </c>
      <c r="AM350">
        <v>109756762732</v>
      </c>
      <c r="AN350">
        <v>3848514867785</v>
      </c>
      <c r="AO350">
        <v>26289264612</v>
      </c>
      <c r="AP350">
        <v>299987777</v>
      </c>
      <c r="AQ350">
        <v>0</v>
      </c>
      <c r="AR350">
        <v>200010068</v>
      </c>
      <c r="AS350">
        <v>299987777</v>
      </c>
      <c r="AT350">
        <v>499997845</v>
      </c>
      <c r="AU350">
        <v>4999796</v>
      </c>
      <c r="AV350">
        <v>0</v>
      </c>
      <c r="AW350">
        <v>3333501</v>
      </c>
      <c r="AX350">
        <v>4999796</v>
      </c>
      <c r="AY350">
        <v>8333297</v>
      </c>
      <c r="AZ350">
        <v>30.13</v>
      </c>
      <c r="BA350">
        <v>15.9114</v>
      </c>
      <c r="BB350">
        <v>42417.599999999999</v>
      </c>
      <c r="BC350">
        <v>3198.4</v>
      </c>
      <c r="BD350">
        <v>20902</v>
      </c>
      <c r="BE350">
        <v>1072</v>
      </c>
      <c r="BF350">
        <f t="shared" si="107"/>
        <v>59.974329169368424</v>
      </c>
      <c r="BG350" s="31">
        <f t="shared" si="108"/>
        <v>56.409525426810525</v>
      </c>
      <c r="BH350">
        <f t="shared" si="91"/>
        <v>4</v>
      </c>
      <c r="BI350">
        <f t="shared" si="92"/>
        <v>39995</v>
      </c>
      <c r="BJ350">
        <f t="shared" si="93"/>
        <v>1378459</v>
      </c>
      <c r="BK350">
        <f t="shared" si="94"/>
        <v>15551747</v>
      </c>
      <c r="BL350">
        <f t="shared" si="95"/>
        <v>2664105</v>
      </c>
      <c r="BM350">
        <f t="shared" si="96"/>
        <v>0</v>
      </c>
      <c r="BN350" t="str">
        <f t="shared" si="109"/>
        <v>u=40%, k=2x10^8</v>
      </c>
      <c r="BO350" t="str">
        <f t="shared" si="110"/>
        <v>u=40%, k=2x10^8, sequential</v>
      </c>
      <c r="BP350">
        <f t="shared" si="111"/>
        <v>0.3721561749842105</v>
      </c>
      <c r="BQ350">
        <f t="shared" si="112"/>
        <v>35.065996119568418</v>
      </c>
      <c r="BR350">
        <f t="shared" si="113"/>
        <v>0.57766717227368425</v>
      </c>
      <c r="BS350">
        <f t="shared" si="114"/>
        <v>20.255341409394738</v>
      </c>
      <c r="BT350">
        <f t="shared" si="115"/>
        <v>0.13836455058947369</v>
      </c>
      <c r="BU350">
        <f t="shared" si="116"/>
        <v>3.5648037425578991</v>
      </c>
    </row>
    <row r="351" spans="1:73">
      <c r="A351" t="s">
        <v>1119</v>
      </c>
      <c r="B351" t="s">
        <v>136</v>
      </c>
      <c r="C351">
        <v>72</v>
      </c>
      <c r="D351" t="s">
        <v>56</v>
      </c>
      <c r="E351" t="s">
        <v>53</v>
      </c>
      <c r="F351" t="s">
        <v>54</v>
      </c>
      <c r="G351">
        <v>60000</v>
      </c>
      <c r="H351">
        <v>20</v>
      </c>
      <c r="I351">
        <v>20</v>
      </c>
      <c r="J351">
        <v>0</v>
      </c>
      <c r="K351">
        <v>1</v>
      </c>
      <c r="L351">
        <v>2000000000</v>
      </c>
      <c r="M351">
        <v>24</v>
      </c>
      <c r="N351">
        <v>24</v>
      </c>
      <c r="O351">
        <v>24</v>
      </c>
      <c r="P351">
        <v>0</v>
      </c>
      <c r="Q351" t="s">
        <v>55</v>
      </c>
      <c r="R351">
        <v>9.9998178925544397E+17</v>
      </c>
      <c r="S351">
        <v>999969512</v>
      </c>
      <c r="T351">
        <v>9.9998178925544397E+17</v>
      </c>
      <c r="U351">
        <v>999969512</v>
      </c>
      <c r="V351" t="s">
        <v>63</v>
      </c>
      <c r="W351">
        <v>7</v>
      </c>
      <c r="X351">
        <v>128047957</v>
      </c>
      <c r="Y351">
        <v>1170604758</v>
      </c>
      <c r="Z351">
        <v>1298652715</v>
      </c>
      <c r="AA351">
        <v>999969512</v>
      </c>
      <c r="AB351">
        <v>10.1419</v>
      </c>
      <c r="AC351">
        <v>0.85423300000000002</v>
      </c>
      <c r="AD351">
        <v>4.0928899999999997</v>
      </c>
      <c r="AE351">
        <v>29038018896</v>
      </c>
      <c r="AF351" t="s">
        <v>1120</v>
      </c>
      <c r="AG351" t="s">
        <v>1121</v>
      </c>
      <c r="AI351">
        <v>333168</v>
      </c>
      <c r="AJ351">
        <v>1436561122504</v>
      </c>
      <c r="AK351">
        <v>16705662327</v>
      </c>
      <c r="AL351">
        <v>30109</v>
      </c>
      <c r="AM351">
        <v>21439257413</v>
      </c>
      <c r="AN351">
        <v>21397542939</v>
      </c>
      <c r="AO351">
        <v>3612820008</v>
      </c>
      <c r="AP351">
        <v>532275450</v>
      </c>
      <c r="AQ351">
        <v>0</v>
      </c>
      <c r="AR351">
        <v>354815485</v>
      </c>
      <c r="AS351">
        <v>532275450</v>
      </c>
      <c r="AT351">
        <v>887090935</v>
      </c>
      <c r="AU351">
        <v>8871257</v>
      </c>
      <c r="AV351">
        <v>0</v>
      </c>
      <c r="AW351">
        <v>5913591</v>
      </c>
      <c r="AX351">
        <v>8871257</v>
      </c>
      <c r="AY351">
        <v>14784848</v>
      </c>
      <c r="AZ351">
        <v>26.082000000000001</v>
      </c>
      <c r="BA351">
        <v>15.3264</v>
      </c>
      <c r="BB351">
        <v>4434.03</v>
      </c>
      <c r="BC351">
        <v>3508.92</v>
      </c>
      <c r="BD351">
        <v>62781</v>
      </c>
      <c r="BE351">
        <v>16218</v>
      </c>
      <c r="BF351">
        <f t="shared" si="107"/>
        <v>59.856713437666663</v>
      </c>
      <c r="BG351" s="31">
        <f t="shared" si="108"/>
        <v>2.6314713665</v>
      </c>
      <c r="BH351">
        <f t="shared" si="91"/>
        <v>0</v>
      </c>
      <c r="BI351">
        <f t="shared" si="92"/>
        <v>0</v>
      </c>
      <c r="BJ351">
        <f t="shared" si="93"/>
        <v>99171</v>
      </c>
      <c r="BK351">
        <f t="shared" si="94"/>
        <v>20651902</v>
      </c>
      <c r="BL351">
        <f t="shared" si="95"/>
        <v>6880908</v>
      </c>
      <c r="BM351">
        <f t="shared" si="96"/>
        <v>0</v>
      </c>
      <c r="BN351" t="str">
        <f t="shared" si="109"/>
        <v>u=40%, k=2x10^9</v>
      </c>
      <c r="BO351" t="str">
        <f t="shared" si="110"/>
        <v>u=40%, k=2x10^9, sequential</v>
      </c>
      <c r="BP351">
        <f t="shared" si="111"/>
        <v>0.69606926362499999</v>
      </c>
      <c r="BQ351">
        <f t="shared" si="112"/>
        <v>1.2545416666666666E-6</v>
      </c>
      <c r="BR351">
        <f t="shared" si="113"/>
        <v>0.8933023922083333</v>
      </c>
      <c r="BS351">
        <f t="shared" si="114"/>
        <v>0.89156428912500008</v>
      </c>
      <c r="BT351">
        <f t="shared" si="115"/>
        <v>0.150534167</v>
      </c>
      <c r="BU351">
        <f t="shared" si="116"/>
        <v>57.225242071166662</v>
      </c>
    </row>
    <row r="352" spans="1:73">
      <c r="A352" t="s">
        <v>1122</v>
      </c>
      <c r="B352" t="s">
        <v>136</v>
      </c>
      <c r="C352">
        <v>72</v>
      </c>
      <c r="D352" t="s">
        <v>56</v>
      </c>
      <c r="E352" t="s">
        <v>53</v>
      </c>
      <c r="F352" t="s">
        <v>54</v>
      </c>
      <c r="G352">
        <v>60000</v>
      </c>
      <c r="H352">
        <v>20</v>
      </c>
      <c r="I352">
        <v>20</v>
      </c>
      <c r="J352">
        <v>0</v>
      </c>
      <c r="K352">
        <v>1</v>
      </c>
      <c r="L352">
        <v>2000000000</v>
      </c>
      <c r="M352">
        <v>96</v>
      </c>
      <c r="N352">
        <v>96</v>
      </c>
      <c r="O352">
        <v>96</v>
      </c>
      <c r="P352">
        <v>0</v>
      </c>
      <c r="Q352" t="s">
        <v>55</v>
      </c>
      <c r="R352">
        <v>9.9994667267245094E+17</v>
      </c>
      <c r="S352">
        <v>999967522</v>
      </c>
      <c r="T352">
        <v>9.9994667267245094E+17</v>
      </c>
      <c r="U352">
        <v>999967522</v>
      </c>
      <c r="V352" t="s">
        <v>63</v>
      </c>
      <c r="W352">
        <v>7</v>
      </c>
      <c r="X352">
        <v>84465055</v>
      </c>
      <c r="Y352">
        <v>1078772079</v>
      </c>
      <c r="Z352">
        <v>1163237134</v>
      </c>
      <c r="AA352">
        <v>999967522</v>
      </c>
      <c r="AB352">
        <v>13.771800000000001</v>
      </c>
      <c r="AC352">
        <v>0.92695000000000005</v>
      </c>
      <c r="AD352">
        <v>4</v>
      </c>
      <c r="AE352">
        <v>24017557648</v>
      </c>
      <c r="AF352" t="s">
        <v>1123</v>
      </c>
      <c r="AG352" t="s">
        <v>1124</v>
      </c>
      <c r="AI352">
        <v>28250</v>
      </c>
      <c r="AJ352">
        <v>9496160146491</v>
      </c>
      <c r="AK352">
        <v>171367322628</v>
      </c>
      <c r="AL352">
        <v>6727292803408</v>
      </c>
      <c r="AM352">
        <v>369715464007</v>
      </c>
      <c r="AN352">
        <v>135910816757</v>
      </c>
      <c r="AO352">
        <v>78116190991</v>
      </c>
      <c r="AP352">
        <v>749988737</v>
      </c>
      <c r="AQ352">
        <v>0</v>
      </c>
      <c r="AR352">
        <v>500005278</v>
      </c>
      <c r="AS352">
        <v>749988737</v>
      </c>
      <c r="AT352">
        <v>1249994015</v>
      </c>
      <c r="AU352">
        <v>12499812</v>
      </c>
      <c r="AV352">
        <v>0</v>
      </c>
      <c r="AW352">
        <v>8333421</v>
      </c>
      <c r="AX352">
        <v>12499812</v>
      </c>
      <c r="AY352">
        <v>20833233</v>
      </c>
      <c r="AZ352">
        <v>32.385300000000001</v>
      </c>
      <c r="BA352">
        <v>20.142600000000002</v>
      </c>
      <c r="BB352">
        <v>20738</v>
      </c>
      <c r="BC352">
        <v>4450.5</v>
      </c>
      <c r="BD352">
        <v>88717</v>
      </c>
      <c r="BE352">
        <v>9871</v>
      </c>
      <c r="BF352">
        <f t="shared" si="107"/>
        <v>98.918334859281245</v>
      </c>
      <c r="BG352" s="31">
        <f t="shared" si="108"/>
        <v>77.941693726989584</v>
      </c>
      <c r="BH352">
        <f t="shared" si="91"/>
        <v>1</v>
      </c>
      <c r="BI352">
        <f t="shared" si="92"/>
        <v>30966</v>
      </c>
      <c r="BJ352">
        <f t="shared" si="93"/>
        <v>2311659</v>
      </c>
      <c r="BK352">
        <f t="shared" si="94"/>
        <v>33889797</v>
      </c>
      <c r="BL352">
        <f t="shared" si="95"/>
        <v>9501446</v>
      </c>
      <c r="BM352">
        <f t="shared" si="96"/>
        <v>0</v>
      </c>
      <c r="BN352" t="str">
        <f t="shared" si="109"/>
        <v>u=40%, k=2x10^9</v>
      </c>
      <c r="BO352" t="str">
        <f t="shared" si="110"/>
        <v>u=40%, k=2x10^9, sequential</v>
      </c>
      <c r="BP352">
        <f t="shared" si="111"/>
        <v>1.7850762773750002</v>
      </c>
      <c r="BQ352">
        <f t="shared" si="112"/>
        <v>70.075966702166667</v>
      </c>
      <c r="BR352">
        <f t="shared" si="113"/>
        <v>3.8512027500729165</v>
      </c>
      <c r="BS352">
        <f t="shared" si="114"/>
        <v>1.4157376745520833</v>
      </c>
      <c r="BT352">
        <f t="shared" si="115"/>
        <v>0.81371032282291667</v>
      </c>
      <c r="BU352">
        <f t="shared" si="116"/>
        <v>20.976641132291675</v>
      </c>
    </row>
    <row r="353" spans="1:73">
      <c r="A353" t="s">
        <v>1125</v>
      </c>
      <c r="B353" t="s">
        <v>136</v>
      </c>
      <c r="C353">
        <v>72</v>
      </c>
      <c r="D353" t="s">
        <v>56</v>
      </c>
      <c r="E353" t="s">
        <v>53</v>
      </c>
      <c r="F353" t="s">
        <v>54</v>
      </c>
      <c r="G353">
        <v>60000</v>
      </c>
      <c r="H353">
        <v>20</v>
      </c>
      <c r="I353">
        <v>20</v>
      </c>
      <c r="J353">
        <v>0</v>
      </c>
      <c r="K353">
        <v>1</v>
      </c>
      <c r="L353">
        <v>2000000000</v>
      </c>
      <c r="M353">
        <v>144</v>
      </c>
      <c r="N353">
        <v>144</v>
      </c>
      <c r="O353">
        <v>144</v>
      </c>
      <c r="P353">
        <v>0</v>
      </c>
      <c r="Q353" t="s">
        <v>55</v>
      </c>
      <c r="R353">
        <v>1.00001706476285E+18</v>
      </c>
      <c r="S353">
        <v>999995159</v>
      </c>
      <c r="T353">
        <v>1.00001706476285E+18</v>
      </c>
      <c r="U353">
        <v>999995159</v>
      </c>
      <c r="V353" t="s">
        <v>63</v>
      </c>
      <c r="W353">
        <v>7</v>
      </c>
      <c r="X353">
        <v>84465070</v>
      </c>
      <c r="Y353">
        <v>1078799743</v>
      </c>
      <c r="Z353">
        <v>1163264813</v>
      </c>
      <c r="AA353">
        <v>999995159</v>
      </c>
      <c r="AB353">
        <v>13.7721</v>
      </c>
      <c r="AC353">
        <v>0.926952</v>
      </c>
      <c r="AD353">
        <v>4</v>
      </c>
      <c r="AE353">
        <v>24018001472</v>
      </c>
      <c r="AF353" t="s">
        <v>1126</v>
      </c>
      <c r="AG353" t="s">
        <v>1127</v>
      </c>
      <c r="AI353">
        <v>12740</v>
      </c>
      <c r="AJ353">
        <v>12703597750974</v>
      </c>
      <c r="AK353">
        <v>173224030980</v>
      </c>
      <c r="AL353">
        <v>10041739760781</v>
      </c>
      <c r="AM353">
        <v>218926841923</v>
      </c>
      <c r="AN353">
        <v>145953792247</v>
      </c>
      <c r="AO353">
        <v>77961242752</v>
      </c>
      <c r="AP353">
        <v>750046093</v>
      </c>
      <c r="AQ353">
        <v>0</v>
      </c>
      <c r="AR353">
        <v>500034061</v>
      </c>
      <c r="AS353">
        <v>750046093</v>
      </c>
      <c r="AT353">
        <v>1250080154</v>
      </c>
      <c r="AU353">
        <v>12500768</v>
      </c>
      <c r="AV353">
        <v>0</v>
      </c>
      <c r="AW353">
        <v>8333901</v>
      </c>
      <c r="AX353">
        <v>12500768</v>
      </c>
      <c r="AY353">
        <v>20834669</v>
      </c>
      <c r="AZ353">
        <v>32.458100000000002</v>
      </c>
      <c r="BA353">
        <v>20.529199999999999</v>
      </c>
      <c r="BB353">
        <v>28241.4</v>
      </c>
      <c r="BC353">
        <v>4525.7</v>
      </c>
      <c r="BD353">
        <v>121340</v>
      </c>
      <c r="BE353">
        <v>9064</v>
      </c>
      <c r="BF353">
        <f t="shared" si="107"/>
        <v>88.219428826208343</v>
      </c>
      <c r="BG353" s="31">
        <f t="shared" si="108"/>
        <v>74.012539365854167</v>
      </c>
      <c r="BH353">
        <f t="shared" si="91"/>
        <v>1</v>
      </c>
      <c r="BI353">
        <f t="shared" si="92"/>
        <v>31575</v>
      </c>
      <c r="BJ353">
        <f t="shared" si="93"/>
        <v>2163579</v>
      </c>
      <c r="BK353">
        <f t="shared" si="94"/>
        <v>33493138</v>
      </c>
      <c r="BL353">
        <f t="shared" si="95"/>
        <v>9434147</v>
      </c>
      <c r="BM353">
        <f t="shared" si="96"/>
        <v>0</v>
      </c>
      <c r="BN353" t="str">
        <f t="shared" si="109"/>
        <v>u=40%, k=2x10^9</v>
      </c>
      <c r="BO353" t="str">
        <f t="shared" si="110"/>
        <v>u=40%, k=2x10^9, sequential</v>
      </c>
      <c r="BP353">
        <f t="shared" si="111"/>
        <v>1.2029446595833333</v>
      </c>
      <c r="BQ353">
        <f t="shared" si="112"/>
        <v>69.734303894312504</v>
      </c>
      <c r="BR353">
        <f t="shared" si="113"/>
        <v>1.5203252911319445</v>
      </c>
      <c r="BS353">
        <f t="shared" si="114"/>
        <v>1.0135680017152777</v>
      </c>
      <c r="BT353">
        <f t="shared" si="115"/>
        <v>0.54139751911111111</v>
      </c>
      <c r="BU353">
        <f t="shared" si="116"/>
        <v>14.206889460354176</v>
      </c>
    </row>
    <row r="354" spans="1:73">
      <c r="A354" t="s">
        <v>1128</v>
      </c>
      <c r="B354" t="s">
        <v>136</v>
      </c>
      <c r="C354">
        <v>72</v>
      </c>
      <c r="D354" t="s">
        <v>56</v>
      </c>
      <c r="E354" t="s">
        <v>53</v>
      </c>
      <c r="F354" t="s">
        <v>54</v>
      </c>
      <c r="G354">
        <v>60000</v>
      </c>
      <c r="H354">
        <v>20</v>
      </c>
      <c r="I354">
        <v>20</v>
      </c>
      <c r="J354">
        <v>0</v>
      </c>
      <c r="K354">
        <v>1</v>
      </c>
      <c r="L354">
        <v>2000000000</v>
      </c>
      <c r="M354">
        <v>190</v>
      </c>
      <c r="N354">
        <v>190</v>
      </c>
      <c r="O354">
        <v>190</v>
      </c>
      <c r="P354">
        <v>0</v>
      </c>
      <c r="Q354" t="s">
        <v>55</v>
      </c>
      <c r="R354">
        <v>9.9999103628688205E+17</v>
      </c>
      <c r="S354">
        <v>999990396</v>
      </c>
      <c r="T354">
        <v>9.9999103628688205E+17</v>
      </c>
      <c r="U354">
        <v>999990396</v>
      </c>
      <c r="V354" t="s">
        <v>63</v>
      </c>
      <c r="W354">
        <v>7</v>
      </c>
      <c r="X354">
        <v>84465082</v>
      </c>
      <c r="Y354">
        <v>1078794998</v>
      </c>
      <c r="Z354">
        <v>1163260080</v>
      </c>
      <c r="AA354">
        <v>999990396</v>
      </c>
      <c r="AB354">
        <v>13.7721</v>
      </c>
      <c r="AC354">
        <v>0.92695099999999997</v>
      </c>
      <c r="AD354">
        <v>4</v>
      </c>
      <c r="AE354">
        <v>24017926512</v>
      </c>
      <c r="AF354" t="s">
        <v>1129</v>
      </c>
      <c r="AG354" t="s">
        <v>1130</v>
      </c>
      <c r="AI354">
        <v>7698</v>
      </c>
      <c r="AJ354">
        <v>16075930681855</v>
      </c>
      <c r="AK354">
        <v>178141815564</v>
      </c>
      <c r="AL354">
        <v>13323275960635</v>
      </c>
      <c r="AM354">
        <v>233144651345</v>
      </c>
      <c r="AN354">
        <v>165936890098</v>
      </c>
      <c r="AO354">
        <v>78014021224</v>
      </c>
      <c r="AP354">
        <v>750021098</v>
      </c>
      <c r="AQ354">
        <v>0</v>
      </c>
      <c r="AR354">
        <v>499977820</v>
      </c>
      <c r="AS354">
        <v>750021098</v>
      </c>
      <c r="AT354">
        <v>1249998918</v>
      </c>
      <c r="AU354">
        <v>12500351</v>
      </c>
      <c r="AV354">
        <v>0</v>
      </c>
      <c r="AW354">
        <v>8332963</v>
      </c>
      <c r="AX354">
        <v>12500351</v>
      </c>
      <c r="AY354">
        <v>20833315</v>
      </c>
      <c r="AZ354">
        <v>32.708399999999997</v>
      </c>
      <c r="BA354">
        <v>20.845300000000002</v>
      </c>
      <c r="BB354">
        <v>35751.599999999999</v>
      </c>
      <c r="BC354">
        <v>4681.34</v>
      </c>
      <c r="BD354">
        <v>121934</v>
      </c>
      <c r="BE354">
        <v>9129</v>
      </c>
      <c r="BF354">
        <f t="shared" si="107"/>
        <v>84.610161483447371</v>
      </c>
      <c r="BG354" s="31">
        <f t="shared" si="108"/>
        <v>73.571122836136837</v>
      </c>
      <c r="BH354">
        <f t="shared" si="91"/>
        <v>1</v>
      </c>
      <c r="BI354">
        <f t="shared" si="92"/>
        <v>31584</v>
      </c>
      <c r="BJ354">
        <f t="shared" si="93"/>
        <v>2149781</v>
      </c>
      <c r="BK354">
        <f t="shared" si="94"/>
        <v>33456696</v>
      </c>
      <c r="BL354">
        <f t="shared" si="95"/>
        <v>9427989</v>
      </c>
      <c r="BM354">
        <f t="shared" si="96"/>
        <v>0</v>
      </c>
      <c r="BN354" t="str">
        <f t="shared" si="109"/>
        <v>u=40%, k=2x10^9</v>
      </c>
      <c r="BO354" t="str">
        <f t="shared" si="110"/>
        <v>u=40%, k=2x10^9, sequential</v>
      </c>
      <c r="BP354">
        <f t="shared" si="111"/>
        <v>0.93758850296842111</v>
      </c>
      <c r="BQ354">
        <f t="shared" si="112"/>
        <v>70.122505055973676</v>
      </c>
      <c r="BR354">
        <f t="shared" si="113"/>
        <v>1.2270771123421054</v>
      </c>
      <c r="BS354">
        <f t="shared" si="114"/>
        <v>0.87335205314736841</v>
      </c>
      <c r="BT354">
        <f t="shared" si="115"/>
        <v>0.41060011170526317</v>
      </c>
      <c r="BU354">
        <f t="shared" si="116"/>
        <v>11.039038647310534</v>
      </c>
    </row>
    <row r="355" spans="1:73">
      <c r="A355" t="s">
        <v>72</v>
      </c>
      <c r="B355" t="s">
        <v>136</v>
      </c>
      <c r="C355">
        <v>72</v>
      </c>
      <c r="D355" t="s">
        <v>56</v>
      </c>
      <c r="E355" t="s">
        <v>53</v>
      </c>
      <c r="F355" t="s">
        <v>54</v>
      </c>
      <c r="G355">
        <v>60000</v>
      </c>
      <c r="H355">
        <v>5</v>
      </c>
      <c r="I355">
        <v>5</v>
      </c>
      <c r="J355">
        <v>0</v>
      </c>
      <c r="K355">
        <v>1</v>
      </c>
      <c r="L355">
        <v>2000000000</v>
      </c>
      <c r="M355">
        <v>144</v>
      </c>
      <c r="N355">
        <v>144</v>
      </c>
      <c r="O355">
        <v>144</v>
      </c>
      <c r="P355">
        <v>0</v>
      </c>
      <c r="Q355" t="s">
        <v>55</v>
      </c>
      <c r="R355">
        <v>1.00002031154822E+18</v>
      </c>
      <c r="S355">
        <v>1000023490</v>
      </c>
      <c r="T355">
        <v>1.00002031154822E+18</v>
      </c>
      <c r="U355">
        <v>1000023490</v>
      </c>
      <c r="V355" t="s">
        <v>63</v>
      </c>
      <c r="W355">
        <v>7</v>
      </c>
      <c r="X355">
        <v>84467745</v>
      </c>
      <c r="Y355">
        <v>1078830578</v>
      </c>
      <c r="Z355">
        <v>1163298323</v>
      </c>
      <c r="AA355">
        <v>1000023490</v>
      </c>
      <c r="AB355">
        <v>13.7721</v>
      </c>
      <c r="AC355">
        <v>0.92695099999999997</v>
      </c>
      <c r="AD355">
        <v>4</v>
      </c>
      <c r="AE355">
        <v>24018708832</v>
      </c>
      <c r="AF355" t="s">
        <v>1135</v>
      </c>
      <c r="AG355" t="s">
        <v>1136</v>
      </c>
      <c r="AI355">
        <v>47722</v>
      </c>
      <c r="AJ355">
        <v>17479147367219</v>
      </c>
      <c r="AK355">
        <v>184814651994</v>
      </c>
      <c r="AL355">
        <v>9612868993184</v>
      </c>
      <c r="AM355">
        <v>303648791645</v>
      </c>
      <c r="AN355">
        <v>185753602814</v>
      </c>
      <c r="AO355">
        <v>87280344410</v>
      </c>
      <c r="AP355">
        <v>4499559627</v>
      </c>
      <c r="AQ355">
        <v>0</v>
      </c>
      <c r="AR355">
        <v>499948216</v>
      </c>
      <c r="AS355">
        <v>4499559627</v>
      </c>
      <c r="AT355">
        <v>4999507843</v>
      </c>
      <c r="AU355">
        <v>74992660</v>
      </c>
      <c r="AV355">
        <v>0</v>
      </c>
      <c r="AW355">
        <v>8332470</v>
      </c>
      <c r="AX355">
        <v>74992660</v>
      </c>
      <c r="AY355">
        <v>83325130</v>
      </c>
      <c r="AZ355">
        <v>25.088699999999999</v>
      </c>
      <c r="BA355">
        <v>15.8659</v>
      </c>
      <c r="BB355">
        <v>9665.92</v>
      </c>
      <c r="BC355">
        <v>3440.71</v>
      </c>
      <c r="BD355">
        <v>103504</v>
      </c>
      <c r="BE355">
        <v>9404</v>
      </c>
      <c r="BF355">
        <f t="shared" si="107"/>
        <v>121.38296782790972</v>
      </c>
      <c r="BG355" s="31">
        <f t="shared" si="108"/>
        <v>72.044211000326385</v>
      </c>
      <c r="BH355">
        <f t="shared" si="91"/>
        <v>1</v>
      </c>
      <c r="BI355">
        <f t="shared" si="92"/>
        <v>31582</v>
      </c>
      <c r="BJ355">
        <f t="shared" si="93"/>
        <v>2164030</v>
      </c>
      <c r="BK355">
        <f t="shared" si="94"/>
        <v>33496863</v>
      </c>
      <c r="BL355">
        <f t="shared" si="95"/>
        <v>9438145</v>
      </c>
      <c r="BM355">
        <f t="shared" si="96"/>
        <v>0</v>
      </c>
      <c r="BN355" t="str">
        <f t="shared" si="109"/>
        <v>u=10%, k=2x10^9</v>
      </c>
      <c r="BO355" t="str">
        <f t="shared" si="110"/>
        <v>u=10%, k=2x10^9, sequential</v>
      </c>
      <c r="BP355">
        <f t="shared" si="111"/>
        <v>1.2834350832916668</v>
      </c>
      <c r="BQ355">
        <f t="shared" si="112"/>
        <v>66.756034674888895</v>
      </c>
      <c r="BR355">
        <f t="shared" si="113"/>
        <v>2.1086721642013888</v>
      </c>
      <c r="BS355">
        <f t="shared" si="114"/>
        <v>1.2899555750972223</v>
      </c>
      <c r="BT355">
        <f t="shared" si="115"/>
        <v>0.60611350284722221</v>
      </c>
      <c r="BU355">
        <f t="shared" si="116"/>
        <v>49.338756827583325</v>
      </c>
    </row>
    <row r="356" spans="1:73">
      <c r="A356" t="s">
        <v>73</v>
      </c>
      <c r="B356" t="s">
        <v>136</v>
      </c>
      <c r="C356">
        <v>72</v>
      </c>
      <c r="D356" t="s">
        <v>56</v>
      </c>
      <c r="E356" t="s">
        <v>53</v>
      </c>
      <c r="F356" t="s">
        <v>54</v>
      </c>
      <c r="G356">
        <v>60000</v>
      </c>
      <c r="H356">
        <v>5</v>
      </c>
      <c r="I356">
        <v>5</v>
      </c>
      <c r="J356">
        <v>0</v>
      </c>
      <c r="K356">
        <v>1</v>
      </c>
      <c r="L356">
        <v>2000000000</v>
      </c>
      <c r="M356">
        <v>48</v>
      </c>
      <c r="N356">
        <v>48</v>
      </c>
      <c r="O356">
        <v>48</v>
      </c>
      <c r="P356">
        <v>0</v>
      </c>
      <c r="Q356" t="s">
        <v>55</v>
      </c>
      <c r="R356">
        <v>9.9998826450122099E+17</v>
      </c>
      <c r="S356">
        <v>999996024</v>
      </c>
      <c r="T356">
        <v>9.9998826450122099E+17</v>
      </c>
      <c r="U356">
        <v>999996024</v>
      </c>
      <c r="V356" t="s">
        <v>63</v>
      </c>
      <c r="W356">
        <v>7</v>
      </c>
      <c r="X356">
        <v>119238791</v>
      </c>
      <c r="Y356">
        <v>1150279412</v>
      </c>
      <c r="Z356">
        <v>1269518203</v>
      </c>
      <c r="AA356">
        <v>999996024</v>
      </c>
      <c r="AB356">
        <v>10.6469</v>
      </c>
      <c r="AC356">
        <v>0.86935099999999998</v>
      </c>
      <c r="AD356">
        <v>4.0729600000000001</v>
      </c>
      <c r="AE356">
        <v>27982598400</v>
      </c>
      <c r="AF356" t="s">
        <v>1137</v>
      </c>
      <c r="AG356" t="s">
        <v>1137</v>
      </c>
      <c r="AI356">
        <v>171320</v>
      </c>
      <c r="AJ356">
        <v>2873128226058</v>
      </c>
      <c r="AK356">
        <v>5098242950</v>
      </c>
      <c r="AM356">
        <v>8991407022</v>
      </c>
      <c r="AN356">
        <v>8809492349</v>
      </c>
      <c r="AO356">
        <v>1687632600</v>
      </c>
      <c r="AP356">
        <v>1696878117</v>
      </c>
      <c r="AQ356">
        <v>0</v>
      </c>
      <c r="AR356">
        <v>188524779</v>
      </c>
      <c r="AS356">
        <v>1696878117</v>
      </c>
      <c r="AT356">
        <v>1885402896</v>
      </c>
      <c r="AU356">
        <v>28281301</v>
      </c>
      <c r="AV356">
        <v>0</v>
      </c>
      <c r="AW356">
        <v>3142079</v>
      </c>
      <c r="AX356">
        <v>28281301</v>
      </c>
      <c r="AY356">
        <v>31423381</v>
      </c>
      <c r="AZ356">
        <v>23.132000000000001</v>
      </c>
      <c r="BA356">
        <v>13.696</v>
      </c>
      <c r="BB356">
        <v>4250.1899999999996</v>
      </c>
      <c r="BC356">
        <v>3539.56</v>
      </c>
      <c r="BD356">
        <v>63651</v>
      </c>
      <c r="BE356">
        <v>12483</v>
      </c>
      <c r="BF356">
        <f t="shared" si="107"/>
        <v>59.856838042875005</v>
      </c>
      <c r="BG356" s="31">
        <f t="shared" si="108"/>
        <v>0.51222447752083333</v>
      </c>
      <c r="BH356">
        <f t="shared" si="91"/>
        <v>0</v>
      </c>
      <c r="BI356">
        <f t="shared" si="92"/>
        <v>0</v>
      </c>
      <c r="BJ356">
        <f t="shared" si="93"/>
        <v>0</v>
      </c>
      <c r="BK356">
        <f t="shared" si="94"/>
        <v>4873051</v>
      </c>
      <c r="BL356">
        <f t="shared" si="95"/>
        <v>2892761</v>
      </c>
      <c r="BM356">
        <f t="shared" si="96"/>
        <v>0</v>
      </c>
      <c r="BN356" t="str">
        <f t="shared" si="109"/>
        <v>u=10%, k=2x10^9</v>
      </c>
      <c r="BO356" t="str">
        <f t="shared" si="110"/>
        <v>u=10%, k=2x10^9, sequential</v>
      </c>
      <c r="BP356">
        <f t="shared" si="111"/>
        <v>0.10621339479166668</v>
      </c>
      <c r="BQ356">
        <f t="shared" si="112"/>
        <v>0</v>
      </c>
      <c r="BR356">
        <f t="shared" si="113"/>
        <v>0.18732097962500002</v>
      </c>
      <c r="BS356">
        <f t="shared" si="114"/>
        <v>0.18353109060416664</v>
      </c>
      <c r="BT356">
        <f t="shared" si="115"/>
        <v>3.5159012499999996E-2</v>
      </c>
      <c r="BU356">
        <f t="shared" si="116"/>
        <v>59.344613565354173</v>
      </c>
    </row>
    <row r="357" spans="1:73">
      <c r="A357" t="s">
        <v>74</v>
      </c>
      <c r="B357" t="s">
        <v>136</v>
      </c>
      <c r="C357">
        <v>72</v>
      </c>
      <c r="D357" t="s">
        <v>56</v>
      </c>
      <c r="E357" t="s">
        <v>53</v>
      </c>
      <c r="F357" t="s">
        <v>54</v>
      </c>
      <c r="G357">
        <v>60000</v>
      </c>
      <c r="H357">
        <v>20</v>
      </c>
      <c r="I357">
        <v>20</v>
      </c>
      <c r="J357">
        <v>0</v>
      </c>
      <c r="K357">
        <v>1</v>
      </c>
      <c r="L357">
        <v>2000000000</v>
      </c>
      <c r="M357">
        <v>144</v>
      </c>
      <c r="N357">
        <v>144</v>
      </c>
      <c r="O357">
        <v>144</v>
      </c>
      <c r="P357">
        <v>0</v>
      </c>
      <c r="Q357" t="s">
        <v>55</v>
      </c>
      <c r="R357">
        <v>9.9999675806496499E+17</v>
      </c>
      <c r="S357">
        <v>999995726</v>
      </c>
      <c r="T357">
        <v>9.9999675806496499E+17</v>
      </c>
      <c r="U357">
        <v>999995726</v>
      </c>
      <c r="V357" t="s">
        <v>63</v>
      </c>
      <c r="W357">
        <v>7</v>
      </c>
      <c r="X357">
        <v>84465066</v>
      </c>
      <c r="Y357">
        <v>1078800309</v>
      </c>
      <c r="Z357">
        <v>1163265375</v>
      </c>
      <c r="AA357">
        <v>999995726</v>
      </c>
      <c r="AB357">
        <v>13.7721</v>
      </c>
      <c r="AC357">
        <v>0.926952</v>
      </c>
      <c r="AD357">
        <v>4</v>
      </c>
      <c r="AE357">
        <v>24018010208</v>
      </c>
      <c r="AF357" t="s">
        <v>1138</v>
      </c>
      <c r="AG357" t="s">
        <v>1139</v>
      </c>
      <c r="AI357">
        <v>12774</v>
      </c>
      <c r="AJ357">
        <v>12778820967492</v>
      </c>
      <c r="AK357">
        <v>172999181986</v>
      </c>
      <c r="AL357">
        <v>10115151638418</v>
      </c>
      <c r="AM357">
        <v>219717617279</v>
      </c>
      <c r="AN357">
        <v>144513777135</v>
      </c>
      <c r="AO357">
        <v>78368836877</v>
      </c>
      <c r="AP357">
        <v>749900233</v>
      </c>
      <c r="AQ357">
        <v>0</v>
      </c>
      <c r="AR357">
        <v>499968865</v>
      </c>
      <c r="AS357">
        <v>749900233</v>
      </c>
      <c r="AT357">
        <v>1249869098</v>
      </c>
      <c r="AU357">
        <v>12498337</v>
      </c>
      <c r="AV357">
        <v>0</v>
      </c>
      <c r="AW357">
        <v>8332814</v>
      </c>
      <c r="AX357">
        <v>12498337</v>
      </c>
      <c r="AY357">
        <v>20831151</v>
      </c>
      <c r="AZ357">
        <v>32.458199999999998</v>
      </c>
      <c r="BA357">
        <v>20.543800000000001</v>
      </c>
      <c r="BB357">
        <v>28417.4</v>
      </c>
      <c r="BC357">
        <v>4529.22</v>
      </c>
      <c r="BD357">
        <v>121331</v>
      </c>
      <c r="BE357">
        <v>9384</v>
      </c>
      <c r="BF357">
        <f t="shared" si="107"/>
        <v>88.741812274249995</v>
      </c>
      <c r="BG357" s="31">
        <f t="shared" si="108"/>
        <v>74.519104525659728</v>
      </c>
      <c r="BH357">
        <f t="shared" si="91"/>
        <v>1</v>
      </c>
      <c r="BI357">
        <f t="shared" si="92"/>
        <v>31579</v>
      </c>
      <c r="BJ357">
        <f t="shared" si="93"/>
        <v>2163701</v>
      </c>
      <c r="BK357">
        <f t="shared" si="94"/>
        <v>33493577</v>
      </c>
      <c r="BL357">
        <f t="shared" si="95"/>
        <v>9441532</v>
      </c>
      <c r="BM357">
        <f t="shared" si="96"/>
        <v>0</v>
      </c>
      <c r="BN357" t="str">
        <f t="shared" si="109"/>
        <v>u=40%, k=2x10^9</v>
      </c>
      <c r="BO357" t="str">
        <f t="shared" si="110"/>
        <v>u=40%, k=2x10^9, sequential</v>
      </c>
      <c r="BP357">
        <f t="shared" si="111"/>
        <v>1.2013832082361111</v>
      </c>
      <c r="BQ357">
        <f t="shared" si="112"/>
        <v>70.244108600125003</v>
      </c>
      <c r="BR357">
        <f t="shared" si="113"/>
        <v>1.5258167866597221</v>
      </c>
      <c r="BS357">
        <f t="shared" si="114"/>
        <v>1.0035678967708332</v>
      </c>
      <c r="BT357">
        <f t="shared" si="115"/>
        <v>0.54422803386805563</v>
      </c>
      <c r="BU357">
        <f t="shared" si="116"/>
        <v>14.222707748590281</v>
      </c>
    </row>
    <row r="358" spans="1:73">
      <c r="A358" t="s">
        <v>75</v>
      </c>
      <c r="B358" t="s">
        <v>136</v>
      </c>
      <c r="C358">
        <v>72</v>
      </c>
      <c r="D358" t="s">
        <v>56</v>
      </c>
      <c r="E358" t="s">
        <v>53</v>
      </c>
      <c r="F358" t="s">
        <v>54</v>
      </c>
      <c r="G358">
        <v>60000</v>
      </c>
      <c r="H358">
        <v>20</v>
      </c>
      <c r="I358">
        <v>20</v>
      </c>
      <c r="J358">
        <v>0</v>
      </c>
      <c r="K358">
        <v>1</v>
      </c>
      <c r="L358">
        <v>2000000000</v>
      </c>
      <c r="M358">
        <v>48</v>
      </c>
      <c r="N358">
        <v>48</v>
      </c>
      <c r="O358">
        <v>48</v>
      </c>
      <c r="P358">
        <v>0</v>
      </c>
      <c r="Q358" t="s">
        <v>55</v>
      </c>
      <c r="R358">
        <v>9.9998927161171098E+17</v>
      </c>
      <c r="S358">
        <v>999985963</v>
      </c>
      <c r="T358">
        <v>9.9998927161171098E+17</v>
      </c>
      <c r="U358">
        <v>999985963</v>
      </c>
      <c r="V358" t="s">
        <v>63</v>
      </c>
      <c r="W358">
        <v>7</v>
      </c>
      <c r="X358">
        <v>84465043</v>
      </c>
      <c r="Y358">
        <v>1078790498</v>
      </c>
      <c r="Z358">
        <v>1163255541</v>
      </c>
      <c r="AA358">
        <v>999985963</v>
      </c>
      <c r="AB358">
        <v>13.772</v>
      </c>
      <c r="AC358">
        <v>0.92695099999999997</v>
      </c>
      <c r="AD358">
        <v>4</v>
      </c>
      <c r="AE358">
        <v>24017851392</v>
      </c>
      <c r="AF358" t="s">
        <v>1140</v>
      </c>
      <c r="AG358" t="s">
        <v>1141</v>
      </c>
      <c r="AI358">
        <v>114182</v>
      </c>
      <c r="AJ358">
        <v>6683647804199</v>
      </c>
      <c r="AK358">
        <v>176017090987</v>
      </c>
      <c r="AL358">
        <v>3938164607703</v>
      </c>
      <c r="AM358">
        <v>222550381448</v>
      </c>
      <c r="AN358">
        <v>97842371524</v>
      </c>
      <c r="AO358">
        <v>84338221045</v>
      </c>
      <c r="AP358">
        <v>749971847</v>
      </c>
      <c r="AQ358">
        <v>0</v>
      </c>
      <c r="AR358">
        <v>499996190</v>
      </c>
      <c r="AS358">
        <v>749971847</v>
      </c>
      <c r="AT358">
        <v>1249968037</v>
      </c>
      <c r="AU358">
        <v>12499530</v>
      </c>
      <c r="AV358">
        <v>0</v>
      </c>
      <c r="AW358">
        <v>8333269</v>
      </c>
      <c r="AX358">
        <v>12499530</v>
      </c>
      <c r="AY358">
        <v>20832800</v>
      </c>
      <c r="AZ358">
        <v>31.726299999999998</v>
      </c>
      <c r="BA358">
        <v>19.112500000000001</v>
      </c>
      <c r="BB358">
        <v>14804.1</v>
      </c>
      <c r="BC358">
        <v>4829.0200000000004</v>
      </c>
      <c r="BD358">
        <v>85493</v>
      </c>
      <c r="BE358">
        <v>12408</v>
      </c>
      <c r="BF358">
        <f t="shared" si="107"/>
        <v>139.24266258747917</v>
      </c>
      <c r="BG358" s="31">
        <f t="shared" si="108"/>
        <v>94.144014014729166</v>
      </c>
      <c r="BH358">
        <f t="shared" si="91"/>
        <v>1</v>
      </c>
      <c r="BI358">
        <f t="shared" si="92"/>
        <v>26175</v>
      </c>
      <c r="BJ358">
        <f t="shared" si="93"/>
        <v>2535075</v>
      </c>
      <c r="BK358">
        <f t="shared" si="94"/>
        <v>34440478</v>
      </c>
      <c r="BL358">
        <f t="shared" si="95"/>
        <v>9607146</v>
      </c>
      <c r="BM358">
        <f t="shared" si="96"/>
        <v>0</v>
      </c>
      <c r="BN358" t="str">
        <f t="shared" si="109"/>
        <v>u=40%, k=2x10^9</v>
      </c>
      <c r="BO358" t="str">
        <f t="shared" si="110"/>
        <v>u=40%, k=2x10^9, sequential</v>
      </c>
      <c r="BP358">
        <f t="shared" si="111"/>
        <v>3.6670227288958333</v>
      </c>
      <c r="BQ358">
        <f t="shared" si="112"/>
        <v>82.045095993812495</v>
      </c>
      <c r="BR358">
        <f t="shared" si="113"/>
        <v>4.6364662801666663</v>
      </c>
      <c r="BS358">
        <f t="shared" si="114"/>
        <v>2.0383827400833332</v>
      </c>
      <c r="BT358">
        <f t="shared" si="115"/>
        <v>1.7570462717708333</v>
      </c>
      <c r="BU358">
        <f t="shared" si="116"/>
        <v>45.098648572750008</v>
      </c>
    </row>
    <row r="359" spans="1:73">
      <c r="A359" t="s">
        <v>76</v>
      </c>
      <c r="B359" t="s">
        <v>136</v>
      </c>
      <c r="C359">
        <v>72</v>
      </c>
      <c r="D359" t="s">
        <v>56</v>
      </c>
      <c r="E359" t="s">
        <v>53</v>
      </c>
      <c r="F359" t="s">
        <v>54</v>
      </c>
      <c r="G359">
        <v>60000</v>
      </c>
      <c r="H359">
        <v>5</v>
      </c>
      <c r="I359">
        <v>5</v>
      </c>
      <c r="J359">
        <v>0</v>
      </c>
      <c r="K359">
        <v>1</v>
      </c>
      <c r="L359">
        <v>2000000000</v>
      </c>
      <c r="M359">
        <v>144</v>
      </c>
      <c r="N359">
        <v>144</v>
      </c>
      <c r="O359">
        <v>144</v>
      </c>
      <c r="P359">
        <v>0</v>
      </c>
      <c r="Q359" t="s">
        <v>55</v>
      </c>
      <c r="R359">
        <v>9.9997070215381197E+17</v>
      </c>
      <c r="S359">
        <v>999990049</v>
      </c>
      <c r="T359">
        <v>9.9997070215381197E+17</v>
      </c>
      <c r="U359">
        <v>999990049</v>
      </c>
      <c r="V359" t="s">
        <v>63</v>
      </c>
      <c r="W359">
        <v>7</v>
      </c>
      <c r="X359">
        <v>84465067</v>
      </c>
      <c r="Y359">
        <v>1078794629</v>
      </c>
      <c r="Z359">
        <v>1163259696</v>
      </c>
      <c r="AA359">
        <v>999990049</v>
      </c>
      <c r="AB359">
        <v>13.7721</v>
      </c>
      <c r="AC359">
        <v>0.92695099999999997</v>
      </c>
      <c r="AD359">
        <v>4</v>
      </c>
      <c r="AE359">
        <v>24017919408</v>
      </c>
      <c r="AF359" t="s">
        <v>1142</v>
      </c>
      <c r="AG359" t="s">
        <v>1143</v>
      </c>
      <c r="AI359">
        <v>47748</v>
      </c>
      <c r="AJ359">
        <v>17678958782119</v>
      </c>
      <c r="AK359">
        <v>184882825777</v>
      </c>
      <c r="AL359">
        <v>9803536747830</v>
      </c>
      <c r="AM359">
        <v>316786391659</v>
      </c>
      <c r="AN359">
        <v>177130797952</v>
      </c>
      <c r="AO359">
        <v>87428895970</v>
      </c>
      <c r="AP359">
        <v>4499853575</v>
      </c>
      <c r="AQ359">
        <v>0</v>
      </c>
      <c r="AR359">
        <v>500006880</v>
      </c>
      <c r="AS359">
        <v>4499853575</v>
      </c>
      <c r="AT359">
        <v>4999860455</v>
      </c>
      <c r="AU359">
        <v>74997559</v>
      </c>
      <c r="AV359">
        <v>0</v>
      </c>
      <c r="AW359">
        <v>8333448</v>
      </c>
      <c r="AX359">
        <v>74997559</v>
      </c>
      <c r="AY359">
        <v>83331007</v>
      </c>
      <c r="AZ359">
        <v>25.1235</v>
      </c>
      <c r="BA359">
        <v>15.878299999999999</v>
      </c>
      <c r="BB359">
        <v>9775.92</v>
      </c>
      <c r="BC359">
        <v>3441.94</v>
      </c>
      <c r="BD359">
        <v>103763</v>
      </c>
      <c r="BE359">
        <v>9199</v>
      </c>
      <c r="BF359">
        <f t="shared" si="107"/>
        <v>122.77054709804861</v>
      </c>
      <c r="BG359" s="31">
        <f t="shared" si="108"/>
        <v>73.401150411027785</v>
      </c>
      <c r="BH359">
        <f t="shared" si="91"/>
        <v>1</v>
      </c>
      <c r="BI359">
        <f t="shared" si="92"/>
        <v>31570</v>
      </c>
      <c r="BJ359">
        <f t="shared" si="93"/>
        <v>2163183</v>
      </c>
      <c r="BK359">
        <f t="shared" si="94"/>
        <v>33492450</v>
      </c>
      <c r="BL359">
        <f t="shared" si="95"/>
        <v>9434759</v>
      </c>
      <c r="BM359">
        <f t="shared" si="96"/>
        <v>0</v>
      </c>
      <c r="BN359" t="str">
        <f t="shared" si="109"/>
        <v>u=10%, k=2x10^9</v>
      </c>
      <c r="BO359" t="str">
        <f t="shared" si="110"/>
        <v>u=10%, k=2x10^9, sequential</v>
      </c>
      <c r="BP359">
        <f t="shared" si="111"/>
        <v>1.2839085123402778</v>
      </c>
      <c r="BQ359">
        <f t="shared" si="112"/>
        <v>68.080116304374997</v>
      </c>
      <c r="BR359">
        <f t="shared" si="113"/>
        <v>2.1999054976319443</v>
      </c>
      <c r="BS359">
        <f t="shared" si="114"/>
        <v>1.2300749857777777</v>
      </c>
      <c r="BT359">
        <f t="shared" si="115"/>
        <v>0.60714511090277778</v>
      </c>
      <c r="BU359">
        <f t="shared" si="116"/>
        <v>49.369396687020838</v>
      </c>
    </row>
    <row r="360" spans="1:73">
      <c r="A360" t="s">
        <v>82</v>
      </c>
      <c r="B360" t="s">
        <v>136</v>
      </c>
      <c r="C360">
        <v>72</v>
      </c>
      <c r="D360" t="s">
        <v>56</v>
      </c>
      <c r="E360" t="s">
        <v>53</v>
      </c>
      <c r="F360" t="s">
        <v>54</v>
      </c>
      <c r="G360">
        <v>60000</v>
      </c>
      <c r="H360">
        <v>5</v>
      </c>
      <c r="I360">
        <v>5</v>
      </c>
      <c r="J360">
        <v>0</v>
      </c>
      <c r="K360">
        <v>1</v>
      </c>
      <c r="L360">
        <v>2000000000</v>
      </c>
      <c r="M360">
        <v>48</v>
      </c>
      <c r="N360">
        <v>48</v>
      </c>
      <c r="O360">
        <v>48</v>
      </c>
      <c r="P360">
        <v>0</v>
      </c>
      <c r="Q360" t="s">
        <v>55</v>
      </c>
      <c r="R360">
        <v>1.00000656541803E+18</v>
      </c>
      <c r="S360">
        <v>1000001313</v>
      </c>
      <c r="T360">
        <v>1.00000656541803E+18</v>
      </c>
      <c r="U360">
        <v>1000001313</v>
      </c>
      <c r="V360" t="s">
        <v>63</v>
      </c>
      <c r="W360">
        <v>7</v>
      </c>
      <c r="X360">
        <v>119305303</v>
      </c>
      <c r="Y360">
        <v>1150496234</v>
      </c>
      <c r="Z360">
        <v>1269801537</v>
      </c>
      <c r="AA360">
        <v>1000001313</v>
      </c>
      <c r="AB360">
        <v>10.6433</v>
      </c>
      <c r="AC360">
        <v>0.86919100000000005</v>
      </c>
      <c r="AD360">
        <v>4.07301</v>
      </c>
      <c r="AE360">
        <v>27989078192</v>
      </c>
      <c r="AF360" t="s">
        <v>1144</v>
      </c>
      <c r="AG360" t="s">
        <v>1144</v>
      </c>
      <c r="AI360">
        <v>171208</v>
      </c>
      <c r="AJ360">
        <v>2873126552409</v>
      </c>
      <c r="AK360">
        <v>5126976823</v>
      </c>
      <c r="AM360">
        <v>9041406464</v>
      </c>
      <c r="AN360">
        <v>9074075704</v>
      </c>
      <c r="AO360">
        <v>1727480790</v>
      </c>
      <c r="AP360">
        <v>1695733629</v>
      </c>
      <c r="AQ360">
        <v>0</v>
      </c>
      <c r="AR360">
        <v>188438044</v>
      </c>
      <c r="AS360">
        <v>1695733629</v>
      </c>
      <c r="AT360">
        <v>1884171673</v>
      </c>
      <c r="AU360">
        <v>28262227</v>
      </c>
      <c r="AV360">
        <v>0</v>
      </c>
      <c r="AW360">
        <v>3140634</v>
      </c>
      <c r="AX360">
        <v>28262227</v>
      </c>
      <c r="AY360">
        <v>31402861</v>
      </c>
      <c r="AZ360">
        <v>23.093399999999999</v>
      </c>
      <c r="BA360">
        <v>13.6831</v>
      </c>
      <c r="BB360">
        <v>4253.24</v>
      </c>
      <c r="BC360">
        <v>3541.56</v>
      </c>
      <c r="BD360">
        <v>63660</v>
      </c>
      <c r="BE360">
        <v>11665</v>
      </c>
      <c r="BF360">
        <f t="shared" ref="BF360:BF364" si="117">AJ360/1000000000/$N360</f>
        <v>59.856803175187501</v>
      </c>
      <c r="BG360" s="31">
        <f t="shared" ref="BG360:BG364" si="118">SUM(AK360:AO360)/1000000000/$N360</f>
        <v>0.52020707877083339</v>
      </c>
      <c r="BH360">
        <f t="shared" si="91"/>
        <v>0</v>
      </c>
      <c r="BI360">
        <f t="shared" si="92"/>
        <v>0</v>
      </c>
      <c r="BJ360">
        <f t="shared" si="93"/>
        <v>0</v>
      </c>
      <c r="BK360">
        <f t="shared" si="94"/>
        <v>4867053</v>
      </c>
      <c r="BL360">
        <f t="shared" si="95"/>
        <v>2890606</v>
      </c>
      <c r="BM360">
        <f t="shared" si="96"/>
        <v>0</v>
      </c>
      <c r="BN360" t="str">
        <f t="shared" ref="BN360:BN364" si="119">"u="&amp;(H360+I360)&amp;"%, k=2x10^"&amp;LOG10(L360/2)</f>
        <v>u=10%, k=2x10^9</v>
      </c>
      <c r="BO360" t="str">
        <f t="shared" ref="BO360:BO364" si="120">BN360&amp;", "&amp;IF(getFieldDelim(B360,"_",4)="enabled","collaborative","sequential")</f>
        <v>u=10%, k=2x10^9, sequential</v>
      </c>
      <c r="BP360">
        <f t="shared" ref="BP360:BP364" si="121">AK360/1000000000/$N360</f>
        <v>0.10681201714583333</v>
      </c>
      <c r="BQ360">
        <f t="shared" ref="BQ360:BQ364" si="122">AL360/1000000000/$N360</f>
        <v>0</v>
      </c>
      <c r="BR360">
        <f t="shared" ref="BR360:BR364" si="123">AM360/1000000000/$N360</f>
        <v>0.18836263466666667</v>
      </c>
      <c r="BS360">
        <f t="shared" ref="BS360:BS364" si="124">AN360/1000000000/$N360</f>
        <v>0.18904324383333335</v>
      </c>
      <c r="BT360">
        <f t="shared" ref="BT360:BT364" si="125">AO360/1000000000/$N360</f>
        <v>3.5989183124999997E-2</v>
      </c>
      <c r="BU360">
        <f t="shared" ref="BU360:BU364" si="126">BF360-SUM(BP360:BT360)</f>
        <v>59.33659609641667</v>
      </c>
    </row>
    <row r="361" spans="1:73">
      <c r="A361" t="s">
        <v>83</v>
      </c>
      <c r="B361" t="s">
        <v>136</v>
      </c>
      <c r="C361">
        <v>72</v>
      </c>
      <c r="D361" t="s">
        <v>56</v>
      </c>
      <c r="E361" t="s">
        <v>53</v>
      </c>
      <c r="F361" t="s">
        <v>54</v>
      </c>
      <c r="G361">
        <v>60000</v>
      </c>
      <c r="H361">
        <v>20</v>
      </c>
      <c r="I361">
        <v>20</v>
      </c>
      <c r="J361">
        <v>0</v>
      </c>
      <c r="K361">
        <v>1</v>
      </c>
      <c r="L361">
        <v>2000000000</v>
      </c>
      <c r="M361">
        <v>144</v>
      </c>
      <c r="N361">
        <v>144</v>
      </c>
      <c r="O361">
        <v>144</v>
      </c>
      <c r="P361">
        <v>0</v>
      </c>
      <c r="Q361" t="s">
        <v>55</v>
      </c>
      <c r="R361">
        <v>1.00001577806106E+18</v>
      </c>
      <c r="S361">
        <v>1000013448</v>
      </c>
      <c r="T361">
        <v>1.00001577806106E+18</v>
      </c>
      <c r="U361">
        <v>1000013448</v>
      </c>
      <c r="V361" t="s">
        <v>63</v>
      </c>
      <c r="W361">
        <v>7</v>
      </c>
      <c r="X361">
        <v>84465072</v>
      </c>
      <c r="Y361">
        <v>1078818038</v>
      </c>
      <c r="Z361">
        <v>1163283110</v>
      </c>
      <c r="AA361">
        <v>1000013448</v>
      </c>
      <c r="AB361">
        <v>13.772399999999999</v>
      </c>
      <c r="AC361">
        <v>0.92695300000000003</v>
      </c>
      <c r="AD361">
        <v>4</v>
      </c>
      <c r="AE361">
        <v>24018294352</v>
      </c>
      <c r="AF361" t="s">
        <v>1145</v>
      </c>
      <c r="AG361" t="s">
        <v>1146</v>
      </c>
      <c r="AI361">
        <v>12760</v>
      </c>
      <c r="AJ361">
        <v>12711607630155</v>
      </c>
      <c r="AK361">
        <v>173522758539</v>
      </c>
      <c r="AL361">
        <v>10050308204532</v>
      </c>
      <c r="AM361">
        <v>220350214950</v>
      </c>
      <c r="AN361">
        <v>141290368245</v>
      </c>
      <c r="AO361">
        <v>78741284038</v>
      </c>
      <c r="AP361">
        <v>749952266</v>
      </c>
      <c r="AQ361">
        <v>0</v>
      </c>
      <c r="AR361">
        <v>499986135</v>
      </c>
      <c r="AS361">
        <v>749952266</v>
      </c>
      <c r="AT361">
        <v>1249938401</v>
      </c>
      <c r="AU361">
        <v>12499204</v>
      </c>
      <c r="AV361">
        <v>0</v>
      </c>
      <c r="AW361">
        <v>8333102</v>
      </c>
      <c r="AX361">
        <v>12499204</v>
      </c>
      <c r="AY361">
        <v>20832306</v>
      </c>
      <c r="AZ361">
        <v>32.4876</v>
      </c>
      <c r="BA361">
        <v>20.5336</v>
      </c>
      <c r="BB361">
        <v>28259.3</v>
      </c>
      <c r="BC361">
        <v>4526.45</v>
      </c>
      <c r="BD361">
        <v>121330</v>
      </c>
      <c r="BE361">
        <v>9087</v>
      </c>
      <c r="BF361">
        <f t="shared" si="117"/>
        <v>88.275052987187507</v>
      </c>
      <c r="BG361" s="31">
        <f t="shared" si="118"/>
        <v>74.057033543777777</v>
      </c>
      <c r="BH361">
        <f t="shared" si="91"/>
        <v>1</v>
      </c>
      <c r="BI361">
        <f t="shared" si="92"/>
        <v>31579</v>
      </c>
      <c r="BJ361">
        <f t="shared" si="93"/>
        <v>2165191</v>
      </c>
      <c r="BK361">
        <f t="shared" si="94"/>
        <v>33494654</v>
      </c>
      <c r="BL361">
        <f t="shared" si="95"/>
        <v>9439223</v>
      </c>
      <c r="BM361">
        <f t="shared" si="96"/>
        <v>0</v>
      </c>
      <c r="BN361" t="str">
        <f t="shared" si="119"/>
        <v>u=40%, k=2x10^9</v>
      </c>
      <c r="BO361" t="str">
        <f t="shared" si="120"/>
        <v>u=40%, k=2x10^9, sequential</v>
      </c>
      <c r="BP361">
        <f t="shared" si="121"/>
        <v>1.2050191565208332</v>
      </c>
      <c r="BQ361">
        <f t="shared" si="122"/>
        <v>69.793806975916667</v>
      </c>
      <c r="BR361">
        <f t="shared" si="123"/>
        <v>1.5302098260416668</v>
      </c>
      <c r="BS361">
        <f t="shared" si="124"/>
        <v>0.98118311281249992</v>
      </c>
      <c r="BT361">
        <f t="shared" si="125"/>
        <v>0.54681447248611115</v>
      </c>
      <c r="BU361">
        <f t="shared" si="126"/>
        <v>14.21801944340973</v>
      </c>
    </row>
    <row r="362" spans="1:73">
      <c r="A362" t="s">
        <v>84</v>
      </c>
      <c r="B362" t="s">
        <v>136</v>
      </c>
      <c r="C362">
        <v>72</v>
      </c>
      <c r="D362" t="s">
        <v>56</v>
      </c>
      <c r="E362" t="s">
        <v>53</v>
      </c>
      <c r="F362" t="s">
        <v>54</v>
      </c>
      <c r="G362">
        <v>60000</v>
      </c>
      <c r="H362">
        <v>20</v>
      </c>
      <c r="I362">
        <v>20</v>
      </c>
      <c r="J362">
        <v>0</v>
      </c>
      <c r="K362">
        <v>1</v>
      </c>
      <c r="L362">
        <v>2000000000</v>
      </c>
      <c r="M362">
        <v>48</v>
      </c>
      <c r="N362">
        <v>48</v>
      </c>
      <c r="O362">
        <v>48</v>
      </c>
      <c r="P362">
        <v>0</v>
      </c>
      <c r="Q362" t="s">
        <v>55</v>
      </c>
      <c r="R362">
        <v>9.9997674250702298E+17</v>
      </c>
      <c r="S362">
        <v>999987858</v>
      </c>
      <c r="T362">
        <v>9.9997674250702298E+17</v>
      </c>
      <c r="U362">
        <v>999987858</v>
      </c>
      <c r="V362" t="s">
        <v>63</v>
      </c>
      <c r="W362">
        <v>7</v>
      </c>
      <c r="X362">
        <v>84465044</v>
      </c>
      <c r="Y362">
        <v>1078792395</v>
      </c>
      <c r="Z362">
        <v>1163257439</v>
      </c>
      <c r="AA362">
        <v>999987858</v>
      </c>
      <c r="AB362">
        <v>13.7721</v>
      </c>
      <c r="AC362">
        <v>0.92695099999999997</v>
      </c>
      <c r="AD362">
        <v>4</v>
      </c>
      <c r="AE362">
        <v>24017881824</v>
      </c>
      <c r="AF362" t="s">
        <v>1147</v>
      </c>
      <c r="AG362" t="s">
        <v>1148</v>
      </c>
      <c r="AI362">
        <v>114234</v>
      </c>
      <c r="AJ362">
        <v>6680153868646</v>
      </c>
      <c r="AK362">
        <v>175678975983</v>
      </c>
      <c r="AL362">
        <v>3924525965819</v>
      </c>
      <c r="AM362">
        <v>229912459827</v>
      </c>
      <c r="AN362">
        <v>97831583630</v>
      </c>
      <c r="AO362">
        <v>83580206998</v>
      </c>
      <c r="AP362">
        <v>750040201</v>
      </c>
      <c r="AQ362">
        <v>0</v>
      </c>
      <c r="AR362">
        <v>500006592</v>
      </c>
      <c r="AS362">
        <v>750040201</v>
      </c>
      <c r="AT362">
        <v>1250046793</v>
      </c>
      <c r="AU362">
        <v>12500670</v>
      </c>
      <c r="AV362">
        <v>0</v>
      </c>
      <c r="AW362">
        <v>8333443</v>
      </c>
      <c r="AX362">
        <v>12500670</v>
      </c>
      <c r="AY362">
        <v>20834113</v>
      </c>
      <c r="AZ362">
        <v>31.721</v>
      </c>
      <c r="BA362">
        <v>19.098800000000001</v>
      </c>
      <c r="BB362">
        <v>14775.2</v>
      </c>
      <c r="BC362">
        <v>4825.93</v>
      </c>
      <c r="BD362">
        <v>85587</v>
      </c>
      <c r="BE362">
        <v>12675</v>
      </c>
      <c r="BF362">
        <f t="shared" si="117"/>
        <v>139.16987226345833</v>
      </c>
      <c r="BG362" s="31">
        <f t="shared" si="118"/>
        <v>93.990191505354176</v>
      </c>
      <c r="BH362">
        <f t="shared" si="91"/>
        <v>1</v>
      </c>
      <c r="BI362">
        <f t="shared" si="92"/>
        <v>26317</v>
      </c>
      <c r="BJ362">
        <f t="shared" si="93"/>
        <v>2535260</v>
      </c>
      <c r="BK362">
        <f t="shared" si="94"/>
        <v>34443058</v>
      </c>
      <c r="BL362">
        <f t="shared" si="95"/>
        <v>9601071</v>
      </c>
      <c r="BM362">
        <f t="shared" si="96"/>
        <v>0</v>
      </c>
      <c r="BN362" t="str">
        <f t="shared" si="119"/>
        <v>u=40%, k=2x10^9</v>
      </c>
      <c r="BO362" t="str">
        <f t="shared" si="120"/>
        <v>u=40%, k=2x10^9, sequential</v>
      </c>
      <c r="BP362">
        <f t="shared" si="121"/>
        <v>3.6599786663124996</v>
      </c>
      <c r="BQ362">
        <f t="shared" si="122"/>
        <v>81.760957621229167</v>
      </c>
      <c r="BR362">
        <f t="shared" si="123"/>
        <v>4.7898429130624995</v>
      </c>
      <c r="BS362">
        <f t="shared" si="124"/>
        <v>2.0381579922916666</v>
      </c>
      <c r="BT362">
        <f t="shared" si="125"/>
        <v>1.7412543124583333</v>
      </c>
      <c r="BU362">
        <f t="shared" si="126"/>
        <v>45.179680758104155</v>
      </c>
    </row>
    <row r="363" spans="1:73">
      <c r="A363" t="s">
        <v>85</v>
      </c>
      <c r="B363" t="s">
        <v>136</v>
      </c>
      <c r="C363">
        <v>72</v>
      </c>
      <c r="D363" t="s">
        <v>56</v>
      </c>
      <c r="E363" t="s">
        <v>53</v>
      </c>
      <c r="F363" t="s">
        <v>54</v>
      </c>
      <c r="G363">
        <v>60000</v>
      </c>
      <c r="H363">
        <v>5</v>
      </c>
      <c r="I363">
        <v>5</v>
      </c>
      <c r="J363">
        <v>0</v>
      </c>
      <c r="K363">
        <v>1</v>
      </c>
      <c r="L363">
        <v>2000000000</v>
      </c>
      <c r="M363">
        <v>144</v>
      </c>
      <c r="N363">
        <v>144</v>
      </c>
      <c r="O363">
        <v>144</v>
      </c>
      <c r="P363">
        <v>0</v>
      </c>
      <c r="Q363" t="s">
        <v>55</v>
      </c>
      <c r="R363">
        <v>9.9998217108251802E+17</v>
      </c>
      <c r="S363">
        <v>999976464</v>
      </c>
      <c r="T363">
        <v>9.9998217108251802E+17</v>
      </c>
      <c r="U363">
        <v>999976464</v>
      </c>
      <c r="V363" t="s">
        <v>63</v>
      </c>
      <c r="W363">
        <v>7</v>
      </c>
      <c r="X363">
        <v>84465076</v>
      </c>
      <c r="Y363">
        <v>1078781059</v>
      </c>
      <c r="Z363">
        <v>1163246135</v>
      </c>
      <c r="AA363">
        <v>999976464</v>
      </c>
      <c r="AB363">
        <v>13.7719</v>
      </c>
      <c r="AC363">
        <v>0.92695000000000005</v>
      </c>
      <c r="AD363">
        <v>4</v>
      </c>
      <c r="AE363">
        <v>24017703008</v>
      </c>
      <c r="AF363" t="s">
        <v>1149</v>
      </c>
      <c r="AG363" t="s">
        <v>1150</v>
      </c>
      <c r="AI363">
        <v>47708</v>
      </c>
      <c r="AJ363">
        <v>17758806676521</v>
      </c>
      <c r="AK363">
        <v>185020597308</v>
      </c>
      <c r="AL363">
        <v>9870585301352</v>
      </c>
      <c r="AM363">
        <v>334096955844</v>
      </c>
      <c r="AN363">
        <v>184295662851</v>
      </c>
      <c r="AO363">
        <v>87565433468</v>
      </c>
      <c r="AP363">
        <v>4500179176</v>
      </c>
      <c r="AQ363">
        <v>0</v>
      </c>
      <c r="AR363">
        <v>500005772</v>
      </c>
      <c r="AS363">
        <v>4500179176</v>
      </c>
      <c r="AT363">
        <v>5000184948</v>
      </c>
      <c r="AU363">
        <v>75002986</v>
      </c>
      <c r="AV363">
        <v>0</v>
      </c>
      <c r="AW363">
        <v>8333429</v>
      </c>
      <c r="AX363">
        <v>75002986</v>
      </c>
      <c r="AY363">
        <v>83336415</v>
      </c>
      <c r="AZ363">
        <v>25.066500000000001</v>
      </c>
      <c r="BA363">
        <v>15.845499999999999</v>
      </c>
      <c r="BB363">
        <v>9803.9500000000007</v>
      </c>
      <c r="BC363">
        <v>3448.82</v>
      </c>
      <c r="BD363">
        <v>102002</v>
      </c>
      <c r="BE363">
        <v>9367</v>
      </c>
      <c r="BF363">
        <f t="shared" si="117"/>
        <v>123.32504636472916</v>
      </c>
      <c r="BG363" s="31">
        <f t="shared" si="118"/>
        <v>74.038638547381936</v>
      </c>
      <c r="BH363">
        <f t="shared" si="91"/>
        <v>1</v>
      </c>
      <c r="BI363">
        <f t="shared" si="92"/>
        <v>31571</v>
      </c>
      <c r="BJ363">
        <f t="shared" si="93"/>
        <v>2162912</v>
      </c>
      <c r="BK363">
        <f t="shared" si="94"/>
        <v>33497910</v>
      </c>
      <c r="BL363">
        <f t="shared" si="95"/>
        <v>9435946</v>
      </c>
      <c r="BM363">
        <f t="shared" si="96"/>
        <v>0</v>
      </c>
      <c r="BN363" t="str">
        <f t="shared" si="119"/>
        <v>u=10%, k=2x10^9</v>
      </c>
      <c r="BO363" t="str">
        <f t="shared" si="120"/>
        <v>u=10%, k=2x10^9, sequential</v>
      </c>
      <c r="BP363">
        <f t="shared" si="121"/>
        <v>1.2848652590833334</v>
      </c>
      <c r="BQ363">
        <f t="shared" si="122"/>
        <v>68.545731259388901</v>
      </c>
      <c r="BR363">
        <f t="shared" si="123"/>
        <v>2.3201177489166667</v>
      </c>
      <c r="BS363">
        <f t="shared" si="124"/>
        <v>1.2798309920208333</v>
      </c>
      <c r="BT363">
        <f t="shared" si="125"/>
        <v>0.60809328797222217</v>
      </c>
      <c r="BU363">
        <f t="shared" si="126"/>
        <v>49.286407817347197</v>
      </c>
    </row>
    <row r="364" spans="1:73">
      <c r="A364" t="s">
        <v>86</v>
      </c>
      <c r="B364" t="s">
        <v>136</v>
      </c>
      <c r="C364">
        <v>72</v>
      </c>
      <c r="D364" t="s">
        <v>56</v>
      </c>
      <c r="E364" t="s">
        <v>53</v>
      </c>
      <c r="F364" t="s">
        <v>54</v>
      </c>
      <c r="G364">
        <v>60000</v>
      </c>
      <c r="H364">
        <v>5</v>
      </c>
      <c r="I364">
        <v>5</v>
      </c>
      <c r="J364">
        <v>0</v>
      </c>
      <c r="K364">
        <v>1</v>
      </c>
      <c r="L364">
        <v>2000000000</v>
      </c>
      <c r="M364">
        <v>48</v>
      </c>
      <c r="N364">
        <v>48</v>
      </c>
      <c r="O364">
        <v>48</v>
      </c>
      <c r="P364">
        <v>0</v>
      </c>
      <c r="Q364" t="s">
        <v>55</v>
      </c>
      <c r="R364">
        <v>1.00001975236722E+18</v>
      </c>
      <c r="S364">
        <v>1000004234</v>
      </c>
      <c r="T364">
        <v>1.00001975236722E+18</v>
      </c>
      <c r="U364">
        <v>1000004234</v>
      </c>
      <c r="V364" t="s">
        <v>63</v>
      </c>
      <c r="W364">
        <v>7</v>
      </c>
      <c r="X364">
        <v>119344537</v>
      </c>
      <c r="Y364">
        <v>1150582007</v>
      </c>
      <c r="Z364">
        <v>1269926544</v>
      </c>
      <c r="AA364">
        <v>1000004234</v>
      </c>
      <c r="AB364">
        <v>10.6408</v>
      </c>
      <c r="AC364">
        <v>0.86912900000000004</v>
      </c>
      <c r="AD364">
        <v>4.0730899999999997</v>
      </c>
      <c r="AE364">
        <v>27993493440</v>
      </c>
      <c r="AF364" t="s">
        <v>1151</v>
      </c>
      <c r="AG364" t="s">
        <v>1151</v>
      </c>
      <c r="AI364">
        <v>171546</v>
      </c>
      <c r="AJ364">
        <v>2873125869662</v>
      </c>
      <c r="AK364">
        <v>5136753599</v>
      </c>
      <c r="AL364">
        <v>1572</v>
      </c>
      <c r="AM364">
        <v>9134420625</v>
      </c>
      <c r="AN364">
        <v>9177637881</v>
      </c>
      <c r="AO364">
        <v>1727884447</v>
      </c>
      <c r="AP364">
        <v>1698433480</v>
      </c>
      <c r="AQ364">
        <v>0</v>
      </c>
      <c r="AR364">
        <v>188725262</v>
      </c>
      <c r="AS364">
        <v>1698433480</v>
      </c>
      <c r="AT364">
        <v>1887158742</v>
      </c>
      <c r="AU364">
        <v>28307224</v>
      </c>
      <c r="AV364">
        <v>0</v>
      </c>
      <c r="AW364">
        <v>3145421</v>
      </c>
      <c r="AX364">
        <v>28307224</v>
      </c>
      <c r="AY364">
        <v>31452645</v>
      </c>
      <c r="AZ364">
        <v>23.135100000000001</v>
      </c>
      <c r="BA364">
        <v>13.6944</v>
      </c>
      <c r="BB364">
        <v>4246.3900000000003</v>
      </c>
      <c r="BC364">
        <v>3533.38</v>
      </c>
      <c r="BD364">
        <v>63666</v>
      </c>
      <c r="BE364">
        <v>11591</v>
      </c>
      <c r="BF364">
        <f t="shared" si="117"/>
        <v>59.856788951291662</v>
      </c>
      <c r="BG364" s="31">
        <f t="shared" si="118"/>
        <v>0.52451454424999999</v>
      </c>
      <c r="BH364">
        <f t="shared" si="91"/>
        <v>0</v>
      </c>
      <c r="BI364">
        <f t="shared" si="92"/>
        <v>0</v>
      </c>
      <c r="BJ364">
        <f t="shared" si="93"/>
        <v>0</v>
      </c>
      <c r="BK364">
        <f t="shared" si="94"/>
        <v>4887609</v>
      </c>
      <c r="BL364">
        <f t="shared" si="95"/>
        <v>2896598</v>
      </c>
      <c r="BM364">
        <f t="shared" si="96"/>
        <v>0</v>
      </c>
      <c r="BN364" t="str">
        <f t="shared" si="119"/>
        <v>u=10%, k=2x10^9</v>
      </c>
      <c r="BO364" t="str">
        <f t="shared" si="120"/>
        <v>u=10%, k=2x10^9, sequential</v>
      </c>
      <c r="BP364">
        <f t="shared" si="121"/>
        <v>0.10701569997916667</v>
      </c>
      <c r="BQ364">
        <f t="shared" si="122"/>
        <v>3.2749999999999999E-8</v>
      </c>
      <c r="BR364">
        <f t="shared" si="123"/>
        <v>0.19030042968750002</v>
      </c>
      <c r="BS364">
        <f t="shared" si="124"/>
        <v>0.19120078918750003</v>
      </c>
      <c r="BT364">
        <f t="shared" si="125"/>
        <v>3.5997592645833333E-2</v>
      </c>
      <c r="BU364">
        <f t="shared" si="126"/>
        <v>59.332274407041659</v>
      </c>
    </row>
    <row r="365" spans="1:73">
      <c r="A365" t="s">
        <v>87</v>
      </c>
      <c r="B365" t="s">
        <v>136</v>
      </c>
      <c r="C365">
        <v>72</v>
      </c>
      <c r="D365" t="s">
        <v>56</v>
      </c>
      <c r="E365" t="s">
        <v>53</v>
      </c>
      <c r="F365" t="s">
        <v>54</v>
      </c>
      <c r="G365">
        <v>60000</v>
      </c>
      <c r="H365">
        <v>20</v>
      </c>
      <c r="I365">
        <v>20</v>
      </c>
      <c r="J365">
        <v>0</v>
      </c>
      <c r="K365">
        <v>1</v>
      </c>
      <c r="L365">
        <v>2000000000</v>
      </c>
      <c r="M365">
        <v>144</v>
      </c>
      <c r="N365">
        <v>144</v>
      </c>
      <c r="O365">
        <v>144</v>
      </c>
      <c r="P365">
        <v>0</v>
      </c>
      <c r="Q365" t="s">
        <v>55</v>
      </c>
      <c r="R365">
        <v>1.00001209605134E+18</v>
      </c>
      <c r="S365">
        <v>1000016381</v>
      </c>
      <c r="T365">
        <v>1.00001209605134E+18</v>
      </c>
      <c r="U365">
        <v>1000016381</v>
      </c>
      <c r="V365" t="s">
        <v>63</v>
      </c>
      <c r="W365">
        <v>7</v>
      </c>
      <c r="X365">
        <v>84467745</v>
      </c>
      <c r="Y365">
        <v>1078823464</v>
      </c>
      <c r="Z365">
        <v>1163291209</v>
      </c>
      <c r="AA365">
        <v>1000016381</v>
      </c>
      <c r="AB365">
        <v>13.772</v>
      </c>
      <c r="AC365">
        <v>0.92695099999999997</v>
      </c>
      <c r="AD365">
        <v>4</v>
      </c>
      <c r="AE365">
        <v>24018595008</v>
      </c>
      <c r="AF365" t="s">
        <v>1152</v>
      </c>
      <c r="AG365" t="s">
        <v>1153</v>
      </c>
      <c r="AI365">
        <v>12752</v>
      </c>
      <c r="AJ365">
        <v>12728118988168</v>
      </c>
      <c r="AK365">
        <v>172938780304</v>
      </c>
      <c r="AL365">
        <v>10068293681472</v>
      </c>
      <c r="AM365">
        <v>219378888016</v>
      </c>
      <c r="AN365">
        <v>142456545464</v>
      </c>
      <c r="AO365">
        <v>78235536080</v>
      </c>
      <c r="AP365">
        <v>750029827</v>
      </c>
      <c r="AQ365">
        <v>0</v>
      </c>
      <c r="AR365">
        <v>499998718</v>
      </c>
      <c r="AS365">
        <v>750029827</v>
      </c>
      <c r="AT365">
        <v>1250028545</v>
      </c>
      <c r="AU365">
        <v>12500497</v>
      </c>
      <c r="AV365">
        <v>0</v>
      </c>
      <c r="AW365">
        <v>8333311</v>
      </c>
      <c r="AX365">
        <v>12500497</v>
      </c>
      <c r="AY365">
        <v>20833809</v>
      </c>
      <c r="AZ365">
        <v>32.510199999999998</v>
      </c>
      <c r="BA365">
        <v>20.534400000000002</v>
      </c>
      <c r="BB365">
        <v>28296.1</v>
      </c>
      <c r="BC365">
        <v>4526.41</v>
      </c>
      <c r="BD365">
        <v>121337</v>
      </c>
      <c r="BE365">
        <v>9305</v>
      </c>
      <c r="BF365">
        <f t="shared" ref="BF365:BF366" si="127">AJ365/1000000000/$N365</f>
        <v>88.389715195611117</v>
      </c>
      <c r="BG365" s="31">
        <f t="shared" ref="BG365:BG366" si="128">SUM(AK365:AO365)/1000000000/$N365</f>
        <v>74.175718273166666</v>
      </c>
      <c r="BH365">
        <f t="shared" si="91"/>
        <v>1</v>
      </c>
      <c r="BI365">
        <f t="shared" si="92"/>
        <v>31571</v>
      </c>
      <c r="BJ365">
        <f t="shared" si="93"/>
        <v>2162699</v>
      </c>
      <c r="BK365">
        <f t="shared" si="94"/>
        <v>33493998</v>
      </c>
      <c r="BL365">
        <f t="shared" si="95"/>
        <v>9435301</v>
      </c>
      <c r="BM365">
        <f t="shared" si="96"/>
        <v>0</v>
      </c>
      <c r="BN365" t="str">
        <f t="shared" ref="BN365:BN366" si="129">"u="&amp;(H365+I365)&amp;"%, k=2x10^"&amp;LOG10(L365/2)</f>
        <v>u=40%, k=2x10^9</v>
      </c>
      <c r="BO365" t="str">
        <f t="shared" ref="BO365:BO366" si="130">BN365&amp;", "&amp;IF(getFieldDelim(B365,"_",4)="enabled","collaborative","sequential")</f>
        <v>u=40%, k=2x10^9, sequential</v>
      </c>
      <c r="BP365">
        <f t="shared" ref="BP365:BP366" si="131">AK365/1000000000/$N365</f>
        <v>1.2009637521111112</v>
      </c>
      <c r="BQ365">
        <f t="shared" ref="BQ365:BQ366" si="132">AL365/1000000000/$N365</f>
        <v>69.918706121333329</v>
      </c>
      <c r="BR365">
        <f t="shared" ref="BR365:BR366" si="133">AM365/1000000000/$N365</f>
        <v>1.5234645001111111</v>
      </c>
      <c r="BS365">
        <f t="shared" ref="BS365:BS366" si="134">AN365/1000000000/$N365</f>
        <v>0.98928156572222214</v>
      </c>
      <c r="BT365">
        <f t="shared" ref="BT365:BT366" si="135">AO365/1000000000/$N365</f>
        <v>0.54330233388888893</v>
      </c>
      <c r="BU365">
        <f t="shared" ref="BU365:BU366" si="136">BF365-SUM(BP365:BT365)</f>
        <v>14.213996922444451</v>
      </c>
    </row>
    <row r="366" spans="1:73">
      <c r="A366" t="s">
        <v>88</v>
      </c>
      <c r="B366" t="s">
        <v>136</v>
      </c>
      <c r="C366">
        <v>72</v>
      </c>
      <c r="D366" t="s">
        <v>56</v>
      </c>
      <c r="E366" t="s">
        <v>53</v>
      </c>
      <c r="F366" t="s">
        <v>54</v>
      </c>
      <c r="G366">
        <v>60000</v>
      </c>
      <c r="H366">
        <v>20</v>
      </c>
      <c r="I366">
        <v>20</v>
      </c>
      <c r="J366">
        <v>0</v>
      </c>
      <c r="K366">
        <v>1</v>
      </c>
      <c r="L366">
        <v>2000000000</v>
      </c>
      <c r="M366">
        <v>48</v>
      </c>
      <c r="N366">
        <v>48</v>
      </c>
      <c r="O366">
        <v>48</v>
      </c>
      <c r="P366">
        <v>0</v>
      </c>
      <c r="Q366" t="s">
        <v>55</v>
      </c>
      <c r="R366">
        <v>1.0000017870041E+18</v>
      </c>
      <c r="S366">
        <v>999997521</v>
      </c>
      <c r="T366">
        <v>1.0000017870041E+18</v>
      </c>
      <c r="U366">
        <v>999997521</v>
      </c>
      <c r="V366" t="s">
        <v>63</v>
      </c>
      <c r="W366">
        <v>7</v>
      </c>
      <c r="X366">
        <v>84465045</v>
      </c>
      <c r="Y366">
        <v>1078802055</v>
      </c>
      <c r="Z366">
        <v>1163267100</v>
      </c>
      <c r="AA366">
        <v>999997521</v>
      </c>
      <c r="AB366">
        <v>13.7722</v>
      </c>
      <c r="AC366">
        <v>0.926952</v>
      </c>
      <c r="AD366">
        <v>4</v>
      </c>
      <c r="AE366">
        <v>24018036464</v>
      </c>
      <c r="AF366" t="s">
        <v>1154</v>
      </c>
      <c r="AG366" t="s">
        <v>1155</v>
      </c>
      <c r="AI366">
        <v>114212</v>
      </c>
      <c r="AJ366">
        <v>6625723229742</v>
      </c>
      <c r="AK366">
        <v>175552472664</v>
      </c>
      <c r="AL366">
        <v>3881955512130</v>
      </c>
      <c r="AM366">
        <v>224777546943</v>
      </c>
      <c r="AN366">
        <v>97589799424</v>
      </c>
      <c r="AO366">
        <v>83530607240</v>
      </c>
      <c r="AP366">
        <v>749965325</v>
      </c>
      <c r="AQ366">
        <v>0</v>
      </c>
      <c r="AR366">
        <v>500030520</v>
      </c>
      <c r="AS366">
        <v>749965325</v>
      </c>
      <c r="AT366">
        <v>1249995845</v>
      </c>
      <c r="AU366">
        <v>12499422</v>
      </c>
      <c r="AV366">
        <v>0</v>
      </c>
      <c r="AW366">
        <v>8333842</v>
      </c>
      <c r="AX366">
        <v>12499422</v>
      </c>
      <c r="AY366">
        <v>20833264</v>
      </c>
      <c r="AZ366">
        <v>31.746500000000001</v>
      </c>
      <c r="BA366">
        <v>19.105</v>
      </c>
      <c r="BB366">
        <v>14664.5</v>
      </c>
      <c r="BC366">
        <v>4815.1099999999997</v>
      </c>
      <c r="BD366">
        <v>85531</v>
      </c>
      <c r="BE366">
        <v>12156</v>
      </c>
      <c r="BF366">
        <f t="shared" si="127"/>
        <v>138.03590061962498</v>
      </c>
      <c r="BG366" s="31">
        <f t="shared" si="128"/>
        <v>92.987623716687494</v>
      </c>
      <c r="BH366">
        <f t="shared" si="91"/>
        <v>1</v>
      </c>
      <c r="BI366">
        <f t="shared" si="92"/>
        <v>26228</v>
      </c>
      <c r="BJ366">
        <f t="shared" si="93"/>
        <v>2534835</v>
      </c>
      <c r="BK366">
        <f t="shared" si="94"/>
        <v>34444119</v>
      </c>
      <c r="BL366">
        <f t="shared" si="95"/>
        <v>9600935</v>
      </c>
      <c r="BM366">
        <f t="shared" si="96"/>
        <v>0</v>
      </c>
      <c r="BN366" t="str">
        <f t="shared" si="129"/>
        <v>u=40%, k=2x10^9</v>
      </c>
      <c r="BO366" t="str">
        <f t="shared" si="130"/>
        <v>u=40%, k=2x10^9, sequential</v>
      </c>
      <c r="BP366">
        <f t="shared" si="131"/>
        <v>3.6573431804999998</v>
      </c>
      <c r="BQ366">
        <f t="shared" si="132"/>
        <v>80.874073169374995</v>
      </c>
      <c r="BR366">
        <f t="shared" si="133"/>
        <v>4.6828655613125001</v>
      </c>
      <c r="BS366">
        <f t="shared" si="134"/>
        <v>2.0331208213333336</v>
      </c>
      <c r="BT366">
        <f t="shared" si="135"/>
        <v>1.7402209841666665</v>
      </c>
      <c r="BU366">
        <f t="shared" si="136"/>
        <v>45.048276902937488</v>
      </c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40"/>
  <sheetViews>
    <sheetView tabSelected="1" zoomScale="80" zoomScaleNormal="80" workbookViewId="0">
      <selection activeCell="Z18" sqref="Z18"/>
    </sheetView>
  </sheetViews>
  <sheetFormatPr defaultRowHeight="14.6"/>
  <cols>
    <col min="1" max="1" width="7.53515625" customWidth="1"/>
    <col min="2" max="2" width="15.23046875" customWidth="1"/>
    <col min="3" max="3" width="10.84375" customWidth="1"/>
    <col min="4" max="4" width="11.4609375" customWidth="1"/>
    <col min="5" max="5" width="11.15234375" customWidth="1"/>
    <col min="6" max="6" width="14.23046875" customWidth="1"/>
    <col min="7" max="7" width="4.3046875" customWidth="1"/>
    <col min="8" max="9" width="0" hidden="1" customWidth="1"/>
    <col min="10" max="10" width="8.69140625" hidden="1" customWidth="1"/>
    <col min="11" max="11" width="15.23046875" hidden="1" customWidth="1"/>
    <col min="12" max="12" width="11.69140625" hidden="1" customWidth="1"/>
    <col min="13" max="24" width="0.4609375" hidden="1" customWidth="1"/>
    <col min="25" max="25" width="2.69140625" customWidth="1"/>
    <col min="26" max="26" width="16.15234375" customWidth="1"/>
    <col min="27" max="27" width="4.84375" customWidth="1"/>
    <col min="28" max="28" width="3" customWidth="1"/>
  </cols>
  <sheetData>
    <row r="1" spans="1:27">
      <c r="Z1" s="1" t="s">
        <v>8</v>
      </c>
    </row>
    <row r="2" spans="1:27">
      <c r="A2" s="8" t="s">
        <v>341</v>
      </c>
      <c r="B2" t="s">
        <v>1160</v>
      </c>
      <c r="C2" t="str">
        <f>B2</f>
        <v>u=40%, k=2x10^9, collaborative</v>
      </c>
      <c r="Z2" s="2" t="s">
        <v>0</v>
      </c>
      <c r="AA2" t="s">
        <v>58</v>
      </c>
    </row>
    <row r="3" spans="1:27">
      <c r="Z3" s="2"/>
    </row>
    <row r="4" spans="1:27">
      <c r="A4" s="8" t="s">
        <v>13</v>
      </c>
      <c r="B4" t="s">
        <v>348</v>
      </c>
      <c r="C4" t="s">
        <v>1158</v>
      </c>
      <c r="D4" t="s">
        <v>351</v>
      </c>
      <c r="E4" t="s">
        <v>352</v>
      </c>
      <c r="F4" t="s">
        <v>350</v>
      </c>
      <c r="G4" t="s">
        <v>349</v>
      </c>
      <c r="Z4" s="2"/>
    </row>
    <row r="5" spans="1:27">
      <c r="A5" s="6">
        <v>24</v>
      </c>
      <c r="B5" s="29">
        <v>57.15702955740278</v>
      </c>
      <c r="C5" s="29">
        <v>9.641666666666668E-8</v>
      </c>
      <c r="D5" s="29">
        <v>0.90115962372222214</v>
      </c>
      <c r="E5" s="29">
        <v>0.1578775356388889</v>
      </c>
      <c r="F5" s="29">
        <v>0.92095704351388885</v>
      </c>
      <c r="G5" s="29">
        <v>0.71967422909722212</v>
      </c>
      <c r="Z5" s="2"/>
    </row>
    <row r="6" spans="1:27">
      <c r="A6" s="6">
        <v>48</v>
      </c>
      <c r="B6" s="29">
        <v>46.222663495749998</v>
      </c>
      <c r="C6" s="29">
        <v>5.3884926041666672E-3</v>
      </c>
      <c r="D6" s="29">
        <v>2.5745386529861114</v>
      </c>
      <c r="E6" s="29">
        <v>1.8571395919652778</v>
      </c>
      <c r="F6" s="29">
        <v>5.5142139591458337</v>
      </c>
      <c r="G6" s="29">
        <v>3.6828762127569443</v>
      </c>
      <c r="N6" s="2"/>
    </row>
    <row r="7" spans="1:27">
      <c r="A7" s="6">
        <v>96</v>
      </c>
      <c r="B7" s="29">
        <v>42.405823990979165</v>
      </c>
      <c r="C7" s="29">
        <v>5.3623361052083325E-2</v>
      </c>
      <c r="D7" s="29">
        <v>3.9764468061458338</v>
      </c>
      <c r="E7" s="29">
        <v>2.0951026901597221</v>
      </c>
      <c r="F7" s="29">
        <v>9.5844002686006942</v>
      </c>
      <c r="G7" s="29">
        <v>3.9112010967777775</v>
      </c>
    </row>
    <row r="8" spans="1:27">
      <c r="A8" s="6">
        <v>144</v>
      </c>
      <c r="B8" s="29">
        <v>42.71227206297916</v>
      </c>
      <c r="C8" s="29">
        <v>3.1948587921296297E-2</v>
      </c>
      <c r="D8" s="29">
        <v>3.8855194081898148</v>
      </c>
      <c r="E8" s="29">
        <v>1.7359915722199073</v>
      </c>
      <c r="F8" s="29">
        <v>8.2069308368842595</v>
      </c>
      <c r="G8" s="29">
        <v>3.2860528912129627</v>
      </c>
      <c r="N8" s="2"/>
    </row>
    <row r="9" spans="1:27">
      <c r="A9" s="6">
        <v>190</v>
      </c>
      <c r="B9" s="29">
        <v>38.97515245694737</v>
      </c>
      <c r="C9" s="29">
        <v>5.4563627673684202E-2</v>
      </c>
      <c r="D9" s="29">
        <v>4.5439314057877196</v>
      </c>
      <c r="E9" s="29">
        <v>2.5197659384561404</v>
      </c>
      <c r="F9" s="29">
        <v>10.564649737766667</v>
      </c>
      <c r="G9" s="29">
        <v>3.2044218109789475</v>
      </c>
    </row>
    <row r="13" spans="1:27">
      <c r="O13" s="3"/>
    </row>
    <row r="14" spans="1:27">
      <c r="A14" s="1" t="s">
        <v>1131</v>
      </c>
      <c r="Z14" s="2"/>
    </row>
    <row r="15" spans="1:27">
      <c r="A15" s="1" t="s">
        <v>1132</v>
      </c>
    </row>
    <row r="16" spans="1:27">
      <c r="A16" s="1" t="s">
        <v>1133</v>
      </c>
    </row>
    <row r="20" spans="1:7">
      <c r="A20" t="str">
        <f>A4</f>
        <v>Row Labels</v>
      </c>
      <c r="B20" t="s">
        <v>356</v>
      </c>
      <c r="C20" t="s">
        <v>1159</v>
      </c>
      <c r="D20" t="s">
        <v>358</v>
      </c>
      <c r="E20" t="s">
        <v>357</v>
      </c>
      <c r="F20" t="s">
        <v>354</v>
      </c>
      <c r="G20" t="s">
        <v>355</v>
      </c>
    </row>
    <row r="21" spans="1:7">
      <c r="A21">
        <f>A5</f>
        <v>24</v>
      </c>
      <c r="B21" s="30">
        <f>B5/SUM($B5:$G5)</f>
        <v>0.95489780400984536</v>
      </c>
      <c r="C21" s="30">
        <f t="shared" ref="C21:G21" si="0">C5/SUM($B5:$G5)</f>
        <v>1.6107916031130581E-9</v>
      </c>
      <c r="D21" s="30">
        <f t="shared" si="0"/>
        <v>1.5055284580358978E-2</v>
      </c>
      <c r="E21" s="30">
        <f t="shared" si="0"/>
        <v>2.6375917931959008E-3</v>
      </c>
      <c r="F21" s="30">
        <f t="shared" si="0"/>
        <v>1.5386031521382879E-2</v>
      </c>
      <c r="G21" s="30">
        <f t="shared" si="0"/>
        <v>1.2023286484425256E-2</v>
      </c>
    </row>
    <row r="22" spans="1:7">
      <c r="A22">
        <f t="shared" ref="A22:A25" si="1">A6</f>
        <v>48</v>
      </c>
      <c r="B22" s="30">
        <f t="shared" ref="B22:G22" si="2">B6/SUM($B6:$G6)</f>
        <v>0.77222049522242941</v>
      </c>
      <c r="C22" s="30">
        <f t="shared" si="2"/>
        <v>9.0023034429302835E-5</v>
      </c>
      <c r="D22" s="30">
        <f t="shared" si="2"/>
        <v>4.3011617315411102E-2</v>
      </c>
      <c r="E22" s="30">
        <f t="shared" si="2"/>
        <v>3.1026365573599394E-2</v>
      </c>
      <c r="F22" s="30">
        <f t="shared" si="2"/>
        <v>9.2123402509800265E-2</v>
      </c>
      <c r="G22" s="30">
        <f t="shared" si="2"/>
        <v>6.1528096344330464E-2</v>
      </c>
    </row>
    <row r="23" spans="1:7">
      <c r="A23">
        <f t="shared" si="1"/>
        <v>96</v>
      </c>
      <c r="B23" s="30">
        <f t="shared" ref="B23:G23" si="3">B7/SUM($B7:$G7)</f>
        <v>0.6836716056048745</v>
      </c>
      <c r="C23" s="30">
        <f t="shared" si="3"/>
        <v>8.6452203726088215E-4</v>
      </c>
      <c r="D23" s="30">
        <f t="shared" si="3"/>
        <v>6.410873594010133E-2</v>
      </c>
      <c r="E23" s="30">
        <f t="shared" si="3"/>
        <v>3.3777488214668118E-2</v>
      </c>
      <c r="F23" s="30">
        <f t="shared" si="3"/>
        <v>0.15452081114584482</v>
      </c>
      <c r="G23" s="30">
        <f t="shared" si="3"/>
        <v>6.305683705725032E-2</v>
      </c>
    </row>
    <row r="24" spans="1:7">
      <c r="A24">
        <f t="shared" si="1"/>
        <v>144</v>
      </c>
      <c r="B24" s="30">
        <f t="shared" ref="B24:G24" si="4">B8/SUM($B8:$G8)</f>
        <v>0.71355143200991689</v>
      </c>
      <c r="C24" s="30">
        <f t="shared" si="4"/>
        <v>5.3373327057670058E-4</v>
      </c>
      <c r="D24" s="30">
        <f t="shared" si="4"/>
        <v>6.491150678493747E-2</v>
      </c>
      <c r="E24" s="30">
        <f t="shared" si="4"/>
        <v>2.9001483940919198E-2</v>
      </c>
      <c r="F24" s="30">
        <f t="shared" si="4"/>
        <v>0.13710502785780979</v>
      </c>
      <c r="G24" s="30">
        <f t="shared" si="4"/>
        <v>5.4896816135839875E-2</v>
      </c>
    </row>
    <row r="25" spans="1:7">
      <c r="A25">
        <f t="shared" si="1"/>
        <v>190</v>
      </c>
      <c r="B25" s="30">
        <f t="shared" ref="B25:G25" si="5">B9/SUM($B9:$G9)</f>
        <v>0.6510780912540578</v>
      </c>
      <c r="C25" s="30">
        <f t="shared" si="5"/>
        <v>9.1148283760842579E-4</v>
      </c>
      <c r="D25" s="30">
        <f t="shared" si="5"/>
        <v>7.5906160719642998E-2</v>
      </c>
      <c r="E25" s="30">
        <f t="shared" si="5"/>
        <v>4.2092571656498573E-2</v>
      </c>
      <c r="F25" s="30">
        <f t="shared" si="5"/>
        <v>0.17648197768131418</v>
      </c>
      <c r="G25" s="30">
        <f t="shared" si="5"/>
        <v>5.3529715850878054E-2</v>
      </c>
    </row>
    <row r="26" spans="1:7">
      <c r="C26" s="10"/>
    </row>
    <row r="27" spans="1:7">
      <c r="C27" s="9"/>
    </row>
    <row r="28" spans="1:7">
      <c r="F28" s="35">
        <f>SUM(C25:G25)/SUM(B25:G25)</f>
        <v>0.34892190874594226</v>
      </c>
    </row>
    <row r="33" spans="1:7">
      <c r="A33" s="8" t="s">
        <v>341</v>
      </c>
      <c r="B33" t="s">
        <v>1160</v>
      </c>
      <c r="E33" s="8" t="s">
        <v>341</v>
      </c>
      <c r="F33" t="s">
        <v>1160</v>
      </c>
    </row>
    <row r="35" spans="1:7">
      <c r="A35" s="8" t="s">
        <v>13</v>
      </c>
      <c r="B35" t="s">
        <v>353</v>
      </c>
      <c r="E35" s="8" t="s">
        <v>13</v>
      </c>
      <c r="F35" t="s">
        <v>79</v>
      </c>
    </row>
    <row r="36" spans="1:7">
      <c r="A36" s="6">
        <v>24</v>
      </c>
      <c r="B36" s="32">
        <v>14930371.666666666</v>
      </c>
      <c r="E36" s="6">
        <v>24</v>
      </c>
      <c r="F36" s="30">
        <v>0</v>
      </c>
      <c r="G36" t="str">
        <f t="shared" ref="G36:G39" si="6">"f="&amp;INT(F36)</f>
        <v>f=0</v>
      </c>
    </row>
    <row r="37" spans="1:7">
      <c r="A37" s="6">
        <v>48</v>
      </c>
      <c r="B37" s="32">
        <v>21379429.666666668</v>
      </c>
      <c r="E37" s="6">
        <v>48</v>
      </c>
      <c r="F37" s="30">
        <v>1</v>
      </c>
      <c r="G37" t="str">
        <f t="shared" si="6"/>
        <v>f=1</v>
      </c>
    </row>
    <row r="38" spans="1:7">
      <c r="A38" s="6">
        <v>96</v>
      </c>
      <c r="B38" s="32">
        <v>41668888.333333336</v>
      </c>
      <c r="E38" s="6">
        <v>96</v>
      </c>
      <c r="F38" s="30">
        <v>2</v>
      </c>
      <c r="G38" t="str">
        <f t="shared" si="6"/>
        <v>f=2</v>
      </c>
    </row>
    <row r="39" spans="1:7">
      <c r="A39" s="6">
        <v>144</v>
      </c>
      <c r="B39" s="32">
        <v>61580712.666666664</v>
      </c>
      <c r="E39" s="6">
        <v>144</v>
      </c>
      <c r="F39" s="30">
        <v>2</v>
      </c>
      <c r="G39" t="str">
        <f t="shared" si="6"/>
        <v>f=2</v>
      </c>
    </row>
    <row r="40" spans="1:7">
      <c r="A40" s="6">
        <v>190</v>
      </c>
      <c r="B40" s="32">
        <v>71937030</v>
      </c>
      <c r="E40" s="6">
        <v>190</v>
      </c>
      <c r="F40" s="30">
        <v>3</v>
      </c>
      <c r="G40" t="str">
        <f>"f="&amp;INT(F40)</f>
        <v>f=3</v>
      </c>
    </row>
  </sheetData>
  <pageMargins left="0.7" right="0.7" top="0.75" bottom="0.75" header="0.3" footer="0.3"/>
  <pageSetup paperSize="0" orientation="portrait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5"/>
  <sheetViews>
    <sheetView zoomScale="200" zoomScaleNormal="200" workbookViewId="0">
      <selection activeCell="C3" sqref="C3"/>
    </sheetView>
  </sheetViews>
  <sheetFormatPr defaultRowHeight="14.6"/>
  <cols>
    <col min="1" max="1" width="0.53515625" customWidth="1"/>
    <col min="2" max="2" width="15.15234375" bestFit="1" customWidth="1"/>
    <col min="3" max="7" width="12" customWidth="1"/>
    <col min="8" max="8" width="0.53515625" customWidth="1"/>
  </cols>
  <sheetData>
    <row r="1" spans="2:7">
      <c r="B1" s="8" t="s">
        <v>15</v>
      </c>
      <c r="C1" t="s">
        <v>136</v>
      </c>
      <c r="D1" t="str">
        <f>getFieldDelim(C1,"_",4)</f>
        <v>disabled</v>
      </c>
    </row>
    <row r="2" spans="2:7">
      <c r="B2" s="8" t="s">
        <v>27</v>
      </c>
      <c r="C2" s="6">
        <v>190</v>
      </c>
    </row>
    <row r="4" spans="2:7">
      <c r="B4" s="8" t="s">
        <v>13</v>
      </c>
      <c r="C4" t="s">
        <v>79</v>
      </c>
      <c r="D4" t="s">
        <v>126</v>
      </c>
      <c r="E4" t="s">
        <v>127</v>
      </c>
      <c r="F4" t="s">
        <v>128</v>
      </c>
      <c r="G4" t="s">
        <v>129</v>
      </c>
    </row>
    <row r="5" spans="2:7">
      <c r="B5" s="6" t="s">
        <v>124</v>
      </c>
      <c r="C5" s="7">
        <v>358</v>
      </c>
      <c r="D5" s="7">
        <v>840178.33333333337</v>
      </c>
      <c r="E5" s="7">
        <v>408739.66666666669</v>
      </c>
      <c r="F5" s="7">
        <v>3364520.3333333335</v>
      </c>
      <c r="G5" s="7">
        <v>0</v>
      </c>
    </row>
    <row r="6" spans="2:7">
      <c r="B6" s="6" t="s">
        <v>333</v>
      </c>
      <c r="C6" s="7">
        <v>20</v>
      </c>
      <c r="D6" s="7">
        <v>63256.666666666664</v>
      </c>
      <c r="E6" s="7">
        <v>532939.66666666663</v>
      </c>
      <c r="F6" s="7">
        <v>13400242.333333334</v>
      </c>
      <c r="G6" s="7">
        <v>33620.333333333336</v>
      </c>
    </row>
    <row r="7" spans="2:7">
      <c r="B7" s="6" t="s">
        <v>117</v>
      </c>
      <c r="C7" s="7">
        <v>1</v>
      </c>
      <c r="D7" s="7">
        <v>16460.333333333332</v>
      </c>
      <c r="E7" s="7">
        <v>676679.66666666663</v>
      </c>
      <c r="F7" s="7">
        <v>7720224</v>
      </c>
      <c r="G7" s="7">
        <v>1306326</v>
      </c>
    </row>
    <row r="8" spans="2:7">
      <c r="B8" s="6" t="s">
        <v>334</v>
      </c>
      <c r="C8" s="7">
        <v>0</v>
      </c>
      <c r="D8" s="7">
        <v>0</v>
      </c>
      <c r="E8" s="7">
        <v>0</v>
      </c>
      <c r="F8" s="7">
        <v>606247.66666666663</v>
      </c>
      <c r="G8" s="7">
        <v>795265.33333333337</v>
      </c>
    </row>
    <row r="9" spans="2:7">
      <c r="B9" s="6" t="s">
        <v>335</v>
      </c>
      <c r="C9" s="7">
        <v>835</v>
      </c>
      <c r="D9" s="7">
        <v>1950575.6666666667</v>
      </c>
      <c r="E9" s="7">
        <v>949123</v>
      </c>
      <c r="F9" s="7">
        <v>7833077</v>
      </c>
      <c r="G9" s="7">
        <v>0</v>
      </c>
    </row>
    <row r="10" spans="2:7">
      <c r="B10" s="6" t="s">
        <v>336</v>
      </c>
      <c r="C10" s="7">
        <v>36.333333333333336</v>
      </c>
      <c r="D10" s="7">
        <v>115589.33333333333</v>
      </c>
      <c r="E10" s="7">
        <v>977471.33333333337</v>
      </c>
      <c r="F10" s="7">
        <v>24491981</v>
      </c>
      <c r="G10" s="7">
        <v>61536</v>
      </c>
    </row>
    <row r="11" spans="2:7">
      <c r="B11" s="6" t="s">
        <v>337</v>
      </c>
      <c r="C11" s="7">
        <v>3</v>
      </c>
      <c r="D11" s="7">
        <v>36770</v>
      </c>
      <c r="E11" s="7">
        <v>1366448.5</v>
      </c>
      <c r="F11" s="7">
        <v>15497010</v>
      </c>
      <c r="G11" s="7">
        <v>2639572.5</v>
      </c>
    </row>
    <row r="12" spans="2:7">
      <c r="B12" s="6" t="s">
        <v>338</v>
      </c>
      <c r="C12" s="7">
        <v>1</v>
      </c>
      <c r="D12" s="7">
        <v>31594.333333333332</v>
      </c>
      <c r="E12" s="7">
        <v>2149057.6666666665</v>
      </c>
      <c r="F12" s="7">
        <v>33458566.333333332</v>
      </c>
      <c r="G12" s="7">
        <v>9429900</v>
      </c>
    </row>
    <row r="13" spans="2:7">
      <c r="B13" s="6" t="s">
        <v>125</v>
      </c>
      <c r="C13" s="7">
        <v>710</v>
      </c>
      <c r="D13" s="7">
        <v>1657205.3333333333</v>
      </c>
      <c r="E13" s="7">
        <v>806067</v>
      </c>
      <c r="F13" s="7">
        <v>6656176.333333333</v>
      </c>
      <c r="G13" s="7">
        <v>0</v>
      </c>
    </row>
    <row r="14" spans="2:7">
      <c r="B14" s="6" t="s">
        <v>339</v>
      </c>
      <c r="C14" s="7">
        <v>37.333333333333336</v>
      </c>
      <c r="D14" s="7">
        <v>118080</v>
      </c>
      <c r="E14" s="7">
        <v>995926</v>
      </c>
      <c r="F14" s="7">
        <v>24981735.333333332</v>
      </c>
      <c r="G14" s="7">
        <v>62625.333333333336</v>
      </c>
    </row>
    <row r="15" spans="2:7">
      <c r="B15" s="6" t="s">
        <v>120</v>
      </c>
      <c r="C15" s="7">
        <v>3.3333333333333335</v>
      </c>
      <c r="D15" s="7">
        <v>38651.666666666664</v>
      </c>
      <c r="E15" s="7">
        <v>1373227.3333333333</v>
      </c>
      <c r="F15" s="7">
        <v>15524921.666666666</v>
      </c>
      <c r="G15" s="7">
        <v>2649286</v>
      </c>
    </row>
    <row r="16" spans="2:7">
      <c r="B16" s="6" t="s">
        <v>340</v>
      </c>
      <c r="C16" s="7">
        <v>1</v>
      </c>
      <c r="D16" s="7">
        <v>31577</v>
      </c>
      <c r="E16" s="7">
        <v>2149080.3333333335</v>
      </c>
      <c r="F16" s="7">
        <v>33457373</v>
      </c>
      <c r="G16" s="7">
        <v>9429438</v>
      </c>
    </row>
    <row r="19" spans="1:8" ht="2.6" customHeight="1" thickBot="1">
      <c r="A19" s="14"/>
      <c r="B19" s="14"/>
      <c r="C19" s="14"/>
      <c r="D19" s="14"/>
      <c r="E19" s="14"/>
      <c r="F19" s="14"/>
      <c r="G19" s="14"/>
      <c r="H19" s="14"/>
    </row>
    <row r="20" spans="1:8" ht="15" thickBot="1">
      <c r="A20" s="14"/>
      <c r="B20" s="20"/>
      <c r="C20" s="36" t="s">
        <v>1134</v>
      </c>
      <c r="D20" s="37"/>
      <c r="E20" s="37"/>
      <c r="F20" s="37"/>
      <c r="G20" s="38"/>
      <c r="H20" s="14"/>
    </row>
    <row r="21" spans="1:8" ht="15" thickBot="1">
      <c r="A21" s="14"/>
      <c r="B21" s="18" t="s">
        <v>130</v>
      </c>
      <c r="C21" s="19" t="s">
        <v>131</v>
      </c>
      <c r="D21" s="19" t="s">
        <v>132</v>
      </c>
      <c r="E21" s="19" t="s">
        <v>133</v>
      </c>
      <c r="F21" s="19" t="s">
        <v>134</v>
      </c>
      <c r="G21" s="21" t="s">
        <v>135</v>
      </c>
      <c r="H21" s="14"/>
    </row>
    <row r="22" spans="1:8">
      <c r="A22" s="14"/>
      <c r="B22" s="22" t="str">
        <f>B5</f>
        <v>u=1%, k=2x10^6</v>
      </c>
      <c r="C22" s="17">
        <f t="shared" ref="C22:G23" si="0">INT(C5+0.5)</f>
        <v>358</v>
      </c>
      <c r="D22" s="16">
        <f t="shared" si="0"/>
        <v>840178</v>
      </c>
      <c r="E22" s="16">
        <f t="shared" si="0"/>
        <v>408740</v>
      </c>
      <c r="F22" s="16">
        <f t="shared" si="0"/>
        <v>3364520</v>
      </c>
      <c r="G22" s="23">
        <f t="shared" si="0"/>
        <v>0</v>
      </c>
      <c r="H22" s="14"/>
    </row>
    <row r="23" spans="1:8">
      <c r="A23" s="14"/>
      <c r="B23" s="22" t="str">
        <f>B6</f>
        <v>u=1%, k=2x10^7</v>
      </c>
      <c r="C23" s="17">
        <f t="shared" si="0"/>
        <v>20</v>
      </c>
      <c r="D23" s="13">
        <f t="shared" si="0"/>
        <v>63257</v>
      </c>
      <c r="E23" s="13">
        <f t="shared" si="0"/>
        <v>532940</v>
      </c>
      <c r="F23" s="13">
        <f t="shared" si="0"/>
        <v>13400242</v>
      </c>
      <c r="G23" s="24">
        <f t="shared" si="0"/>
        <v>33620</v>
      </c>
      <c r="H23" s="14"/>
    </row>
    <row r="24" spans="1:8">
      <c r="A24" s="14"/>
      <c r="B24" s="22" t="str">
        <f t="shared" ref="B24:B32" si="1">B7</f>
        <v>u=1%, k=2x10^8</v>
      </c>
      <c r="C24" s="17">
        <f t="shared" ref="C24:G24" si="2">INT(C7+0.5)</f>
        <v>1</v>
      </c>
      <c r="D24" s="13">
        <f t="shared" si="2"/>
        <v>16460</v>
      </c>
      <c r="E24" s="13">
        <f t="shared" si="2"/>
        <v>676680</v>
      </c>
      <c r="F24" s="13">
        <f t="shared" si="2"/>
        <v>7720224</v>
      </c>
      <c r="G24" s="24">
        <f t="shared" si="2"/>
        <v>1306326</v>
      </c>
      <c r="H24" s="14"/>
    </row>
    <row r="25" spans="1:8" ht="14.6" customHeight="1">
      <c r="A25" s="14"/>
      <c r="B25" s="22" t="str">
        <f t="shared" si="1"/>
        <v>u=1%, k=2x10^9</v>
      </c>
      <c r="C25" s="17">
        <f t="shared" ref="C25:G25" si="3">INT(C8+0.5)</f>
        <v>0</v>
      </c>
      <c r="D25" s="13">
        <f t="shared" si="3"/>
        <v>0</v>
      </c>
      <c r="E25" s="13">
        <f t="shared" si="3"/>
        <v>0</v>
      </c>
      <c r="F25" s="13">
        <f t="shared" si="3"/>
        <v>606248</v>
      </c>
      <c r="G25" s="24">
        <f t="shared" si="3"/>
        <v>795265</v>
      </c>
      <c r="H25" s="14"/>
    </row>
    <row r="26" spans="1:8" ht="14.6" customHeight="1">
      <c r="A26" s="14"/>
      <c r="B26" s="22" t="str">
        <f t="shared" si="1"/>
        <v>u=10%, k=2x10^6</v>
      </c>
      <c r="C26" s="17">
        <f t="shared" ref="C26:G26" si="4">INT(C9+0.5)</f>
        <v>835</v>
      </c>
      <c r="D26" s="13">
        <f t="shared" si="4"/>
        <v>1950576</v>
      </c>
      <c r="E26" s="13">
        <f t="shared" si="4"/>
        <v>949123</v>
      </c>
      <c r="F26" s="13">
        <f t="shared" si="4"/>
        <v>7833077</v>
      </c>
      <c r="G26" s="24">
        <f t="shared" si="4"/>
        <v>0</v>
      </c>
      <c r="H26" s="14"/>
    </row>
    <row r="27" spans="1:8" ht="14.6" customHeight="1">
      <c r="A27" s="14"/>
      <c r="B27" s="22" t="str">
        <f t="shared" si="1"/>
        <v>u=10%, k=2x10^7</v>
      </c>
      <c r="C27" s="17">
        <f t="shared" ref="C27:G27" si="5">INT(C10+0.5)</f>
        <v>36</v>
      </c>
      <c r="D27" s="13">
        <f t="shared" si="5"/>
        <v>115589</v>
      </c>
      <c r="E27" s="13">
        <f t="shared" si="5"/>
        <v>977471</v>
      </c>
      <c r="F27" s="13">
        <f t="shared" si="5"/>
        <v>24491981</v>
      </c>
      <c r="G27" s="24">
        <f t="shared" si="5"/>
        <v>61536</v>
      </c>
      <c r="H27" s="14"/>
    </row>
    <row r="28" spans="1:8">
      <c r="A28" s="14"/>
      <c r="B28" s="22" t="str">
        <f t="shared" si="1"/>
        <v>u=10%, k=2x10^8</v>
      </c>
      <c r="C28" s="17">
        <f t="shared" ref="C28:G28" si="6">INT(C11+0.5)</f>
        <v>3</v>
      </c>
      <c r="D28" s="13">
        <f t="shared" si="6"/>
        <v>36770</v>
      </c>
      <c r="E28" s="13">
        <f t="shared" si="6"/>
        <v>1366449</v>
      </c>
      <c r="F28" s="13">
        <f t="shared" si="6"/>
        <v>15497010</v>
      </c>
      <c r="G28" s="24">
        <f t="shared" si="6"/>
        <v>2639573</v>
      </c>
      <c r="H28" s="14"/>
    </row>
    <row r="29" spans="1:8">
      <c r="A29" s="14"/>
      <c r="B29" s="22" t="str">
        <f t="shared" si="1"/>
        <v>u=10%, k=2x10^9</v>
      </c>
      <c r="C29" s="17">
        <f t="shared" ref="C29:G29" si="7">INT(C12+0.5)</f>
        <v>1</v>
      </c>
      <c r="D29" s="13">
        <f t="shared" si="7"/>
        <v>31594</v>
      </c>
      <c r="E29" s="13">
        <f t="shared" si="7"/>
        <v>2149058</v>
      </c>
      <c r="F29" s="13">
        <f t="shared" si="7"/>
        <v>33458566</v>
      </c>
      <c r="G29" s="24">
        <f t="shared" si="7"/>
        <v>9429900</v>
      </c>
      <c r="H29" s="14"/>
    </row>
    <row r="30" spans="1:8">
      <c r="A30" s="14"/>
      <c r="B30" s="22" t="str">
        <f t="shared" si="1"/>
        <v>u=40%, k=2x10^6</v>
      </c>
      <c r="C30" s="17">
        <f t="shared" ref="C30:G30" si="8">INT(C13+0.5)</f>
        <v>710</v>
      </c>
      <c r="D30" s="13">
        <f t="shared" si="8"/>
        <v>1657205</v>
      </c>
      <c r="E30" s="13">
        <f t="shared" si="8"/>
        <v>806067</v>
      </c>
      <c r="F30" s="13">
        <f t="shared" si="8"/>
        <v>6656176</v>
      </c>
      <c r="G30" s="24">
        <f t="shared" si="8"/>
        <v>0</v>
      </c>
      <c r="H30" s="14"/>
    </row>
    <row r="31" spans="1:8">
      <c r="A31" s="14"/>
      <c r="B31" s="22" t="str">
        <f t="shared" si="1"/>
        <v>u=40%, k=2x10^7</v>
      </c>
      <c r="C31" s="17">
        <f t="shared" ref="C31:G31" si="9">INT(C14+0.5)</f>
        <v>37</v>
      </c>
      <c r="D31" s="13">
        <f t="shared" si="9"/>
        <v>118080</v>
      </c>
      <c r="E31" s="13">
        <f t="shared" si="9"/>
        <v>995926</v>
      </c>
      <c r="F31" s="13">
        <f t="shared" si="9"/>
        <v>24981735</v>
      </c>
      <c r="G31" s="24">
        <f t="shared" si="9"/>
        <v>62625</v>
      </c>
      <c r="H31" s="14"/>
    </row>
    <row r="32" spans="1:8">
      <c r="A32" s="14"/>
      <c r="B32" s="22" t="str">
        <f t="shared" si="1"/>
        <v>u=40%, k=2x10^8</v>
      </c>
      <c r="C32" s="17">
        <f t="shared" ref="C32:G32" si="10">INT(C15+0.5)</f>
        <v>3</v>
      </c>
      <c r="D32" s="13">
        <f t="shared" si="10"/>
        <v>38652</v>
      </c>
      <c r="E32" s="13">
        <f t="shared" si="10"/>
        <v>1373227</v>
      </c>
      <c r="F32" s="13">
        <f t="shared" si="10"/>
        <v>15524922</v>
      </c>
      <c r="G32" s="24">
        <f t="shared" si="10"/>
        <v>2649286</v>
      </c>
      <c r="H32" s="14"/>
    </row>
    <row r="33" spans="1:8" ht="15" thickBot="1">
      <c r="A33" s="14"/>
      <c r="B33" s="25" t="str">
        <f>B16</f>
        <v>u=40%, k=2x10^9</v>
      </c>
      <c r="C33" s="26">
        <f>INT(C16+0.5)</f>
        <v>1</v>
      </c>
      <c r="D33" s="27">
        <f>INT(D16+0.5)</f>
        <v>31577</v>
      </c>
      <c r="E33" s="27">
        <f>INT(E16+0.5)</f>
        <v>2149080</v>
      </c>
      <c r="F33" s="27">
        <f>INT(F16+0.5)</f>
        <v>33457373</v>
      </c>
      <c r="G33" s="28">
        <f>INT(G16+0.5)</f>
        <v>9429438</v>
      </c>
      <c r="H33" s="14"/>
    </row>
    <row r="34" spans="1:8" ht="3" customHeight="1">
      <c r="A34" s="14"/>
      <c r="B34" s="14"/>
      <c r="C34" s="15"/>
      <c r="D34" s="15"/>
      <c r="E34" s="15"/>
      <c r="F34" s="15"/>
      <c r="G34" s="15"/>
      <c r="H34" s="14"/>
    </row>
    <row r="35" spans="1:8">
      <c r="C35" s="12"/>
      <c r="D35" s="12"/>
      <c r="E35" s="12"/>
      <c r="F35" s="12"/>
      <c r="G35" s="12"/>
    </row>
  </sheetData>
  <mergeCells count="1">
    <mergeCell ref="C20:G2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B1775F-1DA6-4191-96FC-4BB7C52D6B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instructions</vt:lpstr>
      <vt:lpstr>data</vt:lpstr>
      <vt:lpstr>time_breakdown</vt:lpstr>
      <vt:lpstr>rebuild_counts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data!ExternalData_18</vt:lpstr>
      <vt:lpstr>data!ExternalData_19</vt:lpstr>
      <vt:lpstr>data!ExternalData_20</vt:lpstr>
      <vt:lpstr>data!ExternalData_21</vt:lpstr>
      <vt:lpstr>data!ExternalData_23</vt:lpstr>
      <vt:lpstr>data!ExternalData_24</vt:lpstr>
    </vt:vector>
  </TitlesOfParts>
  <Company>IST Austria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BROWN</dc:creator>
  <cp:lastModifiedBy>t35brown</cp:lastModifiedBy>
  <cp:lastPrinted>2018-05-15T15:43:05Z</cp:lastPrinted>
  <dcterms:created xsi:type="dcterms:W3CDTF">2018-05-15T13:15:36Z</dcterms:created>
  <dcterms:modified xsi:type="dcterms:W3CDTF">2019-06-14T22:58:44Z</dcterms:modified>
</cp:coreProperties>
</file>