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0.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7_long_runs_1b\"/>
    </mc:Choice>
  </mc:AlternateContent>
  <bookViews>
    <workbookView xWindow="0" yWindow="0" windowWidth="28054" windowHeight="11811" activeTab="4"/>
  </bookViews>
  <sheets>
    <sheet name="instructions" sheetId="3" r:id="rId1"/>
    <sheet name="data" sheetId="2" r:id="rId2"/>
    <sheet name="maxresident (no)" sheetId="4" state="hidden" r:id="rId3"/>
    <sheet name="cycles (maybe no)" sheetId="6" state="hidden" r:id="rId4"/>
    <sheet name="throughput" sheetId="1" r:id="rId5"/>
    <sheet name="LLC misses" sheetId="5" r:id="rId6"/>
    <sheet name="height (no)" sheetId="7" state="hidden" r:id="rId7"/>
    <sheet name="prefilling (no)" sheetId="9" state="hidden" r:id="rId8"/>
    <sheet name="cycle_breakdown (replaced)" sheetId="10" state="hidden" r:id="rId9"/>
    <sheet name="avg key depth" sheetId="8" r:id="rId10"/>
    <sheet name="cycle_breakdown" sheetId="11" r:id="rId11"/>
  </sheets>
  <functionGroups builtInGroupCount="18"/>
  <definedNames>
    <definedName name="_xlnm._FilterDatabase" localSheetId="1" hidden="1">data!$A$1:$BC$641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62913"/>
  <pivotCaches>
    <pivotCache cacheId="114"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14" i="2" l="1"/>
  <c r="BD14" i="2"/>
  <c r="BC15" i="2"/>
  <c r="BD15" i="2"/>
  <c r="BC16" i="2"/>
  <c r="BD16" i="2"/>
  <c r="BC17" i="2"/>
  <c r="BD17" i="2"/>
  <c r="BC18" i="2"/>
  <c r="BD18" i="2"/>
  <c r="BC19" i="2"/>
  <c r="BD19" i="2"/>
  <c r="BC20" i="2"/>
  <c r="BD20" i="2"/>
  <c r="BC21" i="2"/>
  <c r="BD21" i="2"/>
  <c r="BC22" i="2"/>
  <c r="BD22" i="2"/>
  <c r="BC23" i="2"/>
  <c r="BD23" i="2"/>
  <c r="BC24" i="2"/>
  <c r="BD24" i="2"/>
  <c r="BC25" i="2"/>
  <c r="BD25" i="2"/>
  <c r="C2" i="1" l="1"/>
  <c r="AA48" i="8" l="1"/>
  <c r="AB48" i="8"/>
  <c r="AC48" i="8"/>
  <c r="AD48" i="8"/>
  <c r="AA49" i="8"/>
  <c r="AB49" i="8"/>
  <c r="AC49" i="8"/>
  <c r="AD49" i="8"/>
  <c r="AA50" i="8"/>
  <c r="AB50" i="8"/>
  <c r="AC50" i="8"/>
  <c r="AD50" i="8"/>
  <c r="AB47" i="8"/>
  <c r="AC47" i="8"/>
  <c r="AD47" i="8"/>
  <c r="AA47" i="8"/>
  <c r="B48" i="8"/>
  <c r="C48" i="8"/>
  <c r="D48" i="8"/>
  <c r="E48" i="8"/>
  <c r="B49" i="8"/>
  <c r="C49" i="8"/>
  <c r="D49" i="8"/>
  <c r="E49" i="8"/>
  <c r="B50" i="8"/>
  <c r="C50" i="8"/>
  <c r="D50" i="8"/>
  <c r="E50" i="8"/>
  <c r="C47" i="8"/>
  <c r="D47" i="8"/>
  <c r="E47" i="8"/>
  <c r="B47" i="8"/>
  <c r="BD3" i="2" l="1"/>
  <c r="BD4" i="2"/>
  <c r="BD5" i="2"/>
  <c r="BD6" i="2"/>
  <c r="BD7" i="2"/>
  <c r="BD8" i="2"/>
  <c r="BD9" i="2"/>
  <c r="BD10" i="2"/>
  <c r="BD11" i="2"/>
  <c r="BD12" i="2"/>
  <c r="BD13" i="2"/>
  <c r="BD2" i="2"/>
  <c r="BC13" i="2" l="1"/>
  <c r="BC12" i="2"/>
  <c r="BC11" i="2"/>
  <c r="BC10" i="2"/>
  <c r="BC9" i="2"/>
  <c r="BC8" i="2"/>
  <c r="BC7" i="2"/>
  <c r="BC6" i="2"/>
  <c r="BC5" i="2"/>
  <c r="BC4" i="2"/>
  <c r="BC3" i="2"/>
  <c r="BC2" i="2"/>
  <c r="A24" i="8"/>
  <c r="A23" i="8"/>
  <c r="A22" i="8"/>
  <c r="A21" i="8"/>
  <c r="A20" i="8"/>
  <c r="C21" i="8"/>
  <c r="D21" i="8"/>
  <c r="E21" i="8"/>
  <c r="C22" i="8"/>
  <c r="D22" i="8"/>
  <c r="E22" i="8"/>
  <c r="C23" i="8"/>
  <c r="D23" i="8"/>
  <c r="E23" i="8"/>
  <c r="C24" i="8"/>
  <c r="D24" i="8"/>
  <c r="E24" i="8"/>
  <c r="B21" i="8"/>
  <c r="B22" i="8"/>
  <c r="B23" i="8"/>
  <c r="B24" i="8"/>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 i="11"/>
  <c r="F25" i="11"/>
  <c r="E25" i="11"/>
  <c r="D25" i="11"/>
  <c r="C25" i="11"/>
  <c r="B25" i="11"/>
  <c r="A25" i="11"/>
  <c r="F24" i="11"/>
  <c r="E24" i="11"/>
  <c r="D24" i="11"/>
  <c r="C24" i="11"/>
  <c r="B24" i="11"/>
  <c r="F23" i="11"/>
  <c r="E23" i="11"/>
  <c r="D23" i="11"/>
  <c r="C23" i="11"/>
  <c r="B23" i="11"/>
  <c r="F22" i="11"/>
  <c r="E22" i="11"/>
  <c r="D22" i="11"/>
  <c r="C22" i="11"/>
  <c r="B22" i="11"/>
  <c r="F21" i="11"/>
  <c r="E21" i="11"/>
  <c r="D21" i="11"/>
  <c r="C21" i="11"/>
  <c r="B21" i="11"/>
  <c r="F20" i="11"/>
  <c r="E20" i="11"/>
  <c r="D20" i="11"/>
  <c r="A20" i="1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E25" i="5"/>
  <c r="D25" i="5"/>
  <c r="C25" i="5"/>
  <c r="B25" i="5"/>
  <c r="A25" i="5"/>
  <c r="E24" i="5"/>
  <c r="D24" i="5"/>
  <c r="C24" i="5"/>
  <c r="B24" i="5"/>
  <c r="A24" i="5"/>
  <c r="E23" i="5"/>
  <c r="D23" i="5"/>
  <c r="C23" i="5"/>
  <c r="B23" i="5"/>
  <c r="A23" i="5"/>
  <c r="E22" i="5"/>
  <c r="D22" i="5"/>
  <c r="C22" i="5"/>
  <c r="B22" i="5"/>
  <c r="A22" i="5"/>
  <c r="E21" i="5"/>
  <c r="D21" i="5"/>
  <c r="C21" i="5"/>
  <c r="B21" i="5"/>
  <c r="A21" i="5"/>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B63" i="5" l="1"/>
  <c r="AD63" i="5"/>
  <c r="AE61" i="5"/>
  <c r="C61" i="5"/>
  <c r="C63" i="5"/>
  <c r="AE63" i="5"/>
  <c r="D61" i="5"/>
  <c r="AF61" i="5"/>
  <c r="AF63" i="5"/>
  <c r="D63" i="5"/>
  <c r="AG61" i="5"/>
  <c r="E61" i="5"/>
  <c r="E63" i="5"/>
  <c r="AG63" i="5"/>
  <c r="B62" i="5"/>
  <c r="AD62" i="5"/>
  <c r="C60" i="5"/>
  <c r="AE60" i="5"/>
  <c r="AE64" i="5"/>
  <c r="C64" i="5"/>
  <c r="D60" i="5"/>
  <c r="AF60" i="5"/>
  <c r="D62" i="5"/>
  <c r="AF62" i="5"/>
  <c r="AF64" i="5"/>
  <c r="D64" i="5"/>
  <c r="B60" i="5"/>
  <c r="AD60" i="5"/>
  <c r="AD64" i="5"/>
  <c r="B64" i="5"/>
  <c r="AE62" i="5"/>
  <c r="C62" i="5"/>
  <c r="E60" i="5"/>
  <c r="AG60" i="5"/>
  <c r="E62" i="5"/>
  <c r="AG62" i="5"/>
  <c r="AG64" i="5"/>
  <c r="E64" i="5"/>
  <c r="AD61" i="5"/>
  <c r="B61" i="5"/>
  <c r="A24" i="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<sst xmlns="http://schemas.openxmlformats.org/spreadsheetml/2006/main" count="492" uniqueCount="161">
  <si>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</si>
  <si>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</si>
  <si>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</si>
  <si>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</si>
  <si>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</si>
  <si>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</si>
  <si>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</si>
  <si>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</si>
  <si>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</si>
  <si>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</si>
  <si>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</si>
  <si>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</si>
  <si>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</si>
  <si>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</si>
  <si>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</si>
  <si>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</si>
  <si>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</si>
  <si>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</si>
  <si>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</si>
  <si>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</si>
  <si>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</si>
  <si>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</si>
  <si>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</si>
  <si>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</si>
  <si>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</si>
  <si>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</si>
  <si>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</si>
  <si>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</si>
  <si>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</si>
  <si>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</si>
  <si>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</si>
  <si>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</si>
  <si>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</si>
  <si>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</si>
  <si>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</si>
  <si>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</si>
  <si>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</si>
  <si>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</si>
  <si>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</si>
  <si>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</si>
  <si>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</si>
  <si>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</si>
  <si>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</si>
  <si>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</si>
  <si>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</si>
  <si>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</si>
  <si>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</si>
  <si>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</si>
  <si>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</si>
  <si>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</si>
  <si>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</si>
  <si>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</si>
  <si>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</si>
  <si>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</si>
  <si>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</si>
  <si>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</si>
  <si>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</si>
  <si>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</si>
  <si>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</si>
  <si>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</si>
  <si>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</si>
  <si>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</si>
  <si>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</si>
  <si>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</si>
  <si>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</si>
  <si>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</si>
  <si>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</si>
  <si>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</si>
  <si>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</si>
  <si>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</si>
  <si>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</si>
  <si>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</si>
  <si>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</si>
  <si>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</si>
  <si>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</si>
  <si>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</si>
  <si>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</si>
  <si>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</si>
  <si>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</si>
  <si>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</si>
  <si>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</si>
  <si>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</si>
  <si>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</si>
  <si>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</si>
  <si>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</si>
  <si>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</si>
  <si>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Average of maxresident_mb</t>
  </si>
  <si>
    <t>Average of PAPI_L3_TCM</t>
  </si>
  <si>
    <t>Average of PAPI_TOT_CYC</t>
  </si>
  <si>
    <t>Average of PAPI_RES_STL</t>
  </si>
  <si>
    <t>Average of tree_stats_height</t>
  </si>
  <si>
    <t>Average of tree_stats_avgKeyDepth</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</si>
  <si>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</si>
  <si>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</si>
  <si>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</si>
  <si>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</si>
  <si>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</si>
  <si>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</si>
  <si>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</si>
  <si>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</si>
  <si>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</si>
  <si>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</si>
  <si>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</si>
  <si>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</si>
  <si>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</si>
  <si>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u=40%, k=2x10^9</t>
  </si>
  <si>
    <t>full_rebuild_count</t>
  </si>
  <si>
    <t>Error bar (+) range</t>
  </si>
  <si>
    <t>Error bar (-) range</t>
  </si>
  <si>
    <t>Min of tree_stats_avgKeyDepth</t>
  </si>
  <si>
    <t>Max of tree_stats_avgKeyDepth</t>
  </si>
  <si>
    <t>VALUE</t>
  </si>
  <si>
    <t>MIN</t>
  </si>
  <si>
    <t>MAX</t>
  </si>
  <si>
    <t>B47:E50</t>
  </si>
  <si>
    <t>AA47:AD50</t>
  </si>
  <si>
    <t>Min of PAPI_L3_TCM</t>
  </si>
  <si>
    <t>Max of PAPI_L3_TCM</t>
  </si>
  <si>
    <t>B60:E64</t>
  </si>
  <si>
    <t>AD60:AG64</t>
  </si>
  <si>
    <t>istree_exp7_long_runs_1b/step10001.txt</t>
  </si>
  <si>
    <t>62 505426 34396780 546915169 155796814</t>
  </si>
  <si>
    <t>16 505395 34396273 546914793 155796785</t>
  </si>
  <si>
    <t>istree_exp7_long_runs_1b/step10002.txt</t>
  </si>
  <si>
    <t>26620 158526</t>
  </si>
  <si>
    <t>istree_exp7_long_runs_1b/step10003.txt</t>
  </si>
  <si>
    <t>7930 80460</t>
  </si>
  <si>
    <t>istree_exp7_long_runs_1b/step10004.txt</t>
  </si>
  <si>
    <t>7828 68368</t>
  </si>
  <si>
    <t>istree_exp7_long_runs_1b/step10005.txt</t>
  </si>
  <si>
    <t>62 505414 34398424 546967787 155794774</t>
  </si>
  <si>
    <t>16 505373 34397922 546967378 155794744</t>
  </si>
  <si>
    <t>istree_exp7_long_runs_1b/step10006.txt</t>
  </si>
  <si>
    <t>26790 158462</t>
  </si>
  <si>
    <t>istree_exp7_long_runs_1b/step10007.txt</t>
  </si>
  <si>
    <t>7946 80430</t>
  </si>
  <si>
    <t>istree_exp7_long_runs_1b/step10008.txt</t>
  </si>
  <si>
    <t>7830 68390</t>
  </si>
  <si>
    <t>istree_exp7_long_runs_1b/step10009.txt</t>
  </si>
  <si>
    <t>50 505416 34394673 547083609 155816751</t>
  </si>
  <si>
    <t>16 505379 34394176 547083206 155816732</t>
  </si>
  <si>
    <t>istree_exp7_long_runs_1b/step10010.txt</t>
  </si>
  <si>
    <t>26606 158580</t>
  </si>
  <si>
    <t>istree_exp7_long_runs_1b/step10011.txt</t>
  </si>
  <si>
    <t>7918 80696</t>
  </si>
  <si>
    <t>istree_exp7_long_runs_1b/step10012.txt</t>
  </si>
  <si>
    <t>7830 68494</t>
  </si>
  <si>
    <t>0 0 800254 28284632 8355081</t>
  </si>
  <si>
    <t>0 0 800254 28284629 8355081</t>
  </si>
  <si>
    <t>26652 192702</t>
  </si>
  <si>
    <t>7924 86022</t>
  </si>
  <si>
    <t>7812 73364</t>
  </si>
  <si>
    <t>0 0 814455 28360771 8373408</t>
  </si>
  <si>
    <t>26506 192590</t>
  </si>
  <si>
    <t>7916 86124</t>
  </si>
  <si>
    <t>7820 73372</t>
  </si>
  <si>
    <t>0 0 827858 28449964 8395788</t>
  </si>
  <si>
    <t>26626 192170</t>
  </si>
  <si>
    <t>7954 86194</t>
  </si>
  <si>
    <t>7828 73246</t>
  </si>
  <si>
    <t>u=1%, k=2x10^9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</si>
</sst>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1">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165" fontId="0" fillId="0" borderId="0" xfId="1" applyNumberFormat="1" applyFont="1"/>
  </cellXfs>
  <cellStyles count="2">
    <cellStyle name="Normal" xfId="0" builtinId="0"/>
    <cellStyle name="Percent" xfId="1" builtinId="5"/>
  </cellStyles>
  <dxfs count="47">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(no)'!$B$21:$B$25</c:f>
              <c:numCache>
                <c:formatCode>0</c:formatCode>
                <c:ptCount val="5"/>
                <c:pt idx="0">
                  <c:v>79151.666666666672</c:v>
                </c:pt>
                <c:pt idx="1">
                  <c:v>0</c:v>
                </c:pt>
                <c:pt idx="2">
                  <c:v>0</c:v>
                </c:pt>
                <c:pt idx="3">
                  <c:v>0</c:v>
                </c:pt>
                <c:pt idx="4">
                  <c:v>0</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(no)'!$C$21:$C$25</c:f>
              <c:numCache>
                <c:formatCode>0</c:formatCode>
                <c:ptCount val="5"/>
                <c:pt idx="0">
                  <c:v>78235.5</c:v>
                </c:pt>
                <c:pt idx="1">
                  <c:v>0</c:v>
                </c:pt>
                <c:pt idx="2">
                  <c:v>0</c:v>
                </c:pt>
                <c:pt idx="3">
                  <c:v>0</c:v>
                </c:pt>
                <c:pt idx="4">
                  <c:v>0</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(no)'!$D$21:$D$25</c:f>
              <c:numCache>
                <c:formatCode>0</c:formatCode>
                <c:ptCount val="5"/>
                <c:pt idx="0">
                  <c:v>54531.166666666664</c:v>
                </c:pt>
                <c:pt idx="1">
                  <c:v>0</c:v>
                </c:pt>
                <c:pt idx="2">
                  <c:v>0</c:v>
                </c:pt>
                <c:pt idx="3">
                  <c:v>0</c:v>
                </c:pt>
                <c:pt idx="4">
                  <c:v>0</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(no)'!$E$21:$E$25</c:f>
              <c:numCache>
                <c:formatCode>0</c:formatCode>
                <c:ptCount val="5"/>
                <c:pt idx="0">
                  <c:v>93951.5</c:v>
                </c:pt>
                <c:pt idx="1">
                  <c:v>0</c:v>
                </c:pt>
                <c:pt idx="2">
                  <c:v>0</c:v>
                </c:pt>
                <c:pt idx="3">
                  <c:v>0</c:v>
                </c:pt>
                <c:pt idx="4">
                  <c:v>0</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(no)'!$B$21:$B$25</c:f>
              <c:numCache>
                <c:formatCode>0</c:formatCode>
                <c:ptCount val="5"/>
                <c:pt idx="0">
                  <c:v>79151.666666666672</c:v>
                </c:pt>
                <c:pt idx="1">
                  <c:v>0</c:v>
                </c:pt>
                <c:pt idx="2">
                  <c:v>0</c:v>
                </c:pt>
                <c:pt idx="3">
                  <c:v>0</c:v>
                </c:pt>
                <c:pt idx="4">
                  <c:v>0</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(no)'!$C$21:$C$25</c:f>
              <c:numCache>
                <c:formatCode>0</c:formatCode>
                <c:ptCount val="5"/>
                <c:pt idx="0">
                  <c:v>78235.5</c:v>
                </c:pt>
                <c:pt idx="1">
                  <c:v>0</c:v>
                </c:pt>
                <c:pt idx="2">
                  <c:v>0</c:v>
                </c:pt>
                <c:pt idx="3">
                  <c:v>0</c:v>
                </c:pt>
                <c:pt idx="4">
                  <c:v>0</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(no)'!$D$21:$D$25</c:f>
              <c:numCache>
                <c:formatCode>0</c:formatCode>
                <c:ptCount val="5"/>
                <c:pt idx="0">
                  <c:v>54531.166666666664</c:v>
                </c:pt>
                <c:pt idx="1">
                  <c:v>0</c:v>
                </c:pt>
                <c:pt idx="2">
                  <c:v>0</c:v>
                </c:pt>
                <c:pt idx="3">
                  <c:v>0</c:v>
                </c:pt>
                <c:pt idx="4">
                  <c:v>0</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190</c:v>
                </c:pt>
                <c:pt idx="1">
                  <c:v>0</c:v>
                </c:pt>
                <c:pt idx="2">
                  <c:v>0</c:v>
                </c:pt>
                <c:pt idx="3">
                  <c:v>0</c:v>
                </c:pt>
                <c:pt idx="4">
                  <c:v>0</c:v>
                </c:pt>
              </c:numCache>
            </c:numRef>
          </c:cat>
          <c:val>
            <c:numRef>
              <c:f>'maxresident (no)'!$E$21:$E$25</c:f>
              <c:numCache>
                <c:formatCode>0</c:formatCode>
                <c:ptCount val="5"/>
                <c:pt idx="0">
                  <c:v>93951.5</c:v>
                </c:pt>
                <c:pt idx="1">
                  <c:v>0</c:v>
                </c:pt>
                <c:pt idx="2">
                  <c:v>0</c:v>
                </c:pt>
                <c:pt idx="3">
                  <c:v>0</c:v>
                </c:pt>
                <c:pt idx="4">
                  <c:v>0</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no)'!$B$21:$B$25</c:f>
              <c:numCache>
                <c:formatCode>0</c:formatCode>
                <c:ptCount val="5"/>
                <c:pt idx="0">
                  <c:v>14553.75</c:v>
                </c:pt>
                <c:pt idx="1">
                  <c:v>0</c:v>
                </c:pt>
                <c:pt idx="2">
                  <c:v>0</c:v>
                </c:pt>
                <c:pt idx="3">
                  <c:v>0</c:v>
                </c:pt>
                <c:pt idx="4">
                  <c:v>0</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no)'!$C$21:$C$25</c:f>
              <c:numCache>
                <c:formatCode>0</c:formatCode>
                <c:ptCount val="5"/>
                <c:pt idx="0">
                  <c:v>12033.033333333333</c:v>
                </c:pt>
                <c:pt idx="1">
                  <c:v>0</c:v>
                </c:pt>
                <c:pt idx="2">
                  <c:v>0</c:v>
                </c:pt>
                <c:pt idx="3">
                  <c:v>0</c:v>
                </c:pt>
                <c:pt idx="4">
                  <c:v>0</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no)'!$D$21:$D$25</c:f>
              <c:numCache>
                <c:formatCode>0</c:formatCode>
                <c:ptCount val="5"/>
                <c:pt idx="0">
                  <c:v>6634.8516666666665</c:v>
                </c:pt>
                <c:pt idx="1">
                  <c:v>0</c:v>
                </c:pt>
                <c:pt idx="2">
                  <c:v>0</c:v>
                </c:pt>
                <c:pt idx="3">
                  <c:v>0</c:v>
                </c:pt>
                <c:pt idx="4">
                  <c:v>0</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no)'!$E$21:$E$25</c:f>
              <c:numCache>
                <c:formatCode>0</c:formatCode>
                <c:ptCount val="5"/>
                <c:pt idx="0">
                  <c:v>5108.0616666666665</c:v>
                </c:pt>
                <c:pt idx="1">
                  <c:v>0</c:v>
                </c:pt>
                <c:pt idx="2">
                  <c:v>0</c:v>
                </c:pt>
                <c:pt idx="3">
                  <c:v>0</c:v>
                </c:pt>
                <c:pt idx="4">
                  <c:v>0</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no)'!$B$21:$B$25</c:f>
              <c:numCache>
                <c:formatCode>0</c:formatCode>
                <c:ptCount val="5"/>
                <c:pt idx="0">
                  <c:v>14553.75</c:v>
                </c:pt>
                <c:pt idx="1">
                  <c:v>0</c:v>
                </c:pt>
                <c:pt idx="2">
                  <c:v>0</c:v>
                </c:pt>
                <c:pt idx="3">
                  <c:v>0</c:v>
                </c:pt>
                <c:pt idx="4">
                  <c:v>0</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no)'!$C$21:$C$25</c:f>
              <c:numCache>
                <c:formatCode>0</c:formatCode>
                <c:ptCount val="5"/>
                <c:pt idx="0">
                  <c:v>12033.033333333333</c:v>
                </c:pt>
                <c:pt idx="1">
                  <c:v>0</c:v>
                </c:pt>
                <c:pt idx="2">
                  <c:v>0</c:v>
                </c:pt>
                <c:pt idx="3">
                  <c:v>0</c:v>
                </c:pt>
                <c:pt idx="4">
                  <c:v>0</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no)'!$D$21:$D$25</c:f>
              <c:numCache>
                <c:formatCode>0</c:formatCode>
                <c:ptCount val="5"/>
                <c:pt idx="0">
                  <c:v>6634.8516666666665</c:v>
                </c:pt>
                <c:pt idx="1">
                  <c:v>0</c:v>
                </c:pt>
                <c:pt idx="2">
                  <c:v>0</c:v>
                </c:pt>
                <c:pt idx="3">
                  <c:v>0</c:v>
                </c:pt>
                <c:pt idx="4">
                  <c:v>0</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190</c:v>
                </c:pt>
                <c:pt idx="1">
                  <c:v>0</c:v>
                </c:pt>
                <c:pt idx="2">
                  <c:v>0</c:v>
                </c:pt>
                <c:pt idx="3">
                  <c:v>0</c:v>
                </c:pt>
                <c:pt idx="4">
                  <c:v>0</c:v>
                </c:pt>
              </c:numCache>
            </c:numRef>
          </c:cat>
          <c:val>
            <c:numRef>
              <c:f>'cycles (maybe no)'!$E$21:$E$25</c:f>
              <c:numCache>
                <c:formatCode>0</c:formatCode>
                <c:ptCount val="5"/>
                <c:pt idx="0">
                  <c:v>5108.0616666666665</c:v>
                </c:pt>
                <c:pt idx="1">
                  <c:v>0</c:v>
                </c:pt>
                <c:pt idx="2">
                  <c:v>0</c:v>
                </c:pt>
                <c:pt idx="3">
                  <c:v>0</c:v>
                </c:pt>
                <c:pt idx="4">
                  <c:v>0</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throughput!$C$2</c:f>
          <c:strCache>
            <c:ptCount val="1"/>
            <c:pt idx="0">
              <c:v>u=1%, k=2x10^9, 190 threads</c:v>
            </c:pt>
          </c:strCache>
        </c:strRef>
      </c:tx>
      <c:layout>
        <c:manualLayout>
          <c:xMode val="edge"/>
          <c:yMode val="edge"/>
          <c:x val="0.21802261296937542"/>
          <c:y val="6.8783389732102237E-3"/>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1811619719873426"/>
          <c:y val="0.11905985021469084"/>
          <c:w val="0.77005988502572398"/>
          <c:h val="0.76823856570925964"/>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26618</c:v>
                  </c:pt>
                  <c:pt idx="1">
                    <c:v>0</c:v>
                  </c:pt>
                  <c:pt idx="2">
                    <c:v>0</c:v>
                  </c:pt>
                  <c:pt idx="3">
                    <c:v>0</c:v>
                  </c:pt>
                  <c:pt idx="4">
                    <c:v>0</c:v>
                  </c:pt>
                </c:numCache>
              </c:numRef>
            </c:plus>
            <c:minus>
              <c:numRef>
                <c:f>throughput!$B$51:$B$55</c:f>
                <c:numCache>
                  <c:formatCode>General</c:formatCode>
                  <c:ptCount val="5"/>
                  <c:pt idx="0">
                    <c:v>45805</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c:f>
              <c:numCache>
                <c:formatCode>General</c:formatCode>
                <c:ptCount val="1"/>
                <c:pt idx="0">
                  <c:v>190</c:v>
                </c:pt>
              </c:numCache>
            </c:numRef>
          </c:cat>
          <c:val>
            <c:numRef>
              <c:f>throughput!$B$21</c:f>
              <c:numCache>
                <c:formatCode>0</c:formatCode>
                <c:ptCount val="1"/>
                <c:pt idx="0">
                  <c:v>38408764</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BCCO</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101048</c:v>
                  </c:pt>
                  <c:pt idx="1">
                    <c:v>0</c:v>
                  </c:pt>
                  <c:pt idx="2">
                    <c:v>0</c:v>
                  </c:pt>
                  <c:pt idx="3">
                    <c:v>0</c:v>
                  </c:pt>
                  <c:pt idx="4">
                    <c:v>0</c:v>
                  </c:pt>
                </c:numCache>
              </c:numRef>
            </c:plus>
            <c:minus>
              <c:numRef>
                <c:f>throughput!$C$51:$C$55</c:f>
                <c:numCache>
                  <c:formatCode>General</c:formatCode>
                  <c:ptCount val="5"/>
                  <c:pt idx="0">
                    <c:v>144610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c:f>
              <c:numCache>
                <c:formatCode>General</c:formatCode>
                <c:ptCount val="1"/>
                <c:pt idx="0">
                  <c:v>190</c:v>
                </c:pt>
              </c:numCache>
            </c:numRef>
          </c:cat>
          <c:val>
            <c:numRef>
              <c:f>throughput!$C$21</c:f>
              <c:numCache>
                <c:formatCode>0</c:formatCode>
                <c:ptCount val="1"/>
                <c:pt idx="0">
                  <c:v>45677871</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ABTree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86774</c:v>
                  </c:pt>
                  <c:pt idx="1">
                    <c:v>0</c:v>
                  </c:pt>
                  <c:pt idx="2">
                    <c:v>0</c:v>
                  </c:pt>
                  <c:pt idx="3">
                    <c:v>0</c:v>
                  </c:pt>
                  <c:pt idx="4">
                    <c:v>0</c:v>
                  </c:pt>
                </c:numCache>
              </c:numRef>
            </c:plus>
            <c:minus>
              <c:numRef>
                <c:f>throughput!$D$51:$D$55</c:f>
                <c:numCache>
                  <c:formatCode>General</c:formatCode>
                  <c:ptCount val="5"/>
                  <c:pt idx="0">
                    <c:v>125786</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c:f>
              <c:numCache>
                <c:formatCode>General</c:formatCode>
                <c:ptCount val="1"/>
                <c:pt idx="0">
                  <c:v>190</c:v>
                </c:pt>
              </c:numCache>
            </c:numRef>
          </c:cat>
          <c:val>
            <c:numRef>
              <c:f>throughput!$D$21</c:f>
              <c:numCache>
                <c:formatCode>0</c:formatCode>
                <c:ptCount val="1"/>
                <c:pt idx="0">
                  <c:v>96241513</c:v>
                </c:pt>
              </c:numCache>
            </c:numRef>
          </c:val>
          <c:extLst>
            <c:ext xmlns:c16="http://schemas.microsoft.com/office/drawing/2014/chart" uri="{C3380CC4-5D6E-409C-BE32-E72D297353CC}">
              <c16:uniqueId val="{00000002-2CD0-447C-8E06-4DA7A6D936F5}"/>
            </c:ext>
          </c:extLst>
        </c:ser>
        <c:ser>
          <c:idx val="3"/>
          <c:order val="3"/>
          <c:tx>
            <c:strRef>
              <c:f>throughput!$E$20</c:f>
              <c:strCache>
                <c:ptCount val="1"/>
                <c:pt idx="0">
                  <c:v>ISTree</c:v>
                </c:pt>
              </c:strCache>
            </c:strRef>
          </c:tx>
          <c:spPr>
            <a:solidFill>
              <a:schemeClr val="accent4"/>
            </a:solidFill>
            <a:ln w="76200">
              <a:noFill/>
            </a:ln>
            <a:effectLst/>
          </c:spPr>
          <c:invertIfNegative val="0"/>
          <c:errBars>
            <c:errBarType val="both"/>
            <c:errValType val="cust"/>
            <c:noEndCap val="1"/>
            <c:plus>
              <c:numRef>
                <c:f>throughput!$E$78:$E$82</c:f>
                <c:numCache>
                  <c:formatCode>General</c:formatCode>
                  <c:ptCount val="5"/>
                  <c:pt idx="0">
                    <c:v>267879</c:v>
                  </c:pt>
                  <c:pt idx="1">
                    <c:v>0</c:v>
                  </c:pt>
                  <c:pt idx="2">
                    <c:v>0</c:v>
                  </c:pt>
                  <c:pt idx="3">
                    <c:v>0</c:v>
                  </c:pt>
                  <c:pt idx="4">
                    <c:v>0</c:v>
                  </c:pt>
                </c:numCache>
              </c:numRef>
            </c:plus>
            <c:minus>
              <c:numRef>
                <c:f>throughput!$E$51:$E$55</c:f>
                <c:numCache>
                  <c:formatCode>General</c:formatCode>
                  <c:ptCount val="5"/>
                  <c:pt idx="0">
                    <c:v>254930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c:f>
              <c:numCache>
                <c:formatCode>General</c:formatCode>
                <c:ptCount val="1"/>
                <c:pt idx="0">
                  <c:v>190</c:v>
                </c:pt>
              </c:numCache>
            </c:numRef>
          </c:cat>
          <c:val>
            <c:numRef>
              <c:f>throughput!$E$21</c:f>
              <c:numCache>
                <c:formatCode>0</c:formatCode>
                <c:ptCount val="1"/>
                <c:pt idx="0">
                  <c:v>141256564</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legend>
      <c:legendPos val="r"/>
      <c:layout>
        <c:manualLayout>
          <c:xMode val="edge"/>
          <c:yMode val="edge"/>
          <c:x val="0.18019404684406892"/>
          <c:y val="0.89750313587264996"/>
          <c:w val="0.80993686894477857"/>
          <c:h val="9.1137991395035464E-2"/>
        </c:manualLayout>
      </c:layout>
      <c:overlay val="0"/>
      <c:spPr>
        <a:noFill/>
        <a:ln>
          <a:no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cat>
            <c:numRef>
              <c:f>throughput!$A$21:$A$25</c:f>
              <c:numCache>
                <c:formatCode>General</c:formatCode>
                <c:ptCount val="5"/>
                <c:pt idx="0">
                  <c:v>190</c:v>
                </c:pt>
                <c:pt idx="1">
                  <c:v>0</c:v>
                </c:pt>
                <c:pt idx="2">
                  <c:v>0</c:v>
                </c:pt>
                <c:pt idx="3">
                  <c:v>0</c:v>
                </c:pt>
                <c:pt idx="4">
                  <c:v>0</c:v>
                </c:pt>
              </c:numCache>
            </c:numRef>
          </c:cat>
          <c:val>
            <c:numRef>
              <c:f>throughput!$B$21:$B$25</c:f>
              <c:numCache>
                <c:formatCode>0</c:formatCode>
                <c:ptCount val="5"/>
                <c:pt idx="0">
                  <c:v>38408764</c:v>
                </c:pt>
                <c:pt idx="1">
                  <c:v>0</c:v>
                </c:pt>
                <c:pt idx="2">
                  <c:v>0</c:v>
                </c:pt>
                <c:pt idx="3">
                  <c:v>0</c:v>
                </c:pt>
                <c:pt idx="4">
                  <c:v>0</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BCCO</c:v>
                </c:pt>
              </c:strCache>
            </c:strRef>
          </c:tx>
          <c:spPr>
            <a:solidFill>
              <a:schemeClr val="accent1"/>
            </a:solidFill>
            <a:ln w="76200">
              <a:noFill/>
            </a:ln>
            <a:effectLst/>
          </c:spPr>
          <c:invertIfNegative val="0"/>
          <c:cat>
            <c:numRef>
              <c:f>throughput!$A$21:$A$25</c:f>
              <c:numCache>
                <c:formatCode>General</c:formatCode>
                <c:ptCount val="5"/>
                <c:pt idx="0">
                  <c:v>190</c:v>
                </c:pt>
                <c:pt idx="1">
                  <c:v>0</c:v>
                </c:pt>
                <c:pt idx="2">
                  <c:v>0</c:v>
                </c:pt>
                <c:pt idx="3">
                  <c:v>0</c:v>
                </c:pt>
                <c:pt idx="4">
                  <c:v>0</c:v>
                </c:pt>
              </c:numCache>
            </c:numRef>
          </c:cat>
          <c:val>
            <c:numRef>
              <c:f>throughput!$C$21:$C$25</c:f>
              <c:numCache>
                <c:formatCode>0</c:formatCode>
                <c:ptCount val="5"/>
                <c:pt idx="0">
                  <c:v>45677871</c:v>
                </c:pt>
                <c:pt idx="1">
                  <c:v>0</c:v>
                </c:pt>
                <c:pt idx="2">
                  <c:v>0</c:v>
                </c:pt>
                <c:pt idx="3">
                  <c:v>0</c:v>
                </c:pt>
                <c:pt idx="4">
                  <c:v>0</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ABTree</c:v>
                </c:pt>
              </c:strCache>
            </c:strRef>
          </c:tx>
          <c:spPr>
            <a:solidFill>
              <a:schemeClr val="accent2"/>
            </a:solidFill>
            <a:ln w="76200">
              <a:noFill/>
            </a:ln>
            <a:effectLst/>
          </c:spPr>
          <c:invertIfNegative val="0"/>
          <c:cat>
            <c:numRef>
              <c:f>throughput!$A$21:$A$25</c:f>
              <c:numCache>
                <c:formatCode>General</c:formatCode>
                <c:ptCount val="5"/>
                <c:pt idx="0">
                  <c:v>190</c:v>
                </c:pt>
                <c:pt idx="1">
                  <c:v>0</c:v>
                </c:pt>
                <c:pt idx="2">
                  <c:v>0</c:v>
                </c:pt>
                <c:pt idx="3">
                  <c:v>0</c:v>
                </c:pt>
                <c:pt idx="4">
                  <c:v>0</c:v>
                </c:pt>
              </c:numCache>
            </c:numRef>
          </c:cat>
          <c:val>
            <c:numRef>
              <c:f>throughput!$D$21:$D$25</c:f>
              <c:numCache>
                <c:formatCode>0</c:formatCode>
                <c:ptCount val="5"/>
                <c:pt idx="0">
                  <c:v>96241513</c:v>
                </c:pt>
                <c:pt idx="1">
                  <c:v>0</c:v>
                </c:pt>
                <c:pt idx="2">
                  <c:v>0</c:v>
                </c:pt>
                <c:pt idx="3">
                  <c:v>0</c:v>
                </c:pt>
                <c:pt idx="4">
                  <c:v>0</c:v>
                </c:pt>
              </c:numCache>
            </c:numRef>
          </c:val>
          <c:extLst>
            <c:ext xmlns:c16="http://schemas.microsoft.com/office/drawing/2014/chart" uri="{C3380CC4-5D6E-409C-BE32-E72D297353CC}">
              <c16:uniqueId val="{00000002-501B-430B-95FC-C01CB1FD10E4}"/>
            </c:ext>
          </c:extLst>
        </c:ser>
        <c:ser>
          <c:idx val="3"/>
          <c:order val="3"/>
          <c:tx>
            <c:strRef>
              <c:f>throughput!$E$20</c:f>
              <c:strCache>
                <c:ptCount val="1"/>
                <c:pt idx="0">
                  <c:v>ISTree</c:v>
                </c:pt>
              </c:strCache>
            </c:strRef>
          </c:tx>
          <c:spPr>
            <a:solidFill>
              <a:schemeClr val="accent4"/>
            </a:solidFill>
            <a:ln w="76200">
              <a:noFill/>
            </a:ln>
            <a:effectLst/>
          </c:spPr>
          <c:invertIfNegative val="0"/>
          <c:cat>
            <c:numRef>
              <c:f>throughput!$A$21:$A$25</c:f>
              <c:numCache>
                <c:formatCode>General</c:formatCode>
                <c:ptCount val="5"/>
                <c:pt idx="0">
                  <c:v>190</c:v>
                </c:pt>
                <c:pt idx="1">
                  <c:v>0</c:v>
                </c:pt>
                <c:pt idx="2">
                  <c:v>0</c:v>
                </c:pt>
                <c:pt idx="3">
                  <c:v>0</c:v>
                </c:pt>
                <c:pt idx="4">
                  <c:v>0</c:v>
                </c:pt>
              </c:numCache>
            </c:numRef>
          </c:cat>
          <c:val>
            <c:numRef>
              <c:f>throughput!$E$21:$E$25</c:f>
              <c:numCache>
                <c:formatCode>0</c:formatCode>
                <c:ptCount val="5"/>
                <c:pt idx="0">
                  <c:v>141256564</c:v>
                </c:pt>
                <c:pt idx="1">
                  <c:v>0</c:v>
                </c:pt>
                <c:pt idx="2">
                  <c:v>0</c:v>
                </c:pt>
                <c:pt idx="3">
                  <c:v>0</c:v>
                </c:pt>
                <c:pt idx="4">
                  <c:v>0</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'LLC misses'!$B$2</c:f>
          <c:strCache>
            <c:ptCount val="1"/>
            <c:pt idx="0">
              <c:v>u=40%, k=2x10^9</c:v>
            </c:pt>
          </c:strCache>
        </c:strRef>
      </c:tx>
      <c:layout>
        <c:manualLayout>
          <c:xMode val="edge"/>
          <c:yMode val="edge"/>
          <c:x val="0.41532221274469361"/>
          <c:y val="1.3756677946420447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8526676327764802"/>
          <c:y val="0.11046192649817806"/>
          <c:w val="0.80290936618129272"/>
          <c:h val="0.68397891328743443"/>
        </c:manualLayout>
      </c:layout>
      <c:barChart>
        <c:barDir val="col"/>
        <c:grouping val="clustered"/>
        <c:varyColors val="0"/>
        <c:ser>
          <c:idx val="2"/>
          <c:order val="0"/>
          <c:tx>
            <c:strRef>
              <c:f>'LLC misses'!$B$20</c:f>
              <c:strCache>
                <c:ptCount val="1"/>
                <c:pt idx="0">
                  <c:v>NM</c:v>
                </c:pt>
              </c:strCache>
            </c:strRef>
          </c:tx>
          <c:spPr>
            <a:solidFill>
              <a:schemeClr val="accent3"/>
            </a:solidFill>
            <a:ln>
              <a:noFill/>
            </a:ln>
            <a:effectLst/>
          </c:spPr>
          <c:invertIfNegative val="0"/>
          <c:errBars>
            <c:errBarType val="both"/>
            <c:errValType val="cust"/>
            <c:noEndCap val="1"/>
            <c:plus>
              <c:numRef>
                <c:f>'LLC misses'!$AD$60:$AD$64</c:f>
                <c:numCache>
                  <c:formatCode>General</c:formatCode>
                  <c:ptCount val="5"/>
                  <c:pt idx="0">
                    <c:v>1.4566666666667061E-2</c:v>
                  </c:pt>
                  <c:pt idx="1">
                    <c:v>0</c:v>
                  </c:pt>
                  <c:pt idx="2">
                    <c:v>0</c:v>
                  </c:pt>
                  <c:pt idx="3">
                    <c:v>0</c:v>
                  </c:pt>
                  <c:pt idx="4">
                    <c:v>0</c:v>
                  </c:pt>
                </c:numCache>
              </c:numRef>
            </c:plus>
            <c:minus>
              <c:numRef>
                <c:f>'LLC misses'!$B$60:$B$64</c:f>
                <c:numCache>
                  <c:formatCode>General</c:formatCode>
                  <c:ptCount val="5"/>
                  <c:pt idx="0">
                    <c:v>1.4633333333328835E-2</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'LLC misses'!$A$21</c:f>
              <c:numCache>
                <c:formatCode>General</c:formatCode>
                <c:ptCount val="1"/>
                <c:pt idx="0">
                  <c:v>190</c:v>
                </c:pt>
              </c:numCache>
            </c:numRef>
          </c:cat>
          <c:val>
            <c:numRef>
              <c:f>'LLC misses'!$B$21</c:f>
              <c:numCache>
                <c:formatCode>0.0</c:formatCode>
                <c:ptCount val="1"/>
                <c:pt idx="0">
                  <c:v>34.175233333333331</c:v>
                </c:pt>
              </c:numCache>
            </c:numRef>
          </c:val>
          <c:extLst>
            <c:ext xmlns:c16="http://schemas.microsoft.com/office/drawing/2014/chart" uri="{C3380CC4-5D6E-409C-BE32-E72D297353CC}">
              <c16:uniqueId val="{00000000-2985-4656-BBDB-25DA35EF33BC}"/>
            </c:ext>
          </c:extLst>
        </c:ser>
        <c:ser>
          <c:idx val="0"/>
          <c:order val="1"/>
          <c:tx>
            <c:strRef>
              <c:f>'LLC misses'!$C$20</c:f>
              <c:strCache>
                <c:ptCount val="1"/>
                <c:pt idx="0">
                  <c:v>BCCO</c:v>
                </c:pt>
              </c:strCache>
            </c:strRef>
          </c:tx>
          <c:spPr>
            <a:solidFill>
              <a:schemeClr val="accent1"/>
            </a:solidFill>
            <a:ln w="76200">
              <a:noFill/>
            </a:ln>
            <a:effectLst/>
          </c:spPr>
          <c:invertIfNegative val="0"/>
          <c:errBars>
            <c:errBarType val="both"/>
            <c:errValType val="cust"/>
            <c:noEndCap val="1"/>
            <c:plus>
              <c:numRef>
                <c:f>'LLC misses'!$AE$60:$AE$64</c:f>
                <c:numCache>
                  <c:formatCode>General</c:formatCode>
                  <c:ptCount val="5"/>
                  <c:pt idx="0">
                    <c:v>3.1333333333307678E-3</c:v>
                  </c:pt>
                  <c:pt idx="1">
                    <c:v>0</c:v>
                  </c:pt>
                  <c:pt idx="2">
                    <c:v>0</c:v>
                  </c:pt>
                  <c:pt idx="3">
                    <c:v>0</c:v>
                  </c:pt>
                  <c:pt idx="4">
                    <c:v>0</c:v>
                  </c:pt>
                </c:numCache>
              </c:numRef>
            </c:plus>
            <c:minus>
              <c:numRef>
                <c:f>'LLC misses'!$C$60:$C$64</c:f>
                <c:numCache>
                  <c:formatCode>General</c:formatCode>
                  <c:ptCount val="5"/>
                  <c:pt idx="0">
                    <c:v>2.2666666666708579E-3</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'LLC misses'!$A$21</c:f>
              <c:numCache>
                <c:formatCode>General</c:formatCode>
                <c:ptCount val="1"/>
                <c:pt idx="0">
                  <c:v>190</c:v>
                </c:pt>
              </c:numCache>
            </c:numRef>
          </c:cat>
          <c:val>
            <c:numRef>
              <c:f>'LLC misses'!$C$21</c:f>
              <c:numCache>
                <c:formatCode>0.0</c:formatCode>
                <c:ptCount val="1"/>
                <c:pt idx="0">
                  <c:v>33.47976666666667</c:v>
                </c:pt>
              </c:numCache>
            </c:numRef>
          </c:val>
          <c:extLst>
            <c:ext xmlns:c16="http://schemas.microsoft.com/office/drawing/2014/chart" uri="{C3380CC4-5D6E-409C-BE32-E72D297353CC}">
              <c16:uniqueId val="{00000001-2985-4656-BBDB-25DA35EF33BC}"/>
            </c:ext>
          </c:extLst>
        </c:ser>
        <c:ser>
          <c:idx val="1"/>
          <c:order val="2"/>
          <c:tx>
            <c:strRef>
              <c:f>'LLC misses'!$D$20</c:f>
              <c:strCache>
                <c:ptCount val="1"/>
                <c:pt idx="0">
                  <c:v>ABTree</c:v>
                </c:pt>
              </c:strCache>
            </c:strRef>
          </c:tx>
          <c:spPr>
            <a:solidFill>
              <a:schemeClr val="accent2"/>
            </a:solidFill>
            <a:ln w="76200">
              <a:noFill/>
            </a:ln>
            <a:effectLst/>
          </c:spPr>
          <c:invertIfNegative val="0"/>
          <c:errBars>
            <c:errBarType val="both"/>
            <c:errValType val="cust"/>
            <c:noEndCap val="1"/>
            <c:plus>
              <c:numRef>
                <c:f>'LLC misses'!$AF$60:$AF$64</c:f>
                <c:numCache>
                  <c:formatCode>General</c:formatCode>
                  <c:ptCount val="5"/>
                  <c:pt idx="0">
                    <c:v>8.3333333333364124E-3</c:v>
                  </c:pt>
                  <c:pt idx="1">
                    <c:v>0</c:v>
                  </c:pt>
                  <c:pt idx="2">
                    <c:v>0</c:v>
                  </c:pt>
                  <c:pt idx="3">
                    <c:v>0</c:v>
                  </c:pt>
                  <c:pt idx="4">
                    <c:v>0</c:v>
                  </c:pt>
                </c:numCache>
              </c:numRef>
            </c:plus>
            <c:minus>
              <c:numRef>
                <c:f>'LLC misses'!$D$60:$D$64</c:f>
                <c:numCache>
                  <c:formatCode>General</c:formatCode>
                  <c:ptCount val="5"/>
                  <c:pt idx="0">
                    <c:v>1.1966666666666015E-2</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'LLC misses'!$A$21</c:f>
              <c:numCache>
                <c:formatCode>General</c:formatCode>
                <c:ptCount val="1"/>
                <c:pt idx="0">
                  <c:v>190</c:v>
                </c:pt>
              </c:numCache>
            </c:numRef>
          </c:cat>
          <c:val>
            <c:numRef>
              <c:f>'LLC misses'!$D$21</c:f>
              <c:numCache>
                <c:formatCode>0.0</c:formatCode>
                <c:ptCount val="1"/>
                <c:pt idx="0">
                  <c:v>22.053466666666665</c:v>
                </c:pt>
              </c:numCache>
            </c:numRef>
          </c:val>
          <c:extLst>
            <c:ext xmlns:c16="http://schemas.microsoft.com/office/drawing/2014/chart" uri="{C3380CC4-5D6E-409C-BE32-E72D297353CC}">
              <c16:uniqueId val="{00000002-2985-4656-BBDB-25DA35EF33BC}"/>
            </c:ext>
          </c:extLst>
        </c:ser>
        <c:ser>
          <c:idx val="3"/>
          <c:order val="3"/>
          <c:tx>
            <c:strRef>
              <c:f>'LLC misses'!$E$20</c:f>
              <c:strCache>
                <c:ptCount val="1"/>
                <c:pt idx="0">
                  <c:v>ISTree</c:v>
                </c:pt>
              </c:strCache>
            </c:strRef>
          </c:tx>
          <c:spPr>
            <a:solidFill>
              <a:schemeClr val="accent4"/>
            </a:solidFill>
            <a:ln w="76200">
              <a:noFill/>
            </a:ln>
            <a:effectLst/>
          </c:spPr>
          <c:invertIfNegative val="0"/>
          <c:errBars>
            <c:errBarType val="both"/>
            <c:errValType val="cust"/>
            <c:noEndCap val="1"/>
            <c:plus>
              <c:numRef>
                <c:f>'LLC misses'!$AG$60:$AG$64</c:f>
                <c:numCache>
                  <c:formatCode>General</c:formatCode>
                  <c:ptCount val="5"/>
                  <c:pt idx="0">
                    <c:v>6.0000000000002274E-3</c:v>
                  </c:pt>
                  <c:pt idx="1">
                    <c:v>0</c:v>
                  </c:pt>
                  <c:pt idx="2">
                    <c:v>0</c:v>
                  </c:pt>
                  <c:pt idx="3">
                    <c:v>0</c:v>
                  </c:pt>
                  <c:pt idx="4">
                    <c:v>0</c:v>
                  </c:pt>
                </c:numCache>
              </c:numRef>
            </c:plus>
            <c:minus>
              <c:numRef>
                <c:f>'LLC misses'!$E$60:$E$64</c:f>
                <c:numCache>
                  <c:formatCode>General</c:formatCode>
                  <c:ptCount val="5"/>
                  <c:pt idx="0">
                    <c:v>3.1999999999996476E-3</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'LLC misses'!$A$21</c:f>
              <c:numCache>
                <c:formatCode>General</c:formatCode>
                <c:ptCount val="1"/>
                <c:pt idx="0">
                  <c:v>190</c:v>
                </c:pt>
              </c:numCache>
            </c:numRef>
          </c:cat>
          <c:val>
            <c:numRef>
              <c:f>'LLC misses'!$E$21</c:f>
              <c:numCache>
                <c:formatCode>0.0</c:formatCode>
                <c:ptCount val="1"/>
                <c:pt idx="0">
                  <c:v>22.557199999999998</c:v>
                </c:pt>
              </c:numCache>
            </c:numRef>
          </c:val>
          <c:extLst>
            <c:ext xmlns:c16="http://schemas.microsoft.com/office/drawing/2014/chart" uri="{C3380CC4-5D6E-409C-BE32-E72D297353CC}">
              <c16:uniqueId val="{00000003-2985-4656-BBDB-25DA35EF33BC}"/>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LLC </a:t>
                </a:r>
                <a:r>
                  <a:rPr lang="en-US" sz="4000" baseline="0">
                    <a:solidFill>
                      <a:schemeClr val="bg1"/>
                    </a:solidFill>
                  </a:rPr>
                  <a:t>misses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5612204489992974E-3"/>
          <c:y val="7.9432837034465714E-2"/>
          <c:w val="0"/>
          <c:h val="0"/>
        </c:manualLayout>
      </c:layout>
      <c:barChart>
        <c:barDir val="col"/>
        <c:grouping val="clustered"/>
        <c:varyColors val="0"/>
        <c:ser>
          <c:idx val="2"/>
          <c:order val="0"/>
          <c:tx>
            <c:strRef>
              <c:f>'LLC misses'!$B$20</c:f>
              <c:strCache>
                <c:ptCount val="1"/>
                <c:pt idx="0">
                  <c:v>NM</c:v>
                </c:pt>
              </c:strCache>
            </c:strRef>
          </c:tx>
          <c:spPr>
            <a:solidFill>
              <a:schemeClr val="accent3"/>
            </a:solidFill>
            <a:ln>
              <a:noFill/>
            </a:ln>
            <a:effectLst/>
          </c:spPr>
          <c:invertIfNegative val="0"/>
          <c:errBars>
            <c:errBarType val="both"/>
            <c:errValType val="cust"/>
            <c:noEndCap val="1"/>
            <c:plus>
              <c:numRef>
                <c:f>'LLC misses'!$AD$60:$AD$64</c:f>
                <c:numCache>
                  <c:formatCode>General</c:formatCode>
                  <c:ptCount val="5"/>
                  <c:pt idx="0">
                    <c:v>1.4566666666667061E-2</c:v>
                  </c:pt>
                  <c:pt idx="1">
                    <c:v>0</c:v>
                  </c:pt>
                  <c:pt idx="2">
                    <c:v>0</c:v>
                  </c:pt>
                  <c:pt idx="3">
                    <c:v>0</c:v>
                  </c:pt>
                  <c:pt idx="4">
                    <c:v>0</c:v>
                  </c:pt>
                </c:numCache>
              </c:numRef>
            </c:plus>
            <c:minus>
              <c:numRef>
                <c:f>'LLC misses'!$B$60:$B$64</c:f>
                <c:numCache>
                  <c:formatCode>General</c:formatCode>
                  <c:ptCount val="5"/>
                  <c:pt idx="0">
                    <c:v>1.4633333333328835E-2</c:v>
                  </c:pt>
                  <c:pt idx="1">
                    <c:v>0</c:v>
                  </c:pt>
                  <c:pt idx="2">
                    <c:v>0</c:v>
                  </c:pt>
                  <c:pt idx="3">
                    <c:v>0</c:v>
                  </c:pt>
                  <c:pt idx="4">
                    <c:v>0</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190</c:v>
                </c:pt>
              </c:numCache>
            </c:numRef>
          </c:cat>
          <c:val>
            <c:numRef>
              <c:f>'LLC misses'!$B$21</c:f>
              <c:numCache>
                <c:formatCode>0.0</c:formatCode>
                <c:ptCount val="1"/>
                <c:pt idx="0">
                  <c:v>34.175233333333331</c:v>
                </c:pt>
              </c:numCache>
            </c:numRef>
          </c:val>
          <c:extLst>
            <c:ext xmlns:c16="http://schemas.microsoft.com/office/drawing/2014/chart" uri="{C3380CC4-5D6E-409C-BE32-E72D297353CC}">
              <c16:uniqueId val="{00000000-C784-4894-9D64-1735B9B462AA}"/>
            </c:ext>
          </c:extLst>
        </c:ser>
        <c:ser>
          <c:idx val="0"/>
          <c:order val="1"/>
          <c:tx>
            <c:strRef>
              <c:f>'LLC misses'!$C$20</c:f>
              <c:strCache>
                <c:ptCount val="1"/>
                <c:pt idx="0">
                  <c:v>BCCO</c:v>
                </c:pt>
              </c:strCache>
            </c:strRef>
          </c:tx>
          <c:spPr>
            <a:solidFill>
              <a:schemeClr val="accent1"/>
            </a:solidFill>
            <a:ln w="76200">
              <a:noFill/>
            </a:ln>
            <a:effectLst/>
          </c:spPr>
          <c:invertIfNegative val="0"/>
          <c:errBars>
            <c:errBarType val="both"/>
            <c:errValType val="cust"/>
            <c:noEndCap val="1"/>
            <c:plus>
              <c:numRef>
                <c:f>'LLC misses'!$AE$60:$AE$64</c:f>
                <c:numCache>
                  <c:formatCode>General</c:formatCode>
                  <c:ptCount val="5"/>
                  <c:pt idx="0">
                    <c:v>3.1333333333307678E-3</c:v>
                  </c:pt>
                  <c:pt idx="1">
                    <c:v>0</c:v>
                  </c:pt>
                  <c:pt idx="2">
                    <c:v>0</c:v>
                  </c:pt>
                  <c:pt idx="3">
                    <c:v>0</c:v>
                  </c:pt>
                  <c:pt idx="4">
                    <c:v>0</c:v>
                  </c:pt>
                </c:numCache>
              </c:numRef>
            </c:plus>
            <c:minus>
              <c:numRef>
                <c:f>'LLC misses'!$C$60:$C$64</c:f>
                <c:numCache>
                  <c:formatCode>General</c:formatCode>
                  <c:ptCount val="5"/>
                  <c:pt idx="0">
                    <c:v>2.2666666666708579E-3</c:v>
                  </c:pt>
                  <c:pt idx="1">
                    <c:v>0</c:v>
                  </c:pt>
                  <c:pt idx="2">
                    <c:v>0</c:v>
                  </c:pt>
                  <c:pt idx="3">
                    <c:v>0</c:v>
                  </c:pt>
                  <c:pt idx="4">
                    <c:v>0</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190</c:v>
                </c:pt>
              </c:numCache>
            </c:numRef>
          </c:cat>
          <c:val>
            <c:numRef>
              <c:f>'LLC misses'!$C$21</c:f>
              <c:numCache>
                <c:formatCode>0.0</c:formatCode>
                <c:ptCount val="1"/>
                <c:pt idx="0">
                  <c:v>33.47976666666667</c:v>
                </c:pt>
              </c:numCache>
            </c:numRef>
          </c:val>
          <c:extLst>
            <c:ext xmlns:c16="http://schemas.microsoft.com/office/drawing/2014/chart" uri="{C3380CC4-5D6E-409C-BE32-E72D297353CC}">
              <c16:uniqueId val="{00000001-C784-4894-9D64-1735B9B462AA}"/>
            </c:ext>
          </c:extLst>
        </c:ser>
        <c:ser>
          <c:idx val="1"/>
          <c:order val="2"/>
          <c:tx>
            <c:strRef>
              <c:f>'LLC misses'!$D$20</c:f>
              <c:strCache>
                <c:ptCount val="1"/>
                <c:pt idx="0">
                  <c:v>ABTree</c:v>
                </c:pt>
              </c:strCache>
            </c:strRef>
          </c:tx>
          <c:spPr>
            <a:solidFill>
              <a:schemeClr val="accent2"/>
            </a:solidFill>
            <a:ln w="76200">
              <a:noFill/>
            </a:ln>
            <a:effectLst/>
          </c:spPr>
          <c:invertIfNegative val="0"/>
          <c:errBars>
            <c:errBarType val="both"/>
            <c:errValType val="cust"/>
            <c:noEndCap val="1"/>
            <c:plus>
              <c:numRef>
                <c:f>'LLC misses'!$AF$60:$AF$64</c:f>
                <c:numCache>
                  <c:formatCode>General</c:formatCode>
                  <c:ptCount val="5"/>
                  <c:pt idx="0">
                    <c:v>8.3333333333364124E-3</c:v>
                  </c:pt>
                  <c:pt idx="1">
                    <c:v>0</c:v>
                  </c:pt>
                  <c:pt idx="2">
                    <c:v>0</c:v>
                  </c:pt>
                  <c:pt idx="3">
                    <c:v>0</c:v>
                  </c:pt>
                  <c:pt idx="4">
                    <c:v>0</c:v>
                  </c:pt>
                </c:numCache>
              </c:numRef>
            </c:plus>
            <c:minus>
              <c:numRef>
                <c:f>'LLC misses'!$D$60:$D$64</c:f>
                <c:numCache>
                  <c:formatCode>General</c:formatCode>
                  <c:ptCount val="5"/>
                  <c:pt idx="0">
                    <c:v>1.1966666666666015E-2</c:v>
                  </c:pt>
                  <c:pt idx="1">
                    <c:v>0</c:v>
                  </c:pt>
                  <c:pt idx="2">
                    <c:v>0</c:v>
                  </c:pt>
                  <c:pt idx="3">
                    <c:v>0</c:v>
                  </c:pt>
                  <c:pt idx="4">
                    <c:v>0</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190</c:v>
                </c:pt>
              </c:numCache>
            </c:numRef>
          </c:cat>
          <c:val>
            <c:numRef>
              <c:f>'LLC misses'!$D$21</c:f>
              <c:numCache>
                <c:formatCode>0.0</c:formatCode>
                <c:ptCount val="1"/>
                <c:pt idx="0">
                  <c:v>22.053466666666665</c:v>
                </c:pt>
              </c:numCache>
            </c:numRef>
          </c:val>
          <c:extLst>
            <c:ext xmlns:c16="http://schemas.microsoft.com/office/drawing/2014/chart" uri="{C3380CC4-5D6E-409C-BE32-E72D297353CC}">
              <c16:uniqueId val="{00000002-C784-4894-9D64-1735B9B462AA}"/>
            </c:ext>
          </c:extLst>
        </c:ser>
        <c:ser>
          <c:idx val="3"/>
          <c:order val="3"/>
          <c:tx>
            <c:strRef>
              <c:f>'LLC misses'!$E$20</c:f>
              <c:strCache>
                <c:ptCount val="1"/>
                <c:pt idx="0">
                  <c:v>ISTree</c:v>
                </c:pt>
              </c:strCache>
            </c:strRef>
          </c:tx>
          <c:spPr>
            <a:solidFill>
              <a:schemeClr val="accent4"/>
            </a:solidFill>
            <a:ln w="76200">
              <a:noFill/>
            </a:ln>
            <a:effectLst/>
          </c:spPr>
          <c:invertIfNegative val="0"/>
          <c:errBars>
            <c:errBarType val="both"/>
            <c:errValType val="cust"/>
            <c:noEndCap val="1"/>
            <c:plus>
              <c:numRef>
                <c:f>'LLC misses'!$AG$60:$AG$64</c:f>
                <c:numCache>
                  <c:formatCode>General</c:formatCode>
                  <c:ptCount val="5"/>
                  <c:pt idx="0">
                    <c:v>6.0000000000002274E-3</c:v>
                  </c:pt>
                  <c:pt idx="1">
                    <c:v>0</c:v>
                  </c:pt>
                  <c:pt idx="2">
                    <c:v>0</c:v>
                  </c:pt>
                  <c:pt idx="3">
                    <c:v>0</c:v>
                  </c:pt>
                  <c:pt idx="4">
                    <c:v>0</c:v>
                  </c:pt>
                </c:numCache>
              </c:numRef>
            </c:plus>
            <c:minus>
              <c:numRef>
                <c:f>'LLC misses'!$E$60:$E$64</c:f>
                <c:numCache>
                  <c:formatCode>General</c:formatCode>
                  <c:ptCount val="5"/>
                  <c:pt idx="0">
                    <c:v>3.1999999999996476E-3</c:v>
                  </c:pt>
                  <c:pt idx="1">
                    <c:v>0</c:v>
                  </c:pt>
                  <c:pt idx="2">
                    <c:v>0</c:v>
                  </c:pt>
                  <c:pt idx="3">
                    <c:v>0</c:v>
                  </c:pt>
                  <c:pt idx="4">
                    <c:v>0</c:v>
                  </c:pt>
                </c:numCache>
              </c:numRef>
            </c:minus>
            <c:spPr>
              <a:noFill/>
              <a:ln w="127000" cap="flat" cmpd="sng" algn="ctr">
                <a:noFill/>
                <a:prstDash val="solid"/>
                <a:round/>
                <a:headEnd type="none" w="med" len="med"/>
                <a:tailEnd type="none" w="med" len="med"/>
              </a:ln>
              <a:effectLst/>
            </c:spPr>
          </c:errBars>
          <c:cat>
            <c:numRef>
              <c:f>'LLC misses'!$A$21</c:f>
              <c:numCache>
                <c:formatCode>General</c:formatCode>
                <c:ptCount val="1"/>
                <c:pt idx="0">
                  <c:v>190</c:v>
                </c:pt>
              </c:numCache>
            </c:numRef>
          </c:cat>
          <c:val>
            <c:numRef>
              <c:f>'LLC misses'!$E$21</c:f>
              <c:numCache>
                <c:formatCode>0.0</c:formatCode>
                <c:ptCount val="1"/>
                <c:pt idx="0">
                  <c:v>22.557199999999998</c:v>
                </c:pt>
              </c:numCache>
            </c:numRef>
          </c:val>
          <c:extLst>
            <c:ext xmlns:c16="http://schemas.microsoft.com/office/drawing/2014/chart" uri="{C3380CC4-5D6E-409C-BE32-E72D297353CC}">
              <c16:uniqueId val="{00000003-C784-4894-9D64-1735B9B462AA}"/>
            </c:ext>
          </c:extLst>
        </c:ser>
        <c:dLbls>
          <c:showLegendKey val="0"/>
          <c:showVal val="0"/>
          <c:showCatName val="0"/>
          <c:showSerName val="0"/>
          <c:showPercent val="0"/>
          <c:showBubbleSize val="0"/>
        </c:dLbls>
        <c:gapWidth val="500"/>
        <c:overlap val="100"/>
        <c:axId val="568041416"/>
        <c:axId val="568046120"/>
      </c:barChart>
      <c:catAx>
        <c:axId val="568041416"/>
        <c:scaling>
          <c:orientation val="minMax"/>
        </c:scaling>
        <c:delete val="1"/>
        <c:axPos val="b"/>
        <c:numFmt formatCode="General" sourceLinked="1"/>
        <c:majorTickMark val="none"/>
        <c:minorTickMark val="none"/>
        <c:tickLblPos val="nextTo"/>
        <c:crossAx val="568046120"/>
        <c:crossesAt val="0"/>
        <c:auto val="1"/>
        <c:lblAlgn val="ctr"/>
        <c:lblOffset val="0"/>
        <c:noMultiLvlLbl val="1"/>
      </c:catAx>
      <c:valAx>
        <c:axId val="568046120"/>
        <c:scaling>
          <c:orientation val="minMax"/>
          <c:min val="0"/>
        </c:scaling>
        <c:delete val="1"/>
        <c:axPos val="l"/>
        <c:majorGridlines>
          <c:spPr>
            <a:ln w="38100" cap="flat" cmpd="sng" algn="ctr">
              <a:noFill/>
              <a:round/>
            </a:ln>
            <a:effectLst/>
          </c:spPr>
        </c:majorGridlines>
        <c:numFmt formatCode="#,##0.0" sourceLinked="0"/>
        <c:majorTickMark val="none"/>
        <c:minorTickMark val="none"/>
        <c:tickLblPos val="nextTo"/>
        <c:crossAx val="568041416"/>
        <c:crosses val="autoZero"/>
        <c:crossBetween val="between"/>
      </c:valAx>
      <c:spPr>
        <a:noFill/>
        <a:ln w="38100">
          <a:noFill/>
        </a:ln>
        <a:effectLst/>
      </c:spPr>
    </c:plotArea>
    <c:legend>
      <c:legendPos val="t"/>
      <c:overlay val="0"/>
      <c:spPr>
        <a:noFill/>
        <a:ln>
          <a:no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(no)'!$B$21:$B$25</c:f>
              <c:numCache>
                <c:formatCode>0</c:formatCode>
                <c:ptCount val="5"/>
                <c:pt idx="0">
                  <c:v>81.166666666666671</c:v>
                </c:pt>
                <c:pt idx="1">
                  <c:v>0</c:v>
                </c:pt>
                <c:pt idx="2">
                  <c:v>0</c:v>
                </c:pt>
                <c:pt idx="3">
                  <c:v>0</c:v>
                </c:pt>
                <c:pt idx="4">
                  <c:v>0</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(no)'!$C$21:$C$25</c:f>
              <c:numCache>
                <c:formatCode>0</c:formatCode>
                <c:ptCount val="5"/>
                <c:pt idx="0">
                  <c:v>37</c:v>
                </c:pt>
                <c:pt idx="1">
                  <c:v>0</c:v>
                </c:pt>
                <c:pt idx="2">
                  <c:v>0</c:v>
                </c:pt>
                <c:pt idx="3">
                  <c:v>0</c:v>
                </c:pt>
                <c:pt idx="4">
                  <c:v>0</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(no)'!$D$21:$D$25</c:f>
              <c:numCache>
                <c:formatCode>0</c:formatCode>
                <c:ptCount val="5"/>
                <c:pt idx="0">
                  <c:v>12</c:v>
                </c:pt>
                <c:pt idx="1">
                  <c:v>0</c:v>
                </c:pt>
                <c:pt idx="2">
                  <c:v>0</c:v>
                </c:pt>
                <c:pt idx="3">
                  <c:v>0</c:v>
                </c:pt>
                <c:pt idx="4">
                  <c:v>0</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(no)'!$E$21:$E$25</c:f>
              <c:numCache>
                <c:formatCode>0</c:formatCode>
                <c:ptCount val="5"/>
                <c:pt idx="0">
                  <c:v>7</c:v>
                </c:pt>
                <c:pt idx="1">
                  <c:v>0</c:v>
                </c:pt>
                <c:pt idx="2">
                  <c:v>0</c:v>
                </c:pt>
                <c:pt idx="3">
                  <c:v>0</c:v>
                </c:pt>
                <c:pt idx="4">
                  <c:v>0</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(no)'!$B$21:$B$25</c:f>
              <c:numCache>
                <c:formatCode>0</c:formatCode>
                <c:ptCount val="5"/>
                <c:pt idx="0">
                  <c:v>81.166666666666671</c:v>
                </c:pt>
                <c:pt idx="1">
                  <c:v>0</c:v>
                </c:pt>
                <c:pt idx="2">
                  <c:v>0</c:v>
                </c:pt>
                <c:pt idx="3">
                  <c:v>0</c:v>
                </c:pt>
                <c:pt idx="4">
                  <c:v>0</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(no)'!$C$21:$C$25</c:f>
              <c:numCache>
                <c:formatCode>0</c:formatCode>
                <c:ptCount val="5"/>
                <c:pt idx="0">
                  <c:v>37</c:v>
                </c:pt>
                <c:pt idx="1">
                  <c:v>0</c:v>
                </c:pt>
                <c:pt idx="2">
                  <c:v>0</c:v>
                </c:pt>
                <c:pt idx="3">
                  <c:v>0</c:v>
                </c:pt>
                <c:pt idx="4">
                  <c:v>0</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(no)'!$D$21:$D$25</c:f>
              <c:numCache>
                <c:formatCode>0</c:formatCode>
                <c:ptCount val="5"/>
                <c:pt idx="0">
                  <c:v>12</c:v>
                </c:pt>
                <c:pt idx="1">
                  <c:v>0</c:v>
                </c:pt>
                <c:pt idx="2">
                  <c:v>0</c:v>
                </c:pt>
                <c:pt idx="3">
                  <c:v>0</c:v>
                </c:pt>
                <c:pt idx="4">
                  <c:v>0</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190</c:v>
                </c:pt>
                <c:pt idx="1">
                  <c:v>0</c:v>
                </c:pt>
                <c:pt idx="2">
                  <c:v>0</c:v>
                </c:pt>
                <c:pt idx="3">
                  <c:v>0</c:v>
                </c:pt>
                <c:pt idx="4">
                  <c:v>0</c:v>
                </c:pt>
              </c:numCache>
            </c:numRef>
          </c:cat>
          <c:val>
            <c:numRef>
              <c:f>'height (no)'!$E$21:$E$25</c:f>
              <c:numCache>
                <c:formatCode>0</c:formatCode>
                <c:ptCount val="5"/>
                <c:pt idx="0">
                  <c:v>7</c:v>
                </c:pt>
                <c:pt idx="1">
                  <c:v>0</c:v>
                </c:pt>
                <c:pt idx="2">
                  <c:v>0</c:v>
                </c:pt>
                <c:pt idx="3">
                  <c:v>0</c:v>
                </c:pt>
                <c:pt idx="4">
                  <c:v>0</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(no)'!$B$21:$B$25</c:f>
              <c:numCache>
                <c:formatCode>0</c:formatCode>
                <c:ptCount val="5"/>
                <c:pt idx="0">
                  <c:v>33738.833333333336</c:v>
                </c:pt>
                <c:pt idx="1">
                  <c:v>0</c:v>
                </c:pt>
                <c:pt idx="2">
                  <c:v>0</c:v>
                </c:pt>
                <c:pt idx="3">
                  <c:v>0</c:v>
                </c:pt>
                <c:pt idx="4">
                  <c:v>0</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(no)'!$C$21:$C$25</c:f>
              <c:numCache>
                <c:formatCode>0</c:formatCode>
                <c:ptCount val="5"/>
                <c:pt idx="0">
                  <c:v>32776.333333333336</c:v>
                </c:pt>
                <c:pt idx="1">
                  <c:v>0</c:v>
                </c:pt>
                <c:pt idx="2">
                  <c:v>0</c:v>
                </c:pt>
                <c:pt idx="3">
                  <c:v>0</c:v>
                </c:pt>
                <c:pt idx="4">
                  <c:v>0</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(no)'!$D$21:$D$25</c:f>
              <c:numCache>
                <c:formatCode>0</c:formatCode>
                <c:ptCount val="5"/>
                <c:pt idx="0">
                  <c:v>61273.166666666664</c:v>
                </c:pt>
                <c:pt idx="1">
                  <c:v>0</c:v>
                </c:pt>
                <c:pt idx="2">
                  <c:v>0</c:v>
                </c:pt>
                <c:pt idx="3">
                  <c:v>0</c:v>
                </c:pt>
                <c:pt idx="4">
                  <c:v>0</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(no)'!$E$21:$E$25</c:f>
              <c:numCache>
                <c:formatCode>0</c:formatCode>
                <c:ptCount val="5"/>
                <c:pt idx="0">
                  <c:v>9156.5</c:v>
                </c:pt>
                <c:pt idx="1">
                  <c:v>0</c:v>
                </c:pt>
                <c:pt idx="2">
                  <c:v>0</c:v>
                </c:pt>
                <c:pt idx="3">
                  <c:v>0</c:v>
                </c:pt>
                <c:pt idx="4">
                  <c:v>0</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(no)'!$B$21:$B$25</c:f>
              <c:numCache>
                <c:formatCode>0</c:formatCode>
                <c:ptCount val="5"/>
                <c:pt idx="0">
                  <c:v>33738.833333333336</c:v>
                </c:pt>
                <c:pt idx="1">
                  <c:v>0</c:v>
                </c:pt>
                <c:pt idx="2">
                  <c:v>0</c:v>
                </c:pt>
                <c:pt idx="3">
                  <c:v>0</c:v>
                </c:pt>
                <c:pt idx="4">
                  <c:v>0</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(no)'!$C$21:$C$25</c:f>
              <c:numCache>
                <c:formatCode>0</c:formatCode>
                <c:ptCount val="5"/>
                <c:pt idx="0">
                  <c:v>32776.333333333336</c:v>
                </c:pt>
                <c:pt idx="1">
                  <c:v>0</c:v>
                </c:pt>
                <c:pt idx="2">
                  <c:v>0</c:v>
                </c:pt>
                <c:pt idx="3">
                  <c:v>0</c:v>
                </c:pt>
                <c:pt idx="4">
                  <c:v>0</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(no)'!$D$21:$D$25</c:f>
              <c:numCache>
                <c:formatCode>0</c:formatCode>
                <c:ptCount val="5"/>
                <c:pt idx="0">
                  <c:v>61273.166666666664</c:v>
                </c:pt>
                <c:pt idx="1">
                  <c:v>0</c:v>
                </c:pt>
                <c:pt idx="2">
                  <c:v>0</c:v>
                </c:pt>
                <c:pt idx="3">
                  <c:v>0</c:v>
                </c:pt>
                <c:pt idx="4">
                  <c:v>0</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190</c:v>
                </c:pt>
                <c:pt idx="1">
                  <c:v>0</c:v>
                </c:pt>
                <c:pt idx="2">
                  <c:v>0</c:v>
                </c:pt>
                <c:pt idx="3">
                  <c:v>0</c:v>
                </c:pt>
                <c:pt idx="4">
                  <c:v>0</c:v>
                </c:pt>
              </c:numCache>
            </c:numRef>
          </c:cat>
          <c:val>
            <c:numRef>
              <c:f>'prefilling (no)'!$E$21:$E$25</c:f>
              <c:numCache>
                <c:formatCode>0</c:formatCode>
                <c:ptCount val="5"/>
                <c:pt idx="0">
                  <c:v>9156.5</c:v>
                </c:pt>
                <c:pt idx="1">
                  <c:v>0</c:v>
                </c:pt>
                <c:pt idx="2">
                  <c:v>0</c:v>
                </c:pt>
                <c:pt idx="3">
                  <c:v>0</c:v>
                </c:pt>
                <c:pt idx="4">
                  <c:v>0</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1596.7833333333328</c:v>
                </c:pt>
                <c:pt idx="1">
                  <c:v>1687.0233333333326</c:v>
                </c:pt>
                <c:pt idx="2">
                  <c:v>1526.2283333333326</c:v>
                </c:pt>
                <c:pt idx="3">
                  <c:v>1017.0849999999996</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12956.966666666667</c:v>
                </c:pt>
                <c:pt idx="1">
                  <c:v>10346.01</c:v>
                </c:pt>
                <c:pt idx="2">
                  <c:v>5108.6233333333339</c:v>
                </c:pt>
                <c:pt idx="3">
                  <c:v>4090.9766666666669</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1596.7833333333328</c:v>
                </c:pt>
                <c:pt idx="1">
                  <c:v>1687.0233333333326</c:v>
                </c:pt>
                <c:pt idx="2">
                  <c:v>1526.2283333333326</c:v>
                </c:pt>
                <c:pt idx="3">
                  <c:v>1017.0849999999996</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12956.966666666667</c:v>
                </c:pt>
                <c:pt idx="1">
                  <c:v>10346.01</c:v>
                </c:pt>
                <c:pt idx="2">
                  <c:v>5108.6233333333339</c:v>
                </c:pt>
                <c:pt idx="3">
                  <c:v>4090.9766666666669</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261671480570344"/>
          <c:y val="6.403313842900904E-2"/>
          <c:w val="0.83555941465323724"/>
          <c:h val="0.69773559123385476"/>
        </c:manualLayout>
      </c:layout>
      <c:barChart>
        <c:barDir val="col"/>
        <c:grouping val="clustered"/>
        <c:varyColors val="0"/>
        <c:ser>
          <c:idx val="2"/>
          <c:order val="0"/>
          <c:tx>
            <c:strRef>
              <c:f>'avg key depth'!$B$20</c:f>
              <c:strCache>
                <c:ptCount val="1"/>
                <c:pt idx="0">
                  <c:v>NM</c:v>
                </c:pt>
              </c:strCache>
            </c:strRef>
          </c:tx>
          <c:spPr>
            <a:solidFill>
              <a:schemeClr val="accent3"/>
            </a:solidFill>
            <a:ln>
              <a:noFill/>
            </a:ln>
            <a:effectLst/>
          </c:spPr>
          <c:invertIfNegative val="0"/>
          <c:errBars>
            <c:errBarType val="both"/>
            <c:errValType val="cust"/>
            <c:noEndCap val="1"/>
            <c:plus>
              <c:numRef>
                <c:f>'avg key depth'!$AA$47:$AA$50</c:f>
                <c:numCache>
                  <c:formatCode>General</c:formatCode>
                  <c:ptCount val="4"/>
                  <c:pt idx="0">
                    <c:v>0.11836666666665963</c:v>
                  </c:pt>
                  <c:pt idx="1">
                    <c:v>0</c:v>
                  </c:pt>
                  <c:pt idx="2">
                    <c:v>0</c:v>
                  </c:pt>
                  <c:pt idx="3">
                    <c:v>0</c:v>
                  </c:pt>
                </c:numCache>
              </c:numRef>
            </c:plus>
            <c:minus>
              <c:numRef>
                <c:f>'avg key depth'!$B$47:$B$50</c:f>
                <c:numCache>
                  <c:formatCode>General</c:formatCode>
                  <c:ptCount val="4"/>
                  <c:pt idx="0">
                    <c:v>0.18033333333333701</c:v>
                  </c:pt>
                  <c:pt idx="1">
                    <c:v>0</c:v>
                  </c:pt>
                  <c:pt idx="2">
                    <c:v>0</c:v>
                  </c:pt>
                  <c:pt idx="3">
                    <c:v>0</c:v>
                  </c:pt>
                </c:numCache>
              </c:numRef>
            </c:minus>
            <c:spPr>
              <a:noFill/>
              <a:ln w="127000" cap="flat" cmpd="sng" algn="ctr">
                <a:solidFill>
                  <a:srgbClr val="000000"/>
                </a:solidFill>
                <a:prstDash val="solid"/>
                <a:round/>
                <a:headEnd type="none" w="med" len="med"/>
                <a:tailEnd type="none" w="med" len="med"/>
              </a:ln>
              <a:effectLst/>
            </c:spPr>
          </c:errBars>
          <c:cat>
            <c:strRef>
              <c:f>'avg key depth'!$A$21</c:f>
              <c:strCache>
                <c:ptCount val="1"/>
                <c:pt idx="0">
                  <c:v>2x10^9</c:v>
                </c:pt>
              </c:strCache>
            </c:strRef>
          </c:cat>
          <c:val>
            <c:numRef>
              <c:f>'avg key depth'!$B$21</c:f>
              <c:numCache>
                <c:formatCode>General</c:formatCode>
                <c:ptCount val="1"/>
                <c:pt idx="0">
                  <c:v>40.57233333333334</c:v>
                </c:pt>
              </c:numCache>
            </c:numRef>
          </c:val>
          <c:extLst>
            <c:ext xmlns:c16="http://schemas.microsoft.com/office/drawing/2014/chart" uri="{C3380CC4-5D6E-409C-BE32-E72D297353CC}">
              <c16:uniqueId val="{00000000-5658-45BE-A5DF-AD99D57E6D72}"/>
            </c:ext>
          </c:extLst>
        </c:ser>
        <c:ser>
          <c:idx val="0"/>
          <c:order val="1"/>
          <c:tx>
            <c:strRef>
              <c:f>'avg key depth'!$C$20</c:f>
              <c:strCache>
                <c:ptCount val="1"/>
                <c:pt idx="0">
                  <c:v>BCCO</c:v>
                </c:pt>
              </c:strCache>
            </c:strRef>
          </c:tx>
          <c:spPr>
            <a:solidFill>
              <a:schemeClr val="accent1"/>
            </a:solidFill>
            <a:ln w="76200">
              <a:noFill/>
            </a:ln>
            <a:effectLst/>
          </c:spPr>
          <c:invertIfNegative val="0"/>
          <c:errBars>
            <c:errBarType val="both"/>
            <c:errValType val="cust"/>
            <c:noEndCap val="1"/>
            <c:plus>
              <c:numRef>
                <c:f>'avg key depth'!$AB$47:$AB$50</c:f>
                <c:numCache>
                  <c:formatCode>General</c:formatCode>
                  <c:ptCount val="4"/>
                  <c:pt idx="0">
                    <c:v>0.24738333333333173</c:v>
                  </c:pt>
                  <c:pt idx="1">
                    <c:v>0</c:v>
                  </c:pt>
                  <c:pt idx="2">
                    <c:v>0</c:v>
                  </c:pt>
                  <c:pt idx="3">
                    <c:v>0</c:v>
                  </c:pt>
                </c:numCache>
              </c:numRef>
            </c:plus>
            <c:minus>
              <c:numRef>
                <c:f>'avg key depth'!$C$47:$C$50</c:f>
                <c:numCache>
                  <c:formatCode>General</c:formatCode>
                  <c:ptCount val="4"/>
                  <c:pt idx="0">
                    <c:v>0.2563166666666703</c:v>
                  </c:pt>
                  <c:pt idx="1">
                    <c:v>0</c:v>
                  </c:pt>
                  <c:pt idx="2">
                    <c:v>0</c:v>
                  </c:pt>
                  <c:pt idx="3">
                    <c:v>0</c:v>
                  </c:pt>
                </c:numCache>
              </c:numRef>
            </c:minus>
            <c:spPr>
              <a:noFill/>
              <a:ln w="127000" cap="flat" cmpd="sng" algn="ctr">
                <a:solidFill>
                  <a:srgbClr val="000000"/>
                </a:solidFill>
                <a:prstDash val="solid"/>
                <a:round/>
                <a:headEnd type="none" w="med" len="med"/>
                <a:tailEnd type="none" w="med" len="med"/>
              </a:ln>
              <a:effectLst/>
            </c:spPr>
          </c:errBars>
          <c:cat>
            <c:strRef>
              <c:f>'avg key depth'!$A$21</c:f>
              <c:strCache>
                <c:ptCount val="1"/>
                <c:pt idx="0">
                  <c:v>2x10^9</c:v>
                </c:pt>
              </c:strCache>
            </c:strRef>
          </c:cat>
          <c:val>
            <c:numRef>
              <c:f>'avg key depth'!$C$21</c:f>
              <c:numCache>
                <c:formatCode>General</c:formatCode>
                <c:ptCount val="1"/>
                <c:pt idx="0">
                  <c:v>29.732516666666669</c:v>
                </c:pt>
              </c:numCache>
            </c:numRef>
          </c:val>
          <c:extLst>
            <c:ext xmlns:c16="http://schemas.microsoft.com/office/drawing/2014/chart" uri="{C3380CC4-5D6E-409C-BE32-E72D297353CC}">
              <c16:uniqueId val="{00000001-5658-45BE-A5DF-AD99D57E6D72}"/>
            </c:ext>
          </c:extLst>
        </c:ser>
        <c:ser>
          <c:idx val="1"/>
          <c:order val="2"/>
          <c:tx>
            <c:strRef>
              <c:f>'avg key depth'!$D$20</c:f>
              <c:strCache>
                <c:ptCount val="1"/>
                <c:pt idx="0">
                  <c:v>ABTree</c:v>
                </c:pt>
              </c:strCache>
            </c:strRef>
          </c:tx>
          <c:spPr>
            <a:solidFill>
              <a:schemeClr val="accent2"/>
            </a:solidFill>
            <a:ln w="76200">
              <a:noFill/>
            </a:ln>
            <a:effectLst/>
          </c:spPr>
          <c:invertIfNegative val="0"/>
          <c:errBars>
            <c:errBarType val="both"/>
            <c:errValType val="cust"/>
            <c:noEndCap val="1"/>
            <c:plus>
              <c:numRef>
                <c:f>'avg key depth'!$AC$47:$AC$50</c:f>
                <c:numCache>
                  <c:formatCode>General</c:formatCode>
                  <c:ptCount val="4"/>
                  <c:pt idx="0">
                    <c:v>0</c:v>
                  </c:pt>
                  <c:pt idx="1">
                    <c:v>0</c:v>
                  </c:pt>
                  <c:pt idx="2">
                    <c:v>0</c:v>
                  </c:pt>
                  <c:pt idx="3">
                    <c:v>0</c:v>
                  </c:pt>
                </c:numCache>
              </c:numRef>
            </c:plus>
            <c:minus>
              <c:numRef>
                <c:f>'avg key depth'!$D$47:$D$50</c:f>
                <c:numCache>
                  <c:formatCode>General</c:formatCode>
                  <c:ptCount val="4"/>
                  <c:pt idx="0">
                    <c:v>0</c:v>
                  </c:pt>
                  <c:pt idx="1">
                    <c:v>0</c:v>
                  </c:pt>
                  <c:pt idx="2">
                    <c:v>0</c:v>
                  </c:pt>
                  <c:pt idx="3">
                    <c:v>0</c:v>
                  </c:pt>
                </c:numCache>
              </c:numRef>
            </c:minus>
            <c:spPr>
              <a:noFill/>
              <a:ln w="127000" cap="flat" cmpd="sng" algn="ctr">
                <a:solidFill>
                  <a:srgbClr val="000000"/>
                </a:solidFill>
                <a:prstDash val="solid"/>
                <a:round/>
                <a:headEnd type="none" w="med" len="med"/>
                <a:tailEnd type="none" w="med" len="med"/>
              </a:ln>
              <a:effectLst/>
            </c:spPr>
          </c:errBars>
          <c:cat>
            <c:strRef>
              <c:f>'avg key depth'!$A$21</c:f>
              <c:strCache>
                <c:ptCount val="1"/>
                <c:pt idx="0">
                  <c:v>2x10^9</c:v>
                </c:pt>
              </c:strCache>
            </c:strRef>
          </c:cat>
          <c:val>
            <c:numRef>
              <c:f>'avg key depth'!$D$21</c:f>
              <c:numCache>
                <c:formatCode>General</c:formatCode>
                <c:ptCount val="1"/>
                <c:pt idx="0">
                  <c:v>11</c:v>
                </c:pt>
              </c:numCache>
            </c:numRef>
          </c:val>
          <c:extLst>
            <c:ext xmlns:c16="http://schemas.microsoft.com/office/drawing/2014/chart" uri="{C3380CC4-5D6E-409C-BE32-E72D297353CC}">
              <c16:uniqueId val="{00000002-5658-45BE-A5DF-AD99D57E6D72}"/>
            </c:ext>
          </c:extLst>
        </c:ser>
        <c:ser>
          <c:idx val="3"/>
          <c:order val="3"/>
          <c:tx>
            <c:strRef>
              <c:f>'avg key depth'!$E$20</c:f>
              <c:strCache>
                <c:ptCount val="1"/>
                <c:pt idx="0">
                  <c:v>ISTree</c:v>
                </c:pt>
              </c:strCache>
            </c:strRef>
          </c:tx>
          <c:spPr>
            <a:solidFill>
              <a:schemeClr val="accent4"/>
            </a:solidFill>
            <a:ln w="76200">
              <a:noFill/>
            </a:ln>
            <a:effectLst/>
          </c:spPr>
          <c:invertIfNegative val="0"/>
          <c:errBars>
            <c:errBarType val="both"/>
            <c:errValType val="cust"/>
            <c:noEndCap val="1"/>
            <c:plus>
              <c:numRef>
                <c:f>'avg key depth'!$AD$47:$AD$50</c:f>
                <c:numCache>
                  <c:formatCode>General</c:formatCode>
                  <c:ptCount val="4"/>
                  <c:pt idx="0">
                    <c:v>1.4500000000001734E-3</c:v>
                  </c:pt>
                  <c:pt idx="1">
                    <c:v>0</c:v>
                  </c:pt>
                  <c:pt idx="2">
                    <c:v>0</c:v>
                  </c:pt>
                  <c:pt idx="3">
                    <c:v>0</c:v>
                  </c:pt>
                </c:numCache>
              </c:numRef>
            </c:plus>
            <c:minus>
              <c:numRef>
                <c:f>'avg key depth'!$E$47:$E$50</c:f>
                <c:numCache>
                  <c:formatCode>General</c:formatCode>
                  <c:ptCount val="4"/>
                  <c:pt idx="0">
                    <c:v>1.5200000000001879E-3</c:v>
                  </c:pt>
                  <c:pt idx="1">
                    <c:v>0</c:v>
                  </c:pt>
                  <c:pt idx="2">
                    <c:v>0</c:v>
                  </c:pt>
                  <c:pt idx="3">
                    <c:v>0</c:v>
                  </c:pt>
                </c:numCache>
              </c:numRef>
            </c:minus>
            <c:spPr>
              <a:noFill/>
              <a:ln w="127000" cap="flat" cmpd="sng" algn="ctr">
                <a:solidFill>
                  <a:srgbClr val="000000"/>
                </a:solidFill>
                <a:prstDash val="solid"/>
                <a:round/>
                <a:headEnd type="none" w="med" len="med"/>
                <a:tailEnd type="none" w="med" len="med"/>
              </a:ln>
              <a:effectLst/>
            </c:spPr>
          </c:errBars>
          <c:cat>
            <c:strRef>
              <c:f>'avg key depth'!$A$21</c:f>
              <c:strCache>
                <c:ptCount val="1"/>
                <c:pt idx="0">
                  <c:v>2x10^9</c:v>
                </c:pt>
              </c:strCache>
            </c:strRef>
          </c:cat>
          <c:val>
            <c:numRef>
              <c:f>'avg key depth'!$E$21</c:f>
              <c:numCache>
                <c:formatCode>General</c:formatCode>
                <c:ptCount val="1"/>
                <c:pt idx="0">
                  <c:v>4.0861200000000002</c:v>
                </c:pt>
              </c:numCache>
            </c:numRef>
          </c:val>
          <c:extLst>
            <c:ext xmlns:c16="http://schemas.microsoft.com/office/drawing/2014/chart" uri="{C3380CC4-5D6E-409C-BE32-E72D297353CC}">
              <c16:uniqueId val="{00000003-5658-45BE-A5DF-AD99D57E6D72}"/>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size of key range</a:t>
                </a: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average key depth</a:t>
                </a:r>
                <a:endParaRPr lang="en-US" sz="4000">
                  <a:solidFill>
                    <a:schemeClr val="bg1"/>
                  </a:solidFill>
                </a:endParaRPr>
              </a:p>
            </c:rich>
          </c:tx>
          <c:layout>
            <c:manualLayout>
              <c:xMode val="edge"/>
              <c:yMode val="edge"/>
              <c:x val="6.4493839314868915E-3"/>
              <c:y val="0.1933274966745668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tr"/>
      <c:layout>
        <c:manualLayout>
          <c:xMode val="edge"/>
          <c:yMode val="edge"/>
          <c:x val="0.15611681747109329"/>
          <c:y val="7.3847634501315026E-2"/>
          <c:w val="0.3569546957016464"/>
          <c:h val="0.16395739546007965"/>
        </c:manualLayout>
      </c:layout>
      <c:overlay val="1"/>
      <c:spPr>
        <a:solidFill>
          <a:srgbClr val="FFFFFF"/>
        </a:solidFill>
        <a:ln w="12700">
          <a:solidFill>
            <a:srgbClr val="000000"/>
          </a:solid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cycle_breakdown!$C$2</c:f>
          <c:strCache>
            <c:ptCount val="1"/>
            <c:pt idx="0">
              <c:v>u=40%, k=2x10^9, 190 threads</c:v>
            </c:pt>
          </c:strCache>
        </c:strRef>
      </c:tx>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7060014434746632"/>
          <c:y val="0.14162080204682037"/>
          <c:w val="0.71393800850744693"/>
          <c:h val="0.62134310671282555"/>
        </c:manualLayout>
      </c:layout>
      <c:barChart>
        <c:barDir val="col"/>
        <c:grouping val="stacked"/>
        <c:varyColors val="0"/>
        <c:ser>
          <c:idx val="2"/>
          <c:order val="0"/>
          <c:tx>
            <c:strRef>
              <c:f>cycle_breakdown!$B$20</c:f>
              <c:strCache>
                <c:ptCount val="1"/>
                <c:pt idx="0">
                  <c:v>other</c:v>
                </c:pt>
              </c:strCache>
            </c:strRef>
          </c:tx>
          <c:spPr>
            <a:solidFill>
              <a:schemeClr val="accent3"/>
            </a:solidFill>
            <a:ln>
              <a:noFill/>
            </a:ln>
            <a:effectLst/>
          </c:spPr>
          <c:invertIfNegative val="0"/>
          <c:cat>
            <c:strRef>
              <c:f>cycle_breakdown!$A$21:$A$24</c:f>
              <c:strCache>
                <c:ptCount val="4"/>
                <c:pt idx="0">
                  <c:v>NM</c:v>
                </c:pt>
                <c:pt idx="1">
                  <c:v>BCCO</c:v>
                </c:pt>
                <c:pt idx="2">
                  <c:v>ABTree</c:v>
                </c:pt>
                <c:pt idx="3">
                  <c:v>ISTree</c:v>
                </c:pt>
              </c:strCache>
            </c:strRef>
          </c:cat>
          <c:val>
            <c:numRef>
              <c:f>cycle_breakdown!$B$21:$B$24</c:f>
              <c:numCache>
                <c:formatCode>0</c:formatCode>
                <c:ptCount val="4"/>
                <c:pt idx="0">
                  <c:v>1940.2333333333336</c:v>
                </c:pt>
                <c:pt idx="1">
                  <c:v>1760.8000000000011</c:v>
                </c:pt>
                <c:pt idx="2">
                  <c:v>2017.54</c:v>
                </c:pt>
                <c:pt idx="3">
                  <c:v>1293.1899999999987</c:v>
                </c:pt>
              </c:numCache>
            </c:numRef>
          </c:val>
          <c:extLst>
            <c:ext xmlns:c16="http://schemas.microsoft.com/office/drawing/2014/chart" uri="{C3380CC4-5D6E-409C-BE32-E72D297353CC}">
              <c16:uniqueId val="{00000000-864F-4AE7-BC3C-4518DB3BD271}"/>
            </c:ext>
          </c:extLst>
        </c:ser>
        <c:ser>
          <c:idx val="0"/>
          <c:order val="1"/>
          <c:tx>
            <c:strRef>
              <c:f>cycle_breakdown!$C$20</c:f>
              <c:strCache>
                <c:ptCount val="1"/>
                <c:pt idx="0">
                  <c:v>resource stall</c:v>
                </c:pt>
              </c:strCache>
            </c:strRef>
          </c:tx>
          <c:spPr>
            <a:solidFill>
              <a:schemeClr val="accent1"/>
            </a:solidFill>
            <a:ln w="76200">
              <a:noFill/>
            </a:ln>
            <a:effectLst/>
          </c:spPr>
          <c:invertIfNegative val="0"/>
          <c:dLbls>
            <c:dLbl>
              <c:idx val="0"/>
              <c:tx>
                <c:rich>
                  <a:bodyPr/>
                  <a:lstStyle/>
                  <a:p>
                    <a:fld id="{A6524CBF-1221-460E-AB53-B033267B61B8}"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64F-4AE7-BC3C-4518DB3BD271}"/>
                </c:ext>
              </c:extLst>
            </c:dLbl>
            <c:dLbl>
              <c:idx val="1"/>
              <c:tx>
                <c:rich>
                  <a:bodyPr/>
                  <a:lstStyle/>
                  <a:p>
                    <a:fld id="{6AFEAB38-F472-4F22-8714-47B72CD0B9EF}"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4F-4AE7-BC3C-4518DB3BD271}"/>
                </c:ext>
              </c:extLst>
            </c:dLbl>
            <c:dLbl>
              <c:idx val="2"/>
              <c:tx>
                <c:rich>
                  <a:bodyPr/>
                  <a:lstStyle/>
                  <a:p>
                    <a:fld id="{96386684-4B45-4106-833F-871D76A9C3AA}"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4F-4AE7-BC3C-4518DB3BD271}"/>
                </c:ext>
              </c:extLst>
            </c:dLbl>
            <c:dLbl>
              <c:idx val="3"/>
              <c:tx>
                <c:rich>
                  <a:bodyPr/>
                  <a:lstStyle/>
                  <a:p>
                    <a:fld id="{BFEB96D8-6A3E-4B17-A9ED-F938CDCC7B6F}"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4F-4AE7-BC3C-4518DB3BD271}"/>
                </c:ext>
              </c:extLst>
            </c:dLbl>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rgbClr val="FFFFFF"/>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cycle_breakdown!$A$21:$A$24</c:f>
              <c:strCache>
                <c:ptCount val="4"/>
                <c:pt idx="0">
                  <c:v>NM</c:v>
                </c:pt>
                <c:pt idx="1">
                  <c:v>BCCO</c:v>
                </c:pt>
                <c:pt idx="2">
                  <c:v>ABTree</c:v>
                </c:pt>
                <c:pt idx="3">
                  <c:v>ISTree</c:v>
                </c:pt>
              </c:strCache>
            </c:strRef>
          </c:cat>
          <c:val>
            <c:numRef>
              <c:f>cycle_breakdown!$C$21:$C$24</c:f>
              <c:numCache>
                <c:formatCode>General</c:formatCode>
                <c:ptCount val="4"/>
                <c:pt idx="0">
                  <c:v>13389.633333333333</c:v>
                </c:pt>
                <c:pt idx="1">
                  <c:v>10723</c:v>
                </c:pt>
                <c:pt idx="2">
                  <c:v>5757.8066666666673</c:v>
                </c:pt>
                <c:pt idx="3">
                  <c:v>5178.6766666666672</c:v>
                </c:pt>
              </c:numCache>
            </c:numRef>
          </c:val>
          <c:extLst>
            <c:ext xmlns:c15="http://schemas.microsoft.com/office/drawing/2012/chart" uri="{02D57815-91ED-43cb-92C2-25804820EDAC}">
              <c15:datalabelsRange>
                <c15:f>cycle_breakdown!$F$45:$F$48</c15:f>
                <c15:dlblRangeCache>
                  <c:ptCount val="4"/>
                  <c:pt idx="0">
                    <c:v>34.2</c:v>
                  </c:pt>
                  <c:pt idx="1">
                    <c:v>33.5</c:v>
                  </c:pt>
                  <c:pt idx="2">
                    <c:v>22.1</c:v>
                  </c:pt>
                  <c:pt idx="3">
                    <c:v>22.6</c:v>
                  </c:pt>
                </c15:dlblRangeCache>
              </c15:datalabelsRange>
            </c:ext>
            <c:ext xmlns:c16="http://schemas.microsoft.com/office/drawing/2014/chart" uri="{C3380CC4-5D6E-409C-BE32-E72D297353CC}">
              <c16:uniqueId val="{00000001-864F-4AE7-BC3C-4518DB3BD271}"/>
            </c:ext>
          </c:extLst>
        </c:ser>
        <c:dLbls>
          <c:showLegendKey val="0"/>
          <c:showVal val="0"/>
          <c:showCatName val="0"/>
          <c:showSerName val="0"/>
          <c:showPercent val="0"/>
          <c:showBubbleSize val="0"/>
        </c:dLbls>
        <c:gapWidth val="6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r>
                  <a:rPr lang="en-US" sz="3200" b="1">
                    <a:solidFill>
                      <a:schemeClr val="bg1"/>
                    </a:solidFill>
                  </a:rPr>
                  <a:t>LLC misses/op</a:t>
                </a:r>
              </a:p>
              <a:p>
                <a:pPr>
                  <a:defRPr sz="3200">
                    <a:solidFill>
                      <a:schemeClr val="bg1"/>
                    </a:solidFill>
                  </a:defRPr>
                </a:pPr>
                <a:r>
                  <a:rPr lang="en-US" sz="3200">
                    <a:solidFill>
                      <a:schemeClr val="bg1"/>
                    </a:solidFill>
                  </a:rPr>
                  <a:t>also shown</a:t>
                </a:r>
              </a:p>
            </c:rich>
          </c:tx>
          <c:layout>
            <c:manualLayout>
              <c:xMode val="edge"/>
              <c:yMode val="edge"/>
              <c:x val="1.5461847145086692E-2"/>
              <c:y val="0.83036296507320284"/>
            </c:manualLayout>
          </c:layout>
          <c:overlay val="0"/>
          <c:spPr>
            <a:noFill/>
            <a:ln w="12700">
              <a:solidFill>
                <a:schemeClr val="bg1"/>
              </a:solidFill>
            </a:ln>
            <a:effectLst/>
          </c:spPr>
          <c:txPr>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r>
                  <a:rPr lang="en-US" sz="4000" b="1">
                    <a:solidFill>
                      <a:schemeClr val="bg1"/>
                    </a:solidFill>
                  </a:rPr>
                  <a:t>cycles/op breakdown</a:t>
                </a:r>
              </a:p>
            </c:rich>
          </c:tx>
          <c:layout>
            <c:manualLayout>
              <c:xMode val="edge"/>
              <c:yMode val="edge"/>
              <c:x val="4.9617366321706247E-4"/>
              <c:y val="0.10734825950943903"/>
            </c:manualLayout>
          </c:layout>
          <c:overlay val="0"/>
          <c:spPr>
            <a:noFill/>
            <a:ln>
              <a:noFill/>
            </a:ln>
            <a:effectLst/>
          </c:spPr>
          <c:txPr>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38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r"/>
      <c:layout>
        <c:manualLayout>
          <c:xMode val="edge"/>
          <c:yMode val="edge"/>
          <c:x val="0.33752625719371571"/>
          <c:y val="0.9020371527792822"/>
          <c:w val="0.59922073175820234"/>
          <c:h val="8.829566675476716E-2"/>
        </c:manualLayout>
      </c:layout>
      <c:overlay val="1"/>
      <c:spPr>
        <a:solidFill>
          <a:srgbClr val="FFFFFF"/>
        </a:solidFill>
        <a:ln w="12700">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176893</xdr:colOff>
      <xdr:row>1</xdr:row>
      <xdr:rowOff>178254</xdr:rowOff>
    </xdr:from>
    <xdr:to>
      <xdr:col>42</xdr:col>
      <xdr:colOff>40821</xdr:colOff>
      <xdr:row>42</xdr:row>
      <xdr:rowOff>32204</xdr:rowOff>
    </xdr:to>
    <xdr:graphicFrame macro="">
      <xdr:nvGraphicFramePr>
        <xdr:cNvPr id="5" name="ChartMai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217716</xdr:colOff>
      <xdr:row>43</xdr:row>
      <xdr:rowOff>27217</xdr:rowOff>
    </xdr:from>
    <xdr:to>
      <xdr:col>38</xdr:col>
      <xdr:colOff>278947</xdr:colOff>
      <xdr:row>46</xdr:row>
      <xdr:rowOff>27215</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306160</xdr:colOff>
      <xdr:row>1</xdr:row>
      <xdr:rowOff>144236</xdr:rowOff>
    </xdr:from>
    <xdr:to>
      <xdr:col>46</xdr:col>
      <xdr:colOff>364671</xdr:colOff>
      <xdr:row>41</xdr:row>
      <xdr:rowOff>181882</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421823</xdr:colOff>
      <xdr:row>43</xdr:row>
      <xdr:rowOff>115663</xdr:rowOff>
    </xdr:from>
    <xdr:to>
      <xdr:col>45</xdr:col>
      <xdr:colOff>326570</xdr:colOff>
      <xdr:row>47</xdr:row>
      <xdr:rowOff>20410</xdr:rowOff>
    </xdr:to>
    <xdr:graphicFrame macro="">
      <xdr:nvGraphicFramePr>
        <xdr:cNvPr id="6" name="ChartLege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598714</xdr:colOff>
      <xdr:row>1</xdr:row>
      <xdr:rowOff>89807</xdr:rowOff>
    </xdr:from>
    <xdr:to>
      <xdr:col>47</xdr:col>
      <xdr:colOff>4082</xdr:colOff>
      <xdr:row>41</xdr:row>
      <xdr:rowOff>127453</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Ma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30.781401736109" missingItemsLimit="0" createdVersion="6" refreshedVersion="6" minRefreshableVersion="3" recordCount="25">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0" maxValue="300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000" maxValue="2000000000" count="2">
        <n v="2000000000"/>
        <m/>
      </sharedItems>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ount="2">
        <n v="190"/>
        <m/>
      </sharedItems>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94289200410701E+17" maxValue="1.00003773320293E+18"/>
    </cacheField>
    <cacheField name="threads_final_size" numFmtId="0">
      <sharedItems containsString="0" containsBlank="1" containsNumber="1" containsInteger="1" minValue="999943151" maxValue="1000029176"/>
    </cacheField>
    <cacheField name="final_keysum" numFmtId="0">
      <sharedItems containsString="0" containsBlank="1" containsNumber="1" containsInteger="1" minValue="9.9994289200410701E+17" maxValue="1.00003773320293E+18"/>
    </cacheField>
    <cacheField name="final_size" numFmtId="0">
      <sharedItems containsString="0" containsBlank="1" containsNumber="1" containsInteger="1" minValue="999943151" maxValue="1000029176"/>
    </cacheField>
    <cacheField name="validate_result" numFmtId="0">
      <sharedItems containsBlank="1"/>
    </cacheField>
    <cacheField name="tree_stats_height" numFmtId="0">
      <sharedItems containsString="0" containsBlank="1" containsNumber="1" containsInteger="1" minValue="7" maxValue="84"/>
    </cacheField>
    <cacheField name="tree_stats_numInternals" numFmtId="0">
      <sharedItems containsString="0" containsBlank="1" containsNumber="1" containsInteger="1" minValue="19516664" maxValue="1000008061"/>
    </cacheField>
    <cacheField name="tree_stats_numLeaves" numFmtId="0">
      <sharedItems containsString="0" containsBlank="1" containsNumber="1" containsInteger="1" minValue="134306243" maxValue="1165000495"/>
    </cacheField>
    <cacheField name="tree_stats_numNodes" numFmtId="0">
      <sharedItems containsString="0" containsBlank="1" containsNumber="1" containsInteger="1" minValue="153822907" maxValue="2000016123"/>
    </cacheField>
    <cacheField name="tree_stats_numKeys" numFmtId="0">
      <sharedItems containsString="0" containsBlank="1" containsNumber="1" containsInteger="1" minValue="999943151" maxValue="1000029176"/>
    </cacheField>
    <cacheField name="tree_stats_avgDegreeInternal" numFmtId="0">
      <sharedItems containsString="0" containsBlank="1" containsNumber="1" minValue="1.75108" maxValue="10.376200000000001"/>
    </cacheField>
    <cacheField name="tree_stats_avgDegreeLeaves" numFmtId="0">
      <sharedItems containsString="0" containsBlank="1" containsNumber="1" minValue="0.858371" maxValue="7.44557"/>
    </cacheField>
    <cacheField name="tree_stats_avgDegree" numFmtId="0">
      <sharedItems containsString="0" containsBlank="1" containsNumber="1" minValue="1.5" maxValue="7.5008999999999997"/>
    </cacheField>
    <cacheField name="tree_stats_avgKeyDepth" numFmtId="0">
      <sharedItems containsString="0" containsBlank="1" containsNumber="1" minValue="4.0846" maxValue="40.6907"/>
    </cacheField>
    <cacheField name="tree_stats_sizeInBytes" numFmtId="0">
      <sharedItems containsString="0" containsBlank="1" containsNumber="1" containsInteger="1" minValue="28587767856" maxValue="66655642872"/>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4" maxValue="770238"/>
    </cacheField>
    <cacheField name="first_thread_announced_epoch_by_index" numFmtId="0">
      <sharedItems containsBlank="1" containsMixedTypes="1" containsNumber="1" containsInteger="1" minValue="100082" maxValue="249820"/>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6202033100" maxValue="42032761332"/>
    </cacheField>
    <cacheField name="total_rq" numFmtId="0">
      <sharedItems containsString="0" containsBlank="1" containsNumber="1" containsInteger="1" minValue="0" maxValue="0"/>
    </cacheField>
    <cacheField name="total_updates" numFmtId="0">
      <sharedItems containsString="0" containsBlank="1" containsNumber="1" containsInteger="1" minValue="115109656" maxValue="8271446129"/>
    </cacheField>
    <cacheField name="total_queries" numFmtId="0">
      <sharedItems containsString="0" containsBlank="1" containsNumber="1" containsInteger="1" minValue="6202033100" maxValue="42032761332"/>
    </cacheField>
    <cacheField name="total_ops" numFmtId="0">
      <sharedItems containsString="0" containsBlank="1" containsNumber="1" containsInteger="1" minValue="10336827344" maxValue="42457332991"/>
    </cacheField>
    <cacheField name="find_throughput" numFmtId="0">
      <sharedItems containsString="0" containsBlank="1" containsNumber="1" containsInteger="1" minValue="20673443" maxValue="140109204"/>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383698" maxValue="27571487"/>
    </cacheField>
    <cacheField name="query_throughput" numFmtId="0">
      <sharedItems containsString="0" containsBlank="1" containsNumber="1" containsInteger="1" minValue="20673443" maxValue="140109204"/>
    </cacheField>
    <cacheField name="total_throughput" numFmtId="0">
      <sharedItems containsString="0" containsBlank="1" containsNumber="1" containsInteger="1" minValue="34456091" maxValue="141524443"/>
    </cacheField>
    <cacheField name="PAPI_L2_TCM" numFmtId="0">
      <sharedItems containsString="0" containsBlank="1" containsNumber="1" minValue="22.680900000000001" maxValue="58.808399999999999"/>
    </cacheField>
    <cacheField name="PAPI_L3_TCM" numFmtId="0">
      <sharedItems containsString="0" containsBlank="1" containsNumber="1" minValue="14.57" maxValue="34.189799999999998"/>
    </cacheField>
    <cacheField name="PAPI_TOT_CYC" numFmtId="0">
      <sharedItems containsString="0" containsBlank="1" containsNumber="1" minValue="3737.16" maxValue="15348.5"/>
    </cacheField>
    <cacheField name="PAPI_RES_STL" numFmtId="0">
      <sharedItems containsString="0" containsBlank="1" containsNumber="1" minValue="2999.03" maxValue="13407.1"/>
    </cacheField>
    <cacheField name="maxresident_mb" numFmtId="0">
      <sharedItems containsString="0" containsBlank="1" containsNumber="1" containsInteger="1" minValue="35775" maxValue="120890"/>
    </cacheField>
    <cacheField name="prefill_elapsed_ms" numFmtId="0">
      <sharedItems containsString="0" containsBlank="1" containsNumber="1" containsInteger="1" minValue="8841" maxValue="61453"/>
    </cacheField>
    <cacheField name="exp" numFmtId="0">
      <sharedItems containsBlank="1" count="3">
        <s v="u=40%, k=2x10^9"/>
        <s v="u=1%, k=2x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5">
  <r>
    <s v="istree_exp7_long_runs_1b/step10001.txt"/>
    <x v="0"/>
    <n v="72"/>
    <s v="reclaimer_debra"/>
    <s v="allocator_new"/>
    <s v="pool_none"/>
    <n v="300000"/>
    <n v="20"/>
    <n v="20"/>
    <n v="0"/>
    <n v="1"/>
    <x v="0"/>
    <n v="190"/>
    <x v="0"/>
    <n v="190"/>
    <n v="0"/>
    <s v="insertIfAbsent"/>
    <n v="9.9995309576770099E+17"/>
    <n v="999963531"/>
    <n v="9.9995309576770099E+17"/>
    <n v="999963531"/>
    <s v="success"/>
    <n v="7"/>
    <n v="125752276"/>
    <n v="1164796649"/>
    <n v="1290548925"/>
    <n v="999963531"/>
    <n v="10.262600000000001"/>
    <n v="0.85848800000000003"/>
    <n v="1.77484"/>
    <n v="4.0873999999999997"/>
    <n v="28750619872"/>
    <s v="62 505426 34396780 546915169 155796814"/>
    <s v="16 505395 34396273 546914793 155796785"/>
    <n v="770238"/>
    <n v="100082"/>
    <m/>
    <m/>
    <n v="12404848576"/>
    <n v="0"/>
    <n v="8269902446"/>
    <n v="12404848576"/>
    <n v="20674751022"/>
    <n v="41349495"/>
    <n v="0"/>
    <n v="27566341"/>
    <n v="41349495"/>
    <n v="68915836"/>
    <n v="34.805100000000003"/>
    <n v="22.563199999999998"/>
    <n v="6470.1"/>
    <n v="5180.46"/>
    <n v="120710"/>
    <n v="9020"/>
    <x v="0"/>
  </r>
  <r>
    <s v="istree_exp7_long_runs_1b/step10002.txt"/>
    <x v="1"/>
    <n v="208"/>
    <s v="reclaimer_debra"/>
    <s v="allocator_new"/>
    <s v="pool_none"/>
    <n v="300000"/>
    <n v="20"/>
    <n v="20"/>
    <n v="0"/>
    <n v="1"/>
    <x v="0"/>
    <n v="190"/>
    <x v="0"/>
    <n v="190"/>
    <n v="0"/>
    <s v="insertIfAbsent"/>
    <n v="1.00002146332638E+18"/>
    <n v="1000008563"/>
    <n v="1.00002146332638E+18"/>
    <n v="1000008563"/>
    <s v="success"/>
    <n v="12"/>
    <n v="25663381"/>
    <n v="175941760"/>
    <n v="201605141"/>
    <n v="1000008563"/>
    <n v="7.8557499999999996"/>
    <n v="5.6837499999999999"/>
    <n v="5.9602300000000001"/>
    <n v="11"/>
    <n v="41933869328"/>
    <m/>
    <m/>
    <m/>
    <s v="26620 158526"/>
    <m/>
    <m/>
    <n v="12154209617"/>
    <n v="0"/>
    <n v="8102799612"/>
    <n v="12154209617"/>
    <n v="20257009229"/>
    <n v="40514032"/>
    <n v="0"/>
    <n v="27009332"/>
    <n v="40514032"/>
    <n v="67523364"/>
    <n v="38.033000000000001"/>
    <n v="22.061800000000002"/>
    <n v="7770.49"/>
    <n v="5758.64"/>
    <n v="73342"/>
    <n v="61405"/>
    <x v="0"/>
  </r>
  <r>
    <s v="istree_exp7_long_runs_1b/step10003.txt"/>
    <x v="2"/>
    <m/>
    <s v="reclaimer_debra"/>
    <s v="allocator_new"/>
    <s v="pool_none"/>
    <n v="300000"/>
    <n v="20"/>
    <n v="20"/>
    <n v="0"/>
    <n v="1"/>
    <x v="0"/>
    <n v="190"/>
    <x v="0"/>
    <n v="190"/>
    <n v="0"/>
    <s v="insertIfAbsent"/>
    <n v="9.9997054449804403E+17"/>
    <n v="999963149"/>
    <n v="9.9997054449804403E+17"/>
    <n v="999963149"/>
    <s v="success"/>
    <n v="37"/>
    <n v="677095658"/>
    <n v="513183679"/>
    <n v="1190279337"/>
    <n v="999963149"/>
    <n v="1.7579199999999999"/>
    <n v="1.94855"/>
    <n v="1.8401099999999999"/>
    <n v="29.953199999999999"/>
    <n v="66655642872"/>
    <m/>
    <m/>
    <m/>
    <s v="7930 80460"/>
    <m/>
    <m/>
    <n v="7620184143"/>
    <n v="0"/>
    <n v="5080078078"/>
    <n v="7620184143"/>
    <n v="12700262221"/>
    <n v="25400613"/>
    <n v="0"/>
    <n v="16933593"/>
    <n v="25400613"/>
    <n v="42334207"/>
    <n v="58.716500000000003"/>
    <n v="33.477499999999999"/>
    <n v="12491.8"/>
    <n v="10725.5"/>
    <n v="89903"/>
    <n v="32729"/>
    <x v="0"/>
  </r>
  <r>
    <s v="istree_exp7_long_runs_1b/step10004.txt"/>
    <x v="3"/>
    <m/>
    <s v="reclaimer_debra"/>
    <s v="allocator_new"/>
    <s v="pool_none"/>
    <n v="300000"/>
    <n v="20"/>
    <n v="20"/>
    <n v="0"/>
    <n v="1"/>
    <x v="0"/>
    <n v="190"/>
    <x v="0"/>
    <n v="190"/>
    <n v="0"/>
    <s v="insertIfAbsent"/>
    <n v="9.9996369673870003E+17"/>
    <n v="999967140"/>
    <n v="9.9996369673870003E+17"/>
    <n v="999967140"/>
    <s v="success"/>
    <n v="81"/>
    <n v="999967139"/>
    <n v="999967140"/>
    <n v="1999934279"/>
    <n v="999967140"/>
    <n v="2"/>
    <n v="1"/>
    <n v="1.5"/>
    <n v="40.392000000000003"/>
    <n v="63997896928"/>
    <m/>
    <m/>
    <m/>
    <s v="7828 68368"/>
    <m/>
    <m/>
    <n v="6202033100"/>
    <n v="0"/>
    <n v="4134794244"/>
    <n v="6202033100"/>
    <n v="10336827344"/>
    <n v="20673443"/>
    <n v="0"/>
    <n v="13782647"/>
    <n v="20673443"/>
    <n v="34456091"/>
    <n v="58.299199999999999"/>
    <n v="34.189799999999998"/>
    <n v="15348.5"/>
    <n v="13407.1"/>
    <n v="92579"/>
    <n v="33811"/>
    <x v="0"/>
  </r>
  <r>
    <s v="istree_exp7_long_runs_1b/step10005.txt"/>
    <x v="0"/>
    <n v="72"/>
    <s v="reclaimer_debra"/>
    <s v="allocator_new"/>
    <s v="pool_none"/>
    <n v="300000"/>
    <n v="20"/>
    <n v="20"/>
    <n v="0"/>
    <n v="1"/>
    <x v="0"/>
    <n v="190"/>
    <x v="0"/>
    <n v="190"/>
    <n v="0"/>
    <s v="insertIfAbsent"/>
    <n v="1.00000651764265E+18"/>
    <n v="1000013378"/>
    <n v="1.00000651764265E+18"/>
    <n v="1000013378"/>
    <s v="success"/>
    <n v="7"/>
    <n v="125793292"/>
    <n v="1164916367"/>
    <n v="1290709659"/>
    <n v="1000013378"/>
    <n v="10.2606"/>
    <n v="0.85844200000000004"/>
    <n v="1.77478"/>
    <n v="4.0874800000000002"/>
    <n v="28755866640"/>
    <s v="62 505414 34398424 546967787 155794774"/>
    <s v="16 505373 34397922 546967378 155794744"/>
    <n v="769800"/>
    <n v="100354"/>
    <m/>
    <m/>
    <n v="12405961525"/>
    <n v="0"/>
    <n v="8270685040"/>
    <n v="12405961525"/>
    <n v="20676646565"/>
    <n v="41353205"/>
    <n v="0"/>
    <n v="27568950"/>
    <n v="41353205"/>
    <n v="68922155"/>
    <n v="34.799599999999998"/>
    <n v="22.553999999999998"/>
    <n v="6476.63"/>
    <n v="5180.74"/>
    <n v="120890"/>
    <n v="9636"/>
    <x v="0"/>
  </r>
  <r>
    <s v="istree_exp7_long_runs_1b/step10006.txt"/>
    <x v="1"/>
    <n v="208"/>
    <s v="reclaimer_debra"/>
    <s v="allocator_new"/>
    <s v="pool_none"/>
    <n v="300000"/>
    <n v="20"/>
    <n v="20"/>
    <n v="0"/>
    <n v="1"/>
    <x v="0"/>
    <n v="190"/>
    <x v="0"/>
    <n v="190"/>
    <n v="0"/>
    <s v="insertIfAbsent"/>
    <n v="1.00003773320293E+18"/>
    <n v="1000027104"/>
    <n v="1.00003773320293E+18"/>
    <n v="1000027104"/>
    <s v="success"/>
    <n v="12"/>
    <n v="25667317"/>
    <n v="175951406"/>
    <n v="201618723"/>
    <n v="1000027104"/>
    <n v="7.8550800000000001"/>
    <n v="5.6835399999999998"/>
    <n v="5.9599900000000003"/>
    <n v="11"/>
    <n v="41936694384"/>
    <m/>
    <m/>
    <m/>
    <s v="26790 158462"/>
    <m/>
    <m/>
    <n v="12133129307"/>
    <n v="0"/>
    <n v="8088769279"/>
    <n v="12133129307"/>
    <n v="20221898586"/>
    <n v="40443764"/>
    <n v="0"/>
    <n v="26962564"/>
    <n v="40443764"/>
    <n v="67406328"/>
    <n v="38.071899999999999"/>
    <n v="22.057099999999998"/>
    <n v="7778.41"/>
    <n v="5757.97"/>
    <n v="73110"/>
    <n v="61021"/>
    <x v="0"/>
  </r>
  <r>
    <s v="istree_exp7_long_runs_1b/step10007.txt"/>
    <x v="2"/>
    <m/>
    <s v="reclaimer_debra"/>
    <s v="allocator_new"/>
    <s v="pool_none"/>
    <n v="300000"/>
    <n v="20"/>
    <n v="20"/>
    <n v="0"/>
    <n v="1"/>
    <x v="0"/>
    <n v="190"/>
    <x v="0"/>
    <n v="190"/>
    <n v="0"/>
    <s v="insertIfAbsent"/>
    <n v="9.9994289200410701E+17"/>
    <n v="999943151"/>
    <n v="9.9994289200410701E+17"/>
    <n v="999943151"/>
    <s v="success"/>
    <n v="37"/>
    <n v="677041318"/>
    <n v="513136486"/>
    <n v="1190177804"/>
    <n v="999943151"/>
    <n v="1.7579100000000001"/>
    <n v="1.94869"/>
    <n v="1.84016"/>
    <n v="29.9438"/>
    <n v="66649957024"/>
    <m/>
    <m/>
    <m/>
    <s v="7946 80430"/>
    <m/>
    <m/>
    <n v="7613343382"/>
    <n v="0"/>
    <n v="5075644449"/>
    <n v="7613343382"/>
    <n v="12688987831"/>
    <n v="25377811"/>
    <n v="0"/>
    <n v="16918814"/>
    <n v="25377811"/>
    <n v="42296626"/>
    <n v="58.808399999999999"/>
    <n v="33.482900000000001"/>
    <n v="12501.5"/>
    <n v="10744.1"/>
    <n v="89883"/>
    <n v="32807"/>
    <x v="0"/>
  </r>
  <r>
    <s v="istree_exp7_long_runs_1b/step10008.txt"/>
    <x v="3"/>
    <m/>
    <s v="reclaimer_debra"/>
    <s v="allocator_new"/>
    <s v="pool_none"/>
    <n v="300000"/>
    <n v="20"/>
    <n v="20"/>
    <n v="0"/>
    <n v="1"/>
    <x v="0"/>
    <n v="190"/>
    <x v="0"/>
    <n v="190"/>
    <n v="0"/>
    <s v="insertIfAbsent"/>
    <n v="9.9997741140855296E+17"/>
    <n v="999990493"/>
    <n v="9.9997741140855296E+17"/>
    <n v="999990493"/>
    <s v="success"/>
    <n v="82"/>
    <n v="999990492"/>
    <n v="999990493"/>
    <n v="1999980985"/>
    <n v="999990493"/>
    <n v="2"/>
    <n v="1"/>
    <n v="1.5"/>
    <n v="40.622199999999999"/>
    <n v="63999391520"/>
    <m/>
    <m/>
    <m/>
    <s v="7830 68390"/>
    <m/>
    <m/>
    <n v="6210494121"/>
    <n v="0"/>
    <n v="4140374700"/>
    <n v="6210494121"/>
    <n v="10350868821"/>
    <n v="20701647"/>
    <n v="0"/>
    <n v="13801249"/>
    <n v="20701647"/>
    <n v="34502896"/>
    <n v="58.168100000000003"/>
    <n v="34.1753"/>
    <n v="15326.6"/>
    <n v="13383.4"/>
    <n v="92607"/>
    <n v="33676"/>
    <x v="0"/>
  </r>
  <r>
    <s v="istree_exp7_long_runs_1b/step10009.txt"/>
    <x v="0"/>
    <n v="72"/>
    <s v="reclaimer_debra"/>
    <s v="allocator_new"/>
    <s v="pool_none"/>
    <n v="300000"/>
    <n v="20"/>
    <n v="20"/>
    <n v="0"/>
    <n v="1"/>
    <x v="0"/>
    <n v="190"/>
    <x v="0"/>
    <n v="190"/>
    <n v="0"/>
    <s v="insertIfAbsent"/>
    <n v="9.9999438410640294E+17"/>
    <n v="1000003065"/>
    <n v="9.9999438410640294E+17"/>
    <n v="1000003065"/>
    <s v="success"/>
    <n v="7"/>
    <n v="125827013"/>
    <n v="1165000495"/>
    <n v="1290827508"/>
    <n v="1000003065"/>
    <n v="10.258699999999999"/>
    <n v="0.858371"/>
    <n v="1.7746999999999999"/>
    <n v="4.0875700000000004"/>
    <n v="28760119040"/>
    <s v="50 505416 34394673 547083609 155816751"/>
    <s v="16 505379 34394176 547083206 155816732"/>
    <n v="763340"/>
    <n v="100460"/>
    <m/>
    <m/>
    <n v="12407451135"/>
    <n v="0"/>
    <n v="8271446129"/>
    <n v="12407451135"/>
    <n v="20678897264"/>
    <n v="41358170"/>
    <n v="0"/>
    <n v="27571487"/>
    <n v="41358170"/>
    <n v="68929657"/>
    <n v="34.800400000000003"/>
    <n v="22.554400000000001"/>
    <n v="6468.87"/>
    <n v="5174.83"/>
    <n v="120691"/>
    <n v="9092"/>
    <x v="0"/>
  </r>
  <r>
    <s v="istree_exp7_long_runs_1b/step10010.txt"/>
    <x v="1"/>
    <n v="208"/>
    <s v="reclaimer_debra"/>
    <s v="allocator_new"/>
    <s v="pool_none"/>
    <n v="300000"/>
    <n v="20"/>
    <n v="20"/>
    <n v="0"/>
    <n v="1"/>
    <x v="0"/>
    <n v="190"/>
    <x v="0"/>
    <n v="190"/>
    <n v="0"/>
    <s v="insertIfAbsent"/>
    <n v="1.00000573045744E+18"/>
    <n v="1000001442"/>
    <n v="1.00000573045744E+18"/>
    <n v="1000001442"/>
    <s v="success"/>
    <n v="12"/>
    <n v="25663180"/>
    <n v="175945329"/>
    <n v="201608509"/>
    <n v="1000001442"/>
    <n v="7.8559400000000004"/>
    <n v="5.6835899999999997"/>
    <n v="5.9601199999999999"/>
    <n v="11"/>
    <n v="41934569872"/>
    <m/>
    <m/>
    <m/>
    <s v="26606 158580"/>
    <m/>
    <m/>
    <n v="12144427708"/>
    <n v="0"/>
    <n v="8096351125"/>
    <n v="12144427708"/>
    <n v="20240778833"/>
    <n v="40481425"/>
    <n v="0"/>
    <n v="26987837"/>
    <n v="40481425"/>
    <n v="67469262"/>
    <n v="37.997300000000003"/>
    <n v="22.041499999999999"/>
    <n v="7777.14"/>
    <n v="5756.81"/>
    <n v="73332"/>
    <n v="61257"/>
    <x v="0"/>
  </r>
  <r>
    <s v="istree_exp7_long_runs_1b/step10011.txt"/>
    <x v="2"/>
    <m/>
    <s v="reclaimer_debra"/>
    <s v="allocator_new"/>
    <s v="pool_none"/>
    <n v="300000"/>
    <n v="20"/>
    <n v="20"/>
    <n v="0"/>
    <n v="1"/>
    <x v="0"/>
    <n v="190"/>
    <x v="0"/>
    <n v="190"/>
    <n v="0"/>
    <s v="insertIfAbsent"/>
    <n v="1.00000175201245E+18"/>
    <n v="999975810"/>
    <n v="1.00000175201245E+18"/>
    <n v="999975810"/>
    <s v="success"/>
    <n v="37"/>
    <n v="676649749"/>
    <n v="512879880"/>
    <n v="1189529629"/>
    <n v="999975810"/>
    <n v="1.75797"/>
    <n v="1.94973"/>
    <n v="1.8406499999999999"/>
    <n v="29.979900000000001"/>
    <n v="66613659224"/>
    <m/>
    <m/>
    <m/>
    <s v="7918 80696"/>
    <m/>
    <m/>
    <n v="7640893621"/>
    <n v="0"/>
    <n v="5093858123"/>
    <n v="7640893621"/>
    <n v="12734751744"/>
    <n v="25469645"/>
    <n v="0"/>
    <n v="16979527"/>
    <n v="25469645"/>
    <n v="42449172"/>
    <n v="58.536900000000003"/>
    <n v="33.478900000000003"/>
    <n v="12458.1"/>
    <n v="10699.4"/>
    <n v="89801"/>
    <n v="32693"/>
    <x v="0"/>
  </r>
  <r>
    <s v="istree_exp7_long_runs_1b/step10012.txt"/>
    <x v="3"/>
    <m/>
    <s v="reclaimer_debra"/>
    <s v="allocator_new"/>
    <s v="pool_none"/>
    <n v="300000"/>
    <n v="20"/>
    <n v="20"/>
    <n v="0"/>
    <n v="1"/>
    <x v="0"/>
    <n v="190"/>
    <x v="0"/>
    <n v="190"/>
    <n v="0"/>
    <s v="insertIfAbsent"/>
    <n v="9.9996164413785203E+17"/>
    <n v="999973226"/>
    <n v="9.9996164413785203E+17"/>
    <n v="999973226"/>
    <s v="success"/>
    <n v="80"/>
    <n v="999973225"/>
    <n v="999973226"/>
    <n v="1999946451"/>
    <n v="999973226"/>
    <n v="2"/>
    <n v="1"/>
    <n v="1.5"/>
    <n v="40.6419"/>
    <n v="63998286432"/>
    <m/>
    <m/>
    <m/>
    <s v="7830 68494"/>
    <m/>
    <m/>
    <n v="6215970465"/>
    <n v="0"/>
    <n v="4143841483"/>
    <n v="6215970465"/>
    <n v="10359811948"/>
    <n v="20719901"/>
    <n v="0"/>
    <n v="13812804"/>
    <n v="20719901"/>
    <n v="34532706"/>
    <n v="58.081600000000002"/>
    <n v="34.160600000000002"/>
    <n v="15314.5"/>
    <n v="13378.4"/>
    <n v="92572"/>
    <n v="33716"/>
    <x v="0"/>
  </r>
  <r>
    <s v="istree_exp7_long_runs_1b/step10001.txt"/>
    <x v="0"/>
    <n v="72"/>
    <s v="reclaimer_debra"/>
    <s v="allocator_new"/>
    <s v="pool_none"/>
    <n v="300000"/>
    <n v="0.5"/>
    <n v="0.5"/>
    <n v="0"/>
    <n v="1"/>
    <x v="0"/>
    <n v="190"/>
    <x v="0"/>
    <n v="190"/>
    <n v="0"/>
    <s v="insertIfAbsent"/>
    <n v="1.00000955729786E+18"/>
    <n v="1000003838"/>
    <n v="1.00000955729786E+18"/>
    <n v="1000003838"/>
    <s v="success"/>
    <n v="7"/>
    <n v="124177974"/>
    <n v="1163129656"/>
    <n v="1287307630"/>
    <n v="1000003838"/>
    <n v="10.3666"/>
    <n v="0.85975299999999999"/>
    <n v="1.7768200000000001"/>
    <n v="4.0849399999999996"/>
    <n v="28605942912"/>
    <s v="0 0 800254 28284632 8355081"/>
    <s v="0 0 800254 28284629 8355081"/>
    <n v="4"/>
    <n v="248340"/>
    <m/>
    <m/>
    <n v="41877497927"/>
    <n v="0"/>
    <n v="422992392"/>
    <n v="41877497927"/>
    <n v="42300490319"/>
    <n v="139591659"/>
    <n v="0"/>
    <n v="1409974"/>
    <n v="139591659"/>
    <n v="141001634"/>
    <n v="22.680900000000001"/>
    <n v="14.57"/>
    <n v="3751.07"/>
    <n v="3007.04"/>
    <n v="67138"/>
    <n v="8841"/>
    <x v="1"/>
  </r>
  <r>
    <s v="istree_exp7_long_runs_1b/step10002.txt"/>
    <x v="1"/>
    <n v="208"/>
    <s v="reclaimer_debra"/>
    <s v="allocator_new"/>
    <s v="pool_none"/>
    <n v="300000"/>
    <n v="0.5"/>
    <n v="0.5"/>
    <n v="0"/>
    <n v="1"/>
    <x v="0"/>
    <n v="190"/>
    <x v="0"/>
    <n v="190"/>
    <n v="0"/>
    <s v="insertIfAbsent"/>
    <n v="1.00002007885026E+18"/>
    <n v="999998417"/>
    <n v="1.00002007885026E+18"/>
    <n v="999998417"/>
    <s v="success"/>
    <n v="12"/>
    <n v="19517128"/>
    <n v="134319675"/>
    <n v="153836803"/>
    <n v="999998417"/>
    <n v="7.8821399999999997"/>
    <n v="7.4449100000000001"/>
    <n v="7.5003799999999998"/>
    <n v="11"/>
    <n v="31998055024"/>
    <m/>
    <m/>
    <m/>
    <s v="26652 192702"/>
    <m/>
    <m/>
    <n v="28595331613"/>
    <n v="0"/>
    <n v="288826086"/>
    <n v="28595331613"/>
    <n v="28884157699"/>
    <n v="95317772"/>
    <n v="0"/>
    <n v="962753"/>
    <n v="95317772"/>
    <n v="96280525"/>
    <n v="30.742999999999999"/>
    <n v="18.063800000000001"/>
    <n v="5492.71"/>
    <n v="4459.45"/>
    <n v="35850"/>
    <n v="61104"/>
    <x v="1"/>
  </r>
  <r>
    <s v="istree_exp7_long_runs_1b/step10003.txt"/>
    <x v="2"/>
    <m/>
    <s v="reclaimer_debra"/>
    <s v="allocator_new"/>
    <s v="pool_none"/>
    <n v="300000"/>
    <n v="0.5"/>
    <n v="0.5"/>
    <n v="0"/>
    <n v="1"/>
    <x v="0"/>
    <n v="190"/>
    <x v="0"/>
    <n v="190"/>
    <n v="0"/>
    <s v="insertIfAbsent"/>
    <n v="9.9997525031903296E+17"/>
    <n v="999994676"/>
    <n v="9.9997525031903296E+17"/>
    <n v="999994676"/>
    <s v="success"/>
    <n v="37"/>
    <n v="579151200"/>
    <n v="434994895"/>
    <n v="1014146095"/>
    <n v="999994676"/>
    <n v="1.75109"/>
    <n v="2.29887"/>
    <n v="1.9860500000000001"/>
    <n v="29.540400000000002"/>
    <n v="56792181320"/>
    <m/>
    <m/>
    <m/>
    <s v="7924 86022"/>
    <m/>
    <m/>
    <n v="13579289397"/>
    <n v="0"/>
    <n v="137140668"/>
    <n v="13579289397"/>
    <n v="13716430065"/>
    <n v="45264297"/>
    <n v="0"/>
    <n v="457135"/>
    <n v="45264297"/>
    <n v="45721433"/>
    <n v="55.861899999999999"/>
    <n v="31.967099999999999"/>
    <n v="11570.6"/>
    <n v="9974.49"/>
    <n v="66609"/>
    <n v="32804"/>
    <x v="1"/>
  </r>
  <r>
    <s v="istree_exp7_long_runs_1b/step10004.txt"/>
    <x v="3"/>
    <m/>
    <s v="reclaimer_debra"/>
    <s v="allocator_new"/>
    <s v="pool_none"/>
    <n v="300000"/>
    <n v="0.5"/>
    <n v="0.5"/>
    <n v="0"/>
    <n v="1"/>
    <x v="0"/>
    <n v="190"/>
    <x v="0"/>
    <n v="190"/>
    <n v="0"/>
    <s v="insertIfAbsent"/>
    <n v="9.9999818851089306E+17"/>
    <n v="1000001629"/>
    <n v="9.9999818851089306E+17"/>
    <n v="1000001629"/>
    <s v="success"/>
    <n v="84"/>
    <n v="1000001628"/>
    <n v="1000001629"/>
    <n v="2000003257"/>
    <n v="1000001629"/>
    <n v="2"/>
    <n v="1"/>
    <n v="1.5"/>
    <n v="40.6907"/>
    <n v="64000104224"/>
    <m/>
    <m/>
    <m/>
    <s v="7812 73364"/>
    <m/>
    <m/>
    <n v="11413116080"/>
    <n v="0"/>
    <n v="115269323"/>
    <n v="11413116080"/>
    <n v="11528385403"/>
    <n v="38043720"/>
    <n v="0"/>
    <n v="384231"/>
    <n v="38043720"/>
    <n v="38427951"/>
    <n v="54.356999999999999"/>
    <n v="31.9389"/>
    <n v="13770.3"/>
    <n v="12518.3"/>
    <n v="65718"/>
    <n v="33697"/>
    <x v="1"/>
  </r>
  <r>
    <s v="istree_exp7_long_runs_1b/step10005.txt"/>
    <x v="0"/>
    <n v="72"/>
    <s v="reclaimer_debra"/>
    <s v="allocator_new"/>
    <s v="pool_none"/>
    <n v="300000"/>
    <n v="0.5"/>
    <n v="0.5"/>
    <n v="0"/>
    <n v="1"/>
    <x v="0"/>
    <n v="190"/>
    <x v="0"/>
    <n v="190"/>
    <n v="0"/>
    <s v="insertIfAbsent"/>
    <n v="9.9999863857523994E+17"/>
    <n v="999999442"/>
    <n v="9.9999863857523994E+17"/>
    <n v="999999442"/>
    <s v="success"/>
    <n v="7"/>
    <n v="124068190"/>
    <n v="1162894086"/>
    <n v="1286962276"/>
    <n v="999999442"/>
    <n v="10.372999999999999"/>
    <n v="0.85992299999999999"/>
    <n v="1.77702"/>
    <n v="4.0847300000000004"/>
    <n v="28593783536"/>
    <s v="0 0 814455 28360771 8373408"/>
    <s v="0 0 814455 28360771 8373408"/>
    <n v="9"/>
    <n v="249820"/>
    <m/>
    <m/>
    <n v="41949334056"/>
    <n v="0"/>
    <n v="423750646"/>
    <n v="41949334056"/>
    <n v="42373084702"/>
    <n v="139831113"/>
    <n v="0"/>
    <n v="1412502"/>
    <n v="139831113"/>
    <n v="141243615"/>
    <n v="22.709199999999999"/>
    <n v="14.5937"/>
    <n v="3744.54"/>
    <n v="2999.03"/>
    <n v="67139"/>
    <n v="9247"/>
    <x v="1"/>
  </r>
  <r>
    <s v="istree_exp7_long_runs_1b/step10006.txt"/>
    <x v="1"/>
    <n v="208"/>
    <s v="reclaimer_debra"/>
    <s v="allocator_new"/>
    <s v="pool_none"/>
    <n v="300000"/>
    <n v="0.5"/>
    <n v="0.5"/>
    <n v="0"/>
    <n v="1"/>
    <x v="0"/>
    <n v="190"/>
    <x v="0"/>
    <n v="190"/>
    <n v="0"/>
    <s v="insertIfAbsent"/>
    <n v="9.9998718955205197E+17"/>
    <n v="1000002521"/>
    <n v="9.9998718955205197E+17"/>
    <n v="1000002521"/>
    <s v="success"/>
    <n v="12"/>
    <n v="19520355"/>
    <n v="134325585"/>
    <n v="153845940"/>
    <n v="1000002521"/>
    <n v="7.88131"/>
    <n v="7.4446199999999996"/>
    <n v="7.5000299999999998"/>
    <n v="11"/>
    <n v="31999955520"/>
    <m/>
    <m/>
    <m/>
    <s v="26506 192590"/>
    <m/>
    <m/>
    <n v="28609488443"/>
    <n v="0"/>
    <n v="288997783"/>
    <n v="28609488443"/>
    <n v="28898486226"/>
    <n v="95364961"/>
    <n v="0"/>
    <n v="963325"/>
    <n v="95364961"/>
    <n v="96328287"/>
    <n v="30.688800000000001"/>
    <n v="18.070799999999998"/>
    <n v="5489.39"/>
    <n v="4452.5600000000004"/>
    <n v="35775"/>
    <n v="61399"/>
    <x v="1"/>
  </r>
  <r>
    <s v="istree_exp7_long_runs_1b/step10007.txt"/>
    <x v="2"/>
    <m/>
    <s v="reclaimer_debra"/>
    <s v="allocator_new"/>
    <s v="pool_none"/>
    <n v="300000"/>
    <n v="0.5"/>
    <n v="0.5"/>
    <n v="0"/>
    <n v="1"/>
    <x v="0"/>
    <n v="190"/>
    <x v="0"/>
    <n v="190"/>
    <n v="0"/>
    <s v="insertIfAbsent"/>
    <n v="1.00000863401882E+18"/>
    <n v="1000000607"/>
    <n v="1.00000863401882E+18"/>
    <n v="1000000607"/>
    <s v="success"/>
    <n v="37"/>
    <n v="579125095"/>
    <n v="434972509"/>
    <n v="1014097604"/>
    <n v="1000000607"/>
    <n v="1.75109"/>
    <n v="2.2989999999999999"/>
    <n v="1.9861"/>
    <n v="29.476199999999999"/>
    <n v="56789465824"/>
    <m/>
    <m/>
    <m/>
    <s v="7916 86124"/>
    <m/>
    <m/>
    <n v="13523407032"/>
    <n v="0"/>
    <n v="136571302"/>
    <n v="13523407032"/>
    <n v="13659978334"/>
    <n v="45078023"/>
    <n v="0"/>
    <n v="455237"/>
    <n v="45078023"/>
    <n v="45533261"/>
    <n v="55.972299999999997"/>
    <n v="31.976099999999999"/>
    <n v="11619.1"/>
    <n v="9976.19"/>
    <n v="66606"/>
    <n v="32908"/>
    <x v="1"/>
  </r>
  <r>
    <s v="istree_exp7_long_runs_1b/step10008.txt"/>
    <x v="3"/>
    <m/>
    <s v="reclaimer_debra"/>
    <s v="allocator_new"/>
    <s v="pool_none"/>
    <n v="300000"/>
    <n v="0.5"/>
    <n v="0.5"/>
    <n v="0"/>
    <n v="1"/>
    <x v="0"/>
    <n v="190"/>
    <x v="0"/>
    <n v="190"/>
    <n v="0"/>
    <s v="insertIfAbsent"/>
    <n v="1.00001797602377E+18"/>
    <n v="1000000319"/>
    <n v="1.00001797602377E+18"/>
    <n v="1000000319"/>
    <s v="success"/>
    <n v="79"/>
    <n v="1000000318"/>
    <n v="1000000319"/>
    <n v="2000000637"/>
    <n v="1000000319"/>
    <n v="2"/>
    <n v="1"/>
    <n v="1.5"/>
    <n v="40.6905"/>
    <n v="64000020384"/>
    <m/>
    <m/>
    <m/>
    <s v="7820 73372"/>
    <m/>
    <m/>
    <n v="11415304266"/>
    <n v="0"/>
    <n v="115310389"/>
    <n v="11415304266"/>
    <n v="11530614655"/>
    <n v="38051014"/>
    <n v="0"/>
    <n v="384367"/>
    <n v="38051014"/>
    <n v="38435382"/>
    <n v="54.296999999999997"/>
    <n v="31.896100000000001"/>
    <n v="13769"/>
    <n v="12517.4"/>
    <n v="65717"/>
    <n v="33687"/>
    <x v="1"/>
  </r>
  <r>
    <s v="istree_exp7_long_runs_1b/step10009.txt"/>
    <x v="0"/>
    <n v="72"/>
    <s v="reclaimer_debra"/>
    <s v="allocator_new"/>
    <s v="pool_none"/>
    <n v="300000"/>
    <n v="0.5"/>
    <n v="0.5"/>
    <n v="0"/>
    <n v="1"/>
    <x v="0"/>
    <n v="190"/>
    <x v="0"/>
    <n v="190"/>
    <n v="0"/>
    <s v="insertIfAbsent"/>
    <n v="1.00003350563901E+18"/>
    <n v="1000029176"/>
    <n v="1.00003350563901E+18"/>
    <n v="1000029176"/>
    <s v="success"/>
    <n v="7"/>
    <n v="124017583"/>
    <n v="1162816714"/>
    <n v="1286834297"/>
    <n v="1000029176"/>
    <n v="10.376200000000001"/>
    <n v="0.86000600000000005"/>
    <n v="1.77712"/>
    <n v="4.0846"/>
    <n v="28587767856"/>
    <s v="0 0 827858 28449964 8395788"/>
    <s v="0 0 827858 28449964 8395788"/>
    <n v="6"/>
    <n v="247998"/>
    <m/>
    <m/>
    <n v="42032761332"/>
    <n v="0"/>
    <n v="424571659"/>
    <n v="42032761332"/>
    <n v="42457332991"/>
    <n v="140109204"/>
    <n v="0"/>
    <n v="1415238"/>
    <n v="140109204"/>
    <n v="141524443"/>
    <n v="22.683800000000002"/>
    <n v="14.6007"/>
    <n v="3737.16"/>
    <n v="3003.76"/>
    <n v="67141"/>
    <n v="9103"/>
    <x v="1"/>
  </r>
  <r>
    <s v="istree_exp7_long_runs_1b/step10010.txt"/>
    <x v="1"/>
    <n v="208"/>
    <s v="reclaimer_debra"/>
    <s v="allocator_new"/>
    <s v="pool_none"/>
    <n v="300000"/>
    <n v="0.5"/>
    <n v="0.5"/>
    <n v="0"/>
    <n v="1"/>
    <x v="0"/>
    <n v="190"/>
    <x v="0"/>
    <n v="190"/>
    <n v="0"/>
    <s v="insertIfAbsent"/>
    <n v="9.9998253232882906E+17"/>
    <n v="999987167"/>
    <n v="9.9998253232882906E+17"/>
    <n v="999987167"/>
    <s v="success"/>
    <n v="12"/>
    <n v="19516664"/>
    <n v="134306243"/>
    <n v="153822907"/>
    <n v="999987167"/>
    <n v="7.8816199999999998"/>
    <n v="7.44557"/>
    <n v="7.5008999999999997"/>
    <n v="11"/>
    <n v="31995164656"/>
    <m/>
    <m/>
    <m/>
    <s v="26626 192170"/>
    <m/>
    <m/>
    <n v="28546345128"/>
    <n v="0"/>
    <n v="288373141"/>
    <n v="28546345128"/>
    <n v="28834718269"/>
    <n v="95154483"/>
    <n v="0"/>
    <n v="961243"/>
    <n v="95154483"/>
    <n v="96115727"/>
    <n v="30.7592"/>
    <n v="18.039400000000001"/>
    <n v="5500.97"/>
    <n v="4466.3100000000004"/>
    <n v="35778"/>
    <n v="61453"/>
    <x v="1"/>
  </r>
  <r>
    <s v="istree_exp7_long_runs_1b/step10011.txt"/>
    <x v="2"/>
    <m/>
    <s v="reclaimer_debra"/>
    <s v="allocator_new"/>
    <s v="pool_none"/>
    <n v="300000"/>
    <n v="0.5"/>
    <n v="0.5"/>
    <n v="0"/>
    <n v="1"/>
    <x v="0"/>
    <n v="190"/>
    <x v="0"/>
    <n v="190"/>
    <n v="0"/>
    <s v="insertIfAbsent"/>
    <n v="1.0000049119312399E+18"/>
    <n v="1000010216"/>
    <n v="1.0000049119312399E+18"/>
    <n v="1000010216"/>
    <s v="success"/>
    <n v="37"/>
    <n v="579173657"/>
    <n v="435007295"/>
    <n v="1014180952"/>
    <n v="1000010216"/>
    <n v="1.75108"/>
    <n v="2.2988400000000002"/>
    <n v="1.98603"/>
    <n v="29.5016"/>
    <n v="56794133312"/>
    <m/>
    <m/>
    <m/>
    <s v="7954 86194"/>
    <m/>
    <m/>
    <n v="13596331031"/>
    <n v="0"/>
    <n v="137344884"/>
    <n v="13596331031"/>
    <n v="13733675915"/>
    <n v="45321103"/>
    <n v="0"/>
    <n v="457816"/>
    <n v="45321103"/>
    <n v="45778919"/>
    <n v="55.4527"/>
    <n v="31.972000000000001"/>
    <n v="11557.1"/>
    <n v="9956.3799999999992"/>
    <n v="66611"/>
    <n v="32717"/>
    <x v="1"/>
  </r>
  <r>
    <s v="istree_exp7_long_runs_1b/step10012.txt"/>
    <x v="3"/>
    <m/>
    <s v="reclaimer_debra"/>
    <s v="allocator_new"/>
    <s v="pool_none"/>
    <n v="300000"/>
    <n v="0.5"/>
    <n v="0.5"/>
    <n v="0"/>
    <n v="1"/>
    <x v="0"/>
    <n v="190"/>
    <x v="0"/>
    <n v="190"/>
    <n v="0"/>
    <s v="insertIfAbsent"/>
    <n v="1.0000217292411E+18"/>
    <n v="1000008062"/>
    <n v="1.0000217292411E+18"/>
    <n v="1000008062"/>
    <s v="success"/>
    <n v="81"/>
    <n v="1000008061"/>
    <n v="1000008062"/>
    <n v="2000016123"/>
    <n v="1000008062"/>
    <n v="2"/>
    <n v="1"/>
    <n v="1.5"/>
    <n v="40.396700000000003"/>
    <n v="64000515936"/>
    <m/>
    <m/>
    <m/>
    <s v="7828 73246"/>
    <m/>
    <m/>
    <n v="11393778251"/>
    <n v="0"/>
    <n v="115109656"/>
    <n v="11393778251"/>
    <n v="11508887907"/>
    <n v="37979260"/>
    <n v="0"/>
    <n v="383698"/>
    <n v="37979260"/>
    <n v="38362959"/>
    <n v="54.444099999999999"/>
    <n v="31.902000000000001"/>
    <n v="13793.6"/>
    <n v="12537.2"/>
    <n v="65717"/>
    <n v="33846"/>
    <x v="1"/>
  </r>
  <r>
    <m/>
    <x v="4"/>
    <m/>
    <m/>
    <m/>
    <m/>
    <m/>
    <m/>
    <m/>
    <m/>
    <m/>
    <x v="1"/>
    <m/>
    <x v="1"/>
    <m/>
    <m/>
    <m/>
    <m/>
    <m/>
    <m/>
    <m/>
    <m/>
    <m/>
    <m/>
    <m/>
    <m/>
    <m/>
    <m/>
    <m/>
    <m/>
    <m/>
    <m/>
    <m/>
    <m/>
    <m/>
    <m/>
    <m/>
    <m/>
    <m/>
    <m/>
    <m/>
    <m/>
    <m/>
    <m/>
    <m/>
    <m/>
    <m/>
    <m/>
    <m/>
    <m/>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46">
      <pivotArea outline="0" collapsedLevelsAreSubtotals="1" fieldPosition="0"/>
    </format>
    <format dxfId="4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44">
      <pivotArea outline="0" collapsedLevelsAreSubtotals="1" fieldPosition="0"/>
    </format>
    <format dxfId="4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Max"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E67"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item="2" hier="-1"/>
  </pageFields>
  <dataFields count="1">
    <dataField name="Max of total_throughput" fld="47" subtotal="max" baseField="13" baseItem="2" numFmtId="1"/>
  </dataFields>
  <formats count="2">
    <format dxfId="38">
      <pivotArea outline="0" collapsedLevelsAreSubtotals="1" fieldPosition="0"/>
    </format>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M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E4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item="2" hier="-1"/>
  </pageFields>
  <dataFields count="1">
    <dataField name="Min of total_throughput" fld="47" subtotal="min" baseField="13" baseItem="1" numFmtId="1"/>
  </dataFields>
  <formats count="2">
    <format dxfId="40">
      <pivotArea outline="0" collapsedLevelsAreSubtotals="1" fieldPosition="0"/>
    </format>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Ma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item="2" hier="-1"/>
  </pageFields>
  <dataFields count="1">
    <dataField name="Average of total_throughput" fld="47" subtotal="average" baseField="13" baseItem="0" numFmtId="1"/>
  </dataFields>
  <formats count="2">
    <format dxfId="42">
      <pivotArea outline="0" collapsedLevelsAreSubtotals="1" fieldPosition="0"/>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C46:AG48"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item="1" hier="-1"/>
  </pageFields>
  <dataFields count="1">
    <dataField name="Max of PAPI_L3_TCM" fld="49" subtotal="max" baseField="13" baseItem="1" numFmtId="164"/>
  </dataFields>
  <formats count="3">
    <format dxfId="30">
      <pivotArea outline="0" collapsedLevelsAreSubtotals="1" fieldPosition="0"/>
    </format>
    <format dxfId="29">
      <pivotArea outline="0" collapsedLevelsAreSubtotals="1" fieldPosition="0"/>
    </format>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5"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6:E48"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item="1" hier="-1"/>
  </pageFields>
  <dataFields count="1">
    <dataField name="Min of PAPI_L3_TCM" fld="49" subtotal="min" baseField="13" baseItem="3" numFmtId="164"/>
  </dataFields>
  <formats count="3">
    <format dxfId="33">
      <pivotArea outline="0" collapsedLevelsAreSubtotals="1" fieldPosition="0"/>
    </format>
    <format dxfId="32">
      <pivotArea outline="0" collapsedLevelsAreSubtotals="1" fieldPosition="0"/>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Ma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item="1" hier="-1"/>
  </pageFields>
  <dataFields count="1">
    <dataField name="Average of PAPI_L3_TCM" fld="49" subtotal="average" baseField="13" baseItem="4" numFmtId="164"/>
  </dataFields>
  <formats count="3">
    <format dxfId="36">
      <pivotArea outline="0" collapsedLevelsAreSubtotals="1" fieldPosition="0"/>
    </format>
    <format dxfId="35">
      <pivotArea outline="0" collapsedLevelsAreSubtotals="1" fieldPosition="0"/>
    </format>
    <format dxfId="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Ma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27">
      <pivotArea outline="0" collapsedLevelsAreSubtotals="1" fieldPosition="0"/>
    </format>
    <format dxfId="2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Ma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3">
        <item x="2"/>
        <item x="0"/>
        <item x="1"/>
      </items>
    </pivotField>
  </pivotFields>
  <rowFields count="1">
    <field x="13"/>
  </rowFields>
  <rowItems count="1">
    <i>
      <x v="1"/>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25">
      <pivotArea outline="0" collapsedLevelsAreSubtotals="1" fieldPosition="0"/>
    </format>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Ma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3">
        <item x="2"/>
        <item x="0"/>
        <item x="1"/>
      </items>
    </pivotField>
  </pivotFields>
  <rowFields count="1">
    <field x="1"/>
  </rowFields>
  <rowItems count="4">
    <i>
      <x v="1"/>
    </i>
    <i>
      <x v="2"/>
    </i>
    <i>
      <x v="3"/>
    </i>
    <i>
      <x v="4"/>
    </i>
  </rowItems>
  <colItems count="1">
    <i/>
  </colItems>
  <pageFields count="2">
    <pageField fld="13" item="1" hier="-1"/>
    <pageField fld="54" hier="-1"/>
  </pageFields>
  <dataFields count="1">
    <dataField name="Average of PAPI_TOT_CYC" fld="50" subtotal="average" baseField="13" baseItem="3"/>
  </dataFields>
  <formats count="2">
    <format dxfId="21">
      <pivotArea outline="0" collapsedLevelsAreSubtotals="1" fieldPosition="0"/>
    </format>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Other"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3">
        <item x="2"/>
        <item x="0"/>
        <item x="1"/>
      </items>
    </pivotField>
  </pivotFields>
  <rowFields count="1">
    <field x="1"/>
  </rowFields>
  <rowItems count="4">
    <i>
      <x v="1"/>
    </i>
    <i>
      <x v="2"/>
    </i>
    <i>
      <x v="3"/>
    </i>
    <i>
      <x v="4"/>
    </i>
  </rowItems>
  <colItems count="1">
    <i/>
  </colItems>
  <pageFields count="2">
    <pageField fld="13" item="1" hier="-1"/>
    <pageField fld="54" hier="-1"/>
  </pageFields>
  <dataFields count="1">
    <dataField name="Average of PAPI_RES_STL" fld="51" subtotal="average" baseField="13" baseItem="2"/>
  </dataFields>
  <formats count="2">
    <format dxfId="23">
      <pivotArea outline="0" collapsedLevelsAreSubtotals="1" fieldPosition="0"/>
    </format>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Max"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Z35:AD37"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1">
    <i>
      <x/>
    </i>
  </rowItems>
  <colFields count="1">
    <field x="1"/>
  </colFields>
  <colItems count="4">
    <i>
      <x v="1"/>
    </i>
    <i>
      <x v="2"/>
    </i>
    <i>
      <x v="3"/>
    </i>
    <i>
      <x v="4"/>
    </i>
  </colItems>
  <dataFields count="1">
    <dataField name="Max of tree_stats_avgKeyDepth" fld="30" subtotal="max" baseField="11" baseItem="1" numFmtId="164"/>
  </dataFields>
  <formats count="3">
    <format dxfId="13">
      <pivotArea outline="0" collapsedLevelsAreSubtotals="1" fieldPosition="0"/>
    </format>
    <format dxfId="12">
      <pivotArea outline="0" collapsedLevelsAreSubtotals="1" fieldPosition="0"/>
    </format>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M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5:E37"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1">
    <i>
      <x/>
    </i>
  </rowItems>
  <colFields count="1">
    <field x="1"/>
  </colFields>
  <colItems count="4">
    <i>
      <x v="1"/>
    </i>
    <i>
      <x v="2"/>
    </i>
    <i>
      <x v="3"/>
    </i>
    <i>
      <x v="4"/>
    </i>
  </colItems>
  <dataFields count="1">
    <dataField name="Min of tree_stats_avgKeyDepth" fld="30" subtotal="min" baseField="11" baseItem="0" numFmtId="164"/>
  </dataFields>
  <formats count="3">
    <format dxfId="16">
      <pivotArea outline="0" collapsedLevelsAreSubtotals="1" fieldPosition="0"/>
    </format>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Ma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5:E7" firstHeaderRow="1" firstDataRow="2" firstDataCol="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multipleItemSelectionAllowed="1" showAll="0" defaultSubtotal="0"/>
    <pivotField showAll="0" defaultSubtotal="0"/>
    <pivotField showAll="0" defaultSubtotal="0"/>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1">
    <i>
      <x/>
    </i>
  </rowItems>
  <colFields count="1">
    <field x="1"/>
  </colFields>
  <colItems count="4">
    <i>
      <x v="1"/>
    </i>
    <i>
      <x v="2"/>
    </i>
    <i>
      <x v="3"/>
    </i>
    <i>
      <x v="4"/>
    </i>
  </colItems>
  <dataFields count="1">
    <dataField name="Average of tree_stats_avgKeyDepth" fld="30" subtotal="average" baseField="13" baseItem="4" numFmtId="164"/>
  </dataFields>
  <formats count="3">
    <format dxfId="19">
      <pivotArea outline="0" collapsedLevelsAreSubtotals="1" fieldPosition="0"/>
    </format>
    <format dxfId="18">
      <pivotArea outline="0" collapsedLevelsAreSubtotals="1" fieldPosition="0"/>
    </format>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Main"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3">
        <item x="2"/>
        <item x="0"/>
        <item x="1"/>
      </items>
    </pivotField>
  </pivotFields>
  <rowFields count="1">
    <field x="1"/>
  </rowFields>
  <rowItems count="4">
    <i>
      <x v="1"/>
    </i>
    <i>
      <x v="2"/>
    </i>
    <i>
      <x v="3"/>
    </i>
    <i>
      <x v="4"/>
    </i>
  </rowItems>
  <colItems count="1">
    <i/>
  </colItems>
  <pageFields count="2">
    <pageField fld="13" item="1" hier="-1"/>
    <pageField fld="54" item="1" hier="-1"/>
  </pageFields>
  <dataFields count="1">
    <dataField name="Average of PAPI_TOT_CYC" fld="50" subtotal="average" baseField="13"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Other2"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E44:F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s>
  <rowFields count="1">
    <field x="1"/>
  </rowFields>
  <rowItems count="4">
    <i>
      <x v="1"/>
    </i>
    <i>
      <x v="2"/>
    </i>
    <i>
      <x v="3"/>
    </i>
    <i>
      <x v="4"/>
    </i>
  </rowItems>
  <colItems count="1">
    <i/>
  </colItems>
  <pageFields count="2">
    <pageField fld="13" item="1" hier="-1"/>
    <pageField fld="54" item="1" hier="-1"/>
  </pageFields>
  <dataFields count="1">
    <dataField name="Average of PAPI_L3_TCM" fld="49" subtotal="average" baseField="1" baseItem="1" numFmtId="164"/>
  </dataFields>
  <formats count="7">
    <format dxfId="8">
      <pivotArea outline="0" collapsedLevelsAreSubtotals="1" fieldPosition="0"/>
    </format>
    <format dxfId="7">
      <pivotArea outline="0" collapsedLevelsAreSubtotals="1" fieldPosition="0"/>
    </format>
    <format dxfId="6">
      <pivotArea outline="0" collapsedLevelsAreSubtotals="1" fieldPosition="0"/>
    </format>
    <format dxfId="5">
      <pivotArea outline="0" collapsedLevelsAreSubtotals="1" fieldPosition="0"/>
    </format>
    <format dxfId="4">
      <pivotArea outline="0" collapsedLevelsAreSubtotals="1" fieldPosition="0"/>
    </format>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Other" cacheId="114"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3">
        <item x="2"/>
        <item x="0"/>
        <item x="1"/>
      </items>
    </pivotField>
  </pivotFields>
  <rowFields count="1">
    <field x="1"/>
  </rowFields>
  <rowItems count="4">
    <i>
      <x v="1"/>
    </i>
    <i>
      <x v="2"/>
    </i>
    <i>
      <x v="3"/>
    </i>
    <i>
      <x v="4"/>
    </i>
  </rowItems>
  <colItems count="1">
    <i/>
  </colItems>
  <pageFields count="2">
    <pageField fld="13" item="1" hier="-1"/>
    <pageField fld="54" item="1" hier="-1"/>
  </pageFields>
  <dataFields count="1">
    <dataField name="Average of PAPI_RES_STL" fld="51" subtotal="average" baseField="13" baseItem="2"/>
  </dataFields>
  <formats count="2">
    <format dxfId="10">
      <pivotArea outline="0" collapsedLevelsAreSubtotals="1" fieldPosition="0"/>
    </format>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4"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bin"/><Relationship Id="rId1"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drawing" Target="../drawings/drawing9.xml"/><Relationship Id="rId4"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25"/>
  <sheetViews>
    <sheetView workbookViewId="0">
      <pane ySplit="1" topLeftCell="A2" activePane="bottomLeft" state="frozen"/>
      <selection pane="bottomLeft" activeCell="AG14" sqref="AG14"/>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56">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71</v>
      </c>
      <c r="S1" t="s">
        <v>72</v>
      </c>
      <c r="T1" t="s">
        <v>46</v>
      </c>
      <c r="U1" t="s">
        <v>73</v>
      </c>
      <c r="V1" t="s">
        <v>74</v>
      </c>
      <c r="W1" t="s">
        <v>37</v>
      </c>
      <c r="X1" t="s">
        <v>38</v>
      </c>
      <c r="Y1" t="s">
        <v>39</v>
      </c>
      <c r="Z1" t="s">
        <v>40</v>
      </c>
      <c r="AA1" t="s">
        <v>41</v>
      </c>
      <c r="AB1" t="s">
        <v>42</v>
      </c>
      <c r="AC1" t="s">
        <v>43</v>
      </c>
      <c r="AD1" t="s">
        <v>44</v>
      </c>
      <c r="AE1" t="s">
        <v>45</v>
      </c>
      <c r="AF1" t="s">
        <v>78</v>
      </c>
      <c r="AG1" t="s">
        <v>79</v>
      </c>
      <c r="AH1" t="s">
        <v>80</v>
      </c>
      <c r="AI1" t="s">
        <v>81</v>
      </c>
      <c r="AJ1" t="s">
        <v>82</v>
      </c>
      <c r="AK1" t="s">
        <v>83</v>
      </c>
      <c r="AL1" t="s">
        <v>84</v>
      </c>
      <c r="AM1" t="s">
        <v>47</v>
      </c>
      <c r="AN1" t="s">
        <v>48</v>
      </c>
      <c r="AO1" t="s">
        <v>49</v>
      </c>
      <c r="AP1" t="s">
        <v>50</v>
      </c>
      <c r="AQ1" t="s">
        <v>51</v>
      </c>
      <c r="AR1" t="s">
        <v>52</v>
      </c>
      <c r="AS1" t="s">
        <v>53</v>
      </c>
      <c r="AT1" t="s">
        <v>54</v>
      </c>
      <c r="AU1" t="s">
        <v>55</v>
      </c>
      <c r="AV1" t="s">
        <v>56</v>
      </c>
      <c r="AW1" t="s">
        <v>57</v>
      </c>
      <c r="AX1" t="s">
        <v>58</v>
      </c>
      <c r="AY1" t="s">
        <v>59</v>
      </c>
      <c r="AZ1" t="s">
        <v>85</v>
      </c>
      <c r="BA1" t="s">
        <v>76</v>
      </c>
      <c r="BB1" t="s">
        <v>77</v>
      </c>
      <c r="BC1" t="s">
        <v>69</v>
      </c>
      <c r="BD1" t="s">
        <v>106</v>
      </c>
    </row>
    <row r="2" spans="1:56">
      <c r="A2" t="s">
        <v>120</v>
      </c>
      <c r="B2" t="s">
        <v>64</v>
      </c>
      <c r="C2">
        <v>72</v>
      </c>
      <c r="D2" t="s">
        <v>65</v>
      </c>
      <c r="E2" t="s">
        <v>60</v>
      </c>
      <c r="F2" t="s">
        <v>61</v>
      </c>
      <c r="G2">
        <v>300000</v>
      </c>
      <c r="H2">
        <v>20</v>
      </c>
      <c r="I2">
        <v>20</v>
      </c>
      <c r="J2">
        <v>0</v>
      </c>
      <c r="K2">
        <v>1</v>
      </c>
      <c r="L2">
        <v>2000000000</v>
      </c>
      <c r="M2">
        <v>190</v>
      </c>
      <c r="N2">
        <v>190</v>
      </c>
      <c r="O2">
        <v>190</v>
      </c>
      <c r="P2">
        <v>0</v>
      </c>
      <c r="Q2" t="s">
        <v>62</v>
      </c>
      <c r="R2">
        <v>9.9995309576770099E+17</v>
      </c>
      <c r="S2">
        <v>999963531</v>
      </c>
      <c r="T2">
        <v>9.9995309576770099E+17</v>
      </c>
      <c r="U2">
        <v>999963531</v>
      </c>
      <c r="V2" t="s">
        <v>75</v>
      </c>
      <c r="W2">
        <v>7</v>
      </c>
      <c r="X2">
        <v>125752276</v>
      </c>
      <c r="Y2">
        <v>1164796649</v>
      </c>
      <c r="Z2">
        <v>1290548925</v>
      </c>
      <c r="AA2">
        <v>999963531</v>
      </c>
      <c r="AB2">
        <v>10.262600000000001</v>
      </c>
      <c r="AC2">
        <v>0.85848800000000003</v>
      </c>
      <c r="AD2">
        <v>1.77484</v>
      </c>
      <c r="AE2">
        <v>4.0873999999999997</v>
      </c>
      <c r="AF2">
        <v>28750619872</v>
      </c>
      <c r="AG2" t="s">
        <v>121</v>
      </c>
      <c r="AH2" t="s">
        <v>122</v>
      </c>
      <c r="AI2">
        <v>770238</v>
      </c>
      <c r="AJ2">
        <v>100082</v>
      </c>
      <c r="AM2">
        <v>12404848576</v>
      </c>
      <c r="AN2">
        <v>0</v>
      </c>
      <c r="AO2">
        <v>8269902446</v>
      </c>
      <c r="AP2">
        <v>12404848576</v>
      </c>
      <c r="AQ2">
        <v>20674751022</v>
      </c>
      <c r="AR2">
        <v>41349495</v>
      </c>
      <c r="AS2">
        <v>0</v>
      </c>
      <c r="AT2">
        <v>27566341</v>
      </c>
      <c r="AU2">
        <v>41349495</v>
      </c>
      <c r="AV2">
        <v>68915836</v>
      </c>
      <c r="AW2">
        <v>34.805100000000003</v>
      </c>
      <c r="AX2">
        <v>22.563199999999998</v>
      </c>
      <c r="AY2">
        <v>6470.1</v>
      </c>
      <c r="AZ2">
        <v>5180.46</v>
      </c>
      <c r="BA2">
        <v>120710</v>
      </c>
      <c r="BB2">
        <v>9020</v>
      </c>
      <c r="BC2" t="str">
        <f>"u="&amp;(H2+I2)&amp;"%, k=2x10^"&amp;LOG10(L2/2)</f>
        <v>u=40%, k=2x10^9</v>
      </c>
      <c r="BD2" t="str">
        <f>IF(AH2="",0,LEFT(AH2,IF(ISNUMBER(FIND(" ",AH2)),FIND(" ",AH2)-1,LEN(AH2))))</f>
        <v>16</v>
      </c>
    </row>
    <row r="3" spans="1:56">
      <c r="A3" t="s">
        <v>123</v>
      </c>
      <c r="B3" t="s">
        <v>66</v>
      </c>
      <c r="C3">
        <v>208</v>
      </c>
      <c r="D3" t="s">
        <v>65</v>
      </c>
      <c r="E3" t="s">
        <v>60</v>
      </c>
      <c r="F3" t="s">
        <v>61</v>
      </c>
      <c r="G3">
        <v>300000</v>
      </c>
      <c r="H3">
        <v>20</v>
      </c>
      <c r="I3">
        <v>20</v>
      </c>
      <c r="J3">
        <v>0</v>
      </c>
      <c r="K3">
        <v>1</v>
      </c>
      <c r="L3">
        <v>2000000000</v>
      </c>
      <c r="M3">
        <v>190</v>
      </c>
      <c r="N3">
        <v>190</v>
      </c>
      <c r="O3">
        <v>190</v>
      </c>
      <c r="P3">
        <v>0</v>
      </c>
      <c r="Q3" t="s">
        <v>62</v>
      </c>
      <c r="R3">
        <v>1.00002146332638E+18</v>
      </c>
      <c r="S3">
        <v>1000008563</v>
      </c>
      <c r="T3">
        <v>1.00002146332638E+18</v>
      </c>
      <c r="U3">
        <v>1000008563</v>
      </c>
      <c r="V3" t="s">
        <v>75</v>
      </c>
      <c r="W3">
        <v>12</v>
      </c>
      <c r="X3">
        <v>25663381</v>
      </c>
      <c r="Y3">
        <v>175941760</v>
      </c>
      <c r="Z3">
        <v>201605141</v>
      </c>
      <c r="AA3">
        <v>1000008563</v>
      </c>
      <c r="AB3">
        <v>7.8557499999999996</v>
      </c>
      <c r="AC3">
        <v>5.6837499999999999</v>
      </c>
      <c r="AD3">
        <v>5.9602300000000001</v>
      </c>
      <c r="AE3">
        <v>11</v>
      </c>
      <c r="AF3">
        <v>41933869328</v>
      </c>
      <c r="AJ3" t="s">
        <v>124</v>
      </c>
      <c r="AM3">
        <v>12154209617</v>
      </c>
      <c r="AN3">
        <v>0</v>
      </c>
      <c r="AO3">
        <v>8102799612</v>
      </c>
      <c r="AP3">
        <v>12154209617</v>
      </c>
      <c r="AQ3">
        <v>20257009229</v>
      </c>
      <c r="AR3">
        <v>40514032</v>
      </c>
      <c r="AS3">
        <v>0</v>
      </c>
      <c r="AT3">
        <v>27009332</v>
      </c>
      <c r="AU3">
        <v>40514032</v>
      </c>
      <c r="AV3">
        <v>67523364</v>
      </c>
      <c r="AW3">
        <v>38.033000000000001</v>
      </c>
      <c r="AX3">
        <v>22.061800000000002</v>
      </c>
      <c r="AY3">
        <v>7770.49</v>
      </c>
      <c r="AZ3">
        <v>5758.64</v>
      </c>
      <c r="BA3">
        <v>73342</v>
      </c>
      <c r="BB3">
        <v>61405</v>
      </c>
      <c r="BC3" t="str">
        <f t="shared" ref="BC3:BC13" si="0">"u="&amp;(H3+I3)&amp;"%, k=2x10^"&amp;LOG10(L3/2)</f>
        <v>u=40%, k=2x10^9</v>
      </c>
      <c r="BD3">
        <f t="shared" ref="BD3:BD13" si="1">IF(AH3="",0,LEFT(AH3,IF(ISNUMBER(FIND(" ",AH3)),FIND(" ",AH3)-1,LEN(AH3))))</f>
        <v>0</v>
      </c>
    </row>
    <row r="4" spans="1:56">
      <c r="A4" t="s">
        <v>125</v>
      </c>
      <c r="B4" t="s">
        <v>67</v>
      </c>
      <c r="D4" t="s">
        <v>65</v>
      </c>
      <c r="E4" t="s">
        <v>60</v>
      </c>
      <c r="F4" t="s">
        <v>61</v>
      </c>
      <c r="G4">
        <v>300000</v>
      </c>
      <c r="H4">
        <v>20</v>
      </c>
      <c r="I4">
        <v>20</v>
      </c>
      <c r="J4">
        <v>0</v>
      </c>
      <c r="K4">
        <v>1</v>
      </c>
      <c r="L4">
        <v>2000000000</v>
      </c>
      <c r="M4">
        <v>190</v>
      </c>
      <c r="N4">
        <v>190</v>
      </c>
      <c r="O4">
        <v>190</v>
      </c>
      <c r="P4">
        <v>0</v>
      </c>
      <c r="Q4" t="s">
        <v>62</v>
      </c>
      <c r="R4">
        <v>9.9997054449804403E+17</v>
      </c>
      <c r="S4">
        <v>999963149</v>
      </c>
      <c r="T4">
        <v>9.9997054449804403E+17</v>
      </c>
      <c r="U4">
        <v>999963149</v>
      </c>
      <c r="V4" t="s">
        <v>75</v>
      </c>
      <c r="W4">
        <v>37</v>
      </c>
      <c r="X4">
        <v>677095658</v>
      </c>
      <c r="Y4">
        <v>513183679</v>
      </c>
      <c r="Z4">
        <v>1190279337</v>
      </c>
      <c r="AA4">
        <v>999963149</v>
      </c>
      <c r="AB4">
        <v>1.7579199999999999</v>
      </c>
      <c r="AC4">
        <v>1.94855</v>
      </c>
      <c r="AD4">
        <v>1.8401099999999999</v>
      </c>
      <c r="AE4">
        <v>29.953199999999999</v>
      </c>
      <c r="AF4">
        <v>66655642872</v>
      </c>
      <c r="AJ4" t="s">
        <v>126</v>
      </c>
      <c r="AM4">
        <v>7620184143</v>
      </c>
      <c r="AN4">
        <v>0</v>
      </c>
      <c r="AO4">
        <v>5080078078</v>
      </c>
      <c r="AP4">
        <v>7620184143</v>
      </c>
      <c r="AQ4">
        <v>12700262221</v>
      </c>
      <c r="AR4">
        <v>25400613</v>
      </c>
      <c r="AS4">
        <v>0</v>
      </c>
      <c r="AT4">
        <v>16933593</v>
      </c>
      <c r="AU4">
        <v>25400613</v>
      </c>
      <c r="AV4">
        <v>42334207</v>
      </c>
      <c r="AW4">
        <v>58.716500000000003</v>
      </c>
      <c r="AX4">
        <v>33.477499999999999</v>
      </c>
      <c r="AY4">
        <v>12491.8</v>
      </c>
      <c r="AZ4">
        <v>10725.5</v>
      </c>
      <c r="BA4">
        <v>89903</v>
      </c>
      <c r="BB4">
        <v>32729</v>
      </c>
      <c r="BC4" t="str">
        <f t="shared" si="0"/>
        <v>u=40%, k=2x10^9</v>
      </c>
      <c r="BD4">
        <f t="shared" si="1"/>
        <v>0</v>
      </c>
    </row>
    <row r="5" spans="1:56">
      <c r="A5" t="s">
        <v>127</v>
      </c>
      <c r="B5" t="s">
        <v>68</v>
      </c>
      <c r="D5" t="s">
        <v>65</v>
      </c>
      <c r="E5" t="s">
        <v>60</v>
      </c>
      <c r="F5" t="s">
        <v>61</v>
      </c>
      <c r="G5">
        <v>300000</v>
      </c>
      <c r="H5">
        <v>20</v>
      </c>
      <c r="I5">
        <v>20</v>
      </c>
      <c r="J5">
        <v>0</v>
      </c>
      <c r="K5">
        <v>1</v>
      </c>
      <c r="L5">
        <v>2000000000</v>
      </c>
      <c r="M5">
        <v>190</v>
      </c>
      <c r="N5">
        <v>190</v>
      </c>
      <c r="O5">
        <v>190</v>
      </c>
      <c r="P5">
        <v>0</v>
      </c>
      <c r="Q5" t="s">
        <v>62</v>
      </c>
      <c r="R5">
        <v>9.9996369673870003E+17</v>
      </c>
      <c r="S5">
        <v>999967140</v>
      </c>
      <c r="T5">
        <v>9.9996369673870003E+17</v>
      </c>
      <c r="U5">
        <v>999967140</v>
      </c>
      <c r="V5" t="s">
        <v>75</v>
      </c>
      <c r="W5">
        <v>81</v>
      </c>
      <c r="X5">
        <v>999967139</v>
      </c>
      <c r="Y5">
        <v>999967140</v>
      </c>
      <c r="Z5">
        <v>1999934279</v>
      </c>
      <c r="AA5">
        <v>999967140</v>
      </c>
      <c r="AB5">
        <v>2</v>
      </c>
      <c r="AC5">
        <v>1</v>
      </c>
      <c r="AD5">
        <v>1.5</v>
      </c>
      <c r="AE5">
        <v>40.392000000000003</v>
      </c>
      <c r="AF5">
        <v>63997896928</v>
      </c>
      <c r="AJ5" t="s">
        <v>128</v>
      </c>
      <c r="AM5">
        <v>6202033100</v>
      </c>
      <c r="AN5">
        <v>0</v>
      </c>
      <c r="AO5">
        <v>4134794244</v>
      </c>
      <c r="AP5">
        <v>6202033100</v>
      </c>
      <c r="AQ5">
        <v>10336827344</v>
      </c>
      <c r="AR5">
        <v>20673443</v>
      </c>
      <c r="AS5">
        <v>0</v>
      </c>
      <c r="AT5">
        <v>13782647</v>
      </c>
      <c r="AU5">
        <v>20673443</v>
      </c>
      <c r="AV5">
        <v>34456091</v>
      </c>
      <c r="AW5">
        <v>58.299199999999999</v>
      </c>
      <c r="AX5">
        <v>34.189799999999998</v>
      </c>
      <c r="AY5">
        <v>15348.5</v>
      </c>
      <c r="AZ5">
        <v>13407.1</v>
      </c>
      <c r="BA5">
        <v>92579</v>
      </c>
      <c r="BB5">
        <v>33811</v>
      </c>
      <c r="BC5" t="str">
        <f t="shared" si="0"/>
        <v>u=40%, k=2x10^9</v>
      </c>
      <c r="BD5">
        <f t="shared" si="1"/>
        <v>0</v>
      </c>
    </row>
    <row r="6" spans="1:56">
      <c r="A6" t="s">
        <v>129</v>
      </c>
      <c r="B6" t="s">
        <v>64</v>
      </c>
      <c r="C6">
        <v>72</v>
      </c>
      <c r="D6" t="s">
        <v>65</v>
      </c>
      <c r="E6" t="s">
        <v>60</v>
      </c>
      <c r="F6" t="s">
        <v>61</v>
      </c>
      <c r="G6">
        <v>300000</v>
      </c>
      <c r="H6">
        <v>20</v>
      </c>
      <c r="I6">
        <v>20</v>
      </c>
      <c r="J6">
        <v>0</v>
      </c>
      <c r="K6">
        <v>1</v>
      </c>
      <c r="L6">
        <v>2000000000</v>
      </c>
      <c r="M6">
        <v>190</v>
      </c>
      <c r="N6">
        <v>190</v>
      </c>
      <c r="O6">
        <v>190</v>
      </c>
      <c r="P6">
        <v>0</v>
      </c>
      <c r="Q6" t="s">
        <v>62</v>
      </c>
      <c r="R6">
        <v>1.00000651764265E+18</v>
      </c>
      <c r="S6">
        <v>1000013378</v>
      </c>
      <c r="T6">
        <v>1.00000651764265E+18</v>
      </c>
      <c r="U6">
        <v>1000013378</v>
      </c>
      <c r="V6" t="s">
        <v>75</v>
      </c>
      <c r="W6">
        <v>7</v>
      </c>
      <c r="X6">
        <v>125793292</v>
      </c>
      <c r="Y6">
        <v>1164916367</v>
      </c>
      <c r="Z6">
        <v>1290709659</v>
      </c>
      <c r="AA6">
        <v>1000013378</v>
      </c>
      <c r="AB6">
        <v>10.2606</v>
      </c>
      <c r="AC6">
        <v>0.85844200000000004</v>
      </c>
      <c r="AD6">
        <v>1.77478</v>
      </c>
      <c r="AE6">
        <v>4.0874800000000002</v>
      </c>
      <c r="AF6">
        <v>28755866640</v>
      </c>
      <c r="AG6" t="s">
        <v>130</v>
      </c>
      <c r="AH6" t="s">
        <v>131</v>
      </c>
      <c r="AI6">
        <v>769800</v>
      </c>
      <c r="AJ6">
        <v>100354</v>
      </c>
      <c r="AM6">
        <v>12405961525</v>
      </c>
      <c r="AN6">
        <v>0</v>
      </c>
      <c r="AO6">
        <v>8270685040</v>
      </c>
      <c r="AP6">
        <v>12405961525</v>
      </c>
      <c r="AQ6">
        <v>20676646565</v>
      </c>
      <c r="AR6">
        <v>41353205</v>
      </c>
      <c r="AS6">
        <v>0</v>
      </c>
      <c r="AT6">
        <v>27568950</v>
      </c>
      <c r="AU6">
        <v>41353205</v>
      </c>
      <c r="AV6">
        <v>68922155</v>
      </c>
      <c r="AW6">
        <v>34.799599999999998</v>
      </c>
      <c r="AX6">
        <v>22.553999999999998</v>
      </c>
      <c r="AY6">
        <v>6476.63</v>
      </c>
      <c r="AZ6">
        <v>5180.74</v>
      </c>
      <c r="BA6">
        <v>120890</v>
      </c>
      <c r="BB6">
        <v>9636</v>
      </c>
      <c r="BC6" t="str">
        <f t="shared" si="0"/>
        <v>u=40%, k=2x10^9</v>
      </c>
      <c r="BD6" t="str">
        <f t="shared" si="1"/>
        <v>16</v>
      </c>
    </row>
    <row r="7" spans="1:56">
      <c r="A7" t="s">
        <v>132</v>
      </c>
      <c r="B7" t="s">
        <v>66</v>
      </c>
      <c r="C7">
        <v>208</v>
      </c>
      <c r="D7" t="s">
        <v>65</v>
      </c>
      <c r="E7" t="s">
        <v>60</v>
      </c>
      <c r="F7" t="s">
        <v>61</v>
      </c>
      <c r="G7">
        <v>300000</v>
      </c>
      <c r="H7">
        <v>20</v>
      </c>
      <c r="I7">
        <v>20</v>
      </c>
      <c r="J7">
        <v>0</v>
      </c>
      <c r="K7">
        <v>1</v>
      </c>
      <c r="L7">
        <v>2000000000</v>
      </c>
      <c r="M7">
        <v>190</v>
      </c>
      <c r="N7">
        <v>190</v>
      </c>
      <c r="O7">
        <v>190</v>
      </c>
      <c r="P7">
        <v>0</v>
      </c>
      <c r="Q7" t="s">
        <v>62</v>
      </c>
      <c r="R7">
        <v>1.00003773320293E+18</v>
      </c>
      <c r="S7">
        <v>1000027104</v>
      </c>
      <c r="T7">
        <v>1.00003773320293E+18</v>
      </c>
      <c r="U7">
        <v>1000027104</v>
      </c>
      <c r="V7" t="s">
        <v>75</v>
      </c>
      <c r="W7">
        <v>12</v>
      </c>
      <c r="X7">
        <v>25667317</v>
      </c>
      <c r="Y7">
        <v>175951406</v>
      </c>
      <c r="Z7">
        <v>201618723</v>
      </c>
      <c r="AA7">
        <v>1000027104</v>
      </c>
      <c r="AB7">
        <v>7.8550800000000001</v>
      </c>
      <c r="AC7">
        <v>5.6835399999999998</v>
      </c>
      <c r="AD7">
        <v>5.9599900000000003</v>
      </c>
      <c r="AE7">
        <v>11</v>
      </c>
      <c r="AF7">
        <v>41936694384</v>
      </c>
      <c r="AJ7" t="s">
        <v>133</v>
      </c>
      <c r="AM7">
        <v>12133129307</v>
      </c>
      <c r="AN7">
        <v>0</v>
      </c>
      <c r="AO7">
        <v>8088769279</v>
      </c>
      <c r="AP7">
        <v>12133129307</v>
      </c>
      <c r="AQ7">
        <v>20221898586</v>
      </c>
      <c r="AR7">
        <v>40443764</v>
      </c>
      <c r="AS7">
        <v>0</v>
      </c>
      <c r="AT7">
        <v>26962564</v>
      </c>
      <c r="AU7">
        <v>40443764</v>
      </c>
      <c r="AV7">
        <v>67406328</v>
      </c>
      <c r="AW7">
        <v>38.071899999999999</v>
      </c>
      <c r="AX7">
        <v>22.057099999999998</v>
      </c>
      <c r="AY7">
        <v>7778.41</v>
      </c>
      <c r="AZ7">
        <v>5757.97</v>
      </c>
      <c r="BA7">
        <v>73110</v>
      </c>
      <c r="BB7">
        <v>61021</v>
      </c>
      <c r="BC7" t="str">
        <f t="shared" si="0"/>
        <v>u=40%, k=2x10^9</v>
      </c>
      <c r="BD7">
        <f t="shared" si="1"/>
        <v>0</v>
      </c>
    </row>
    <row r="8" spans="1:56">
      <c r="A8" t="s">
        <v>134</v>
      </c>
      <c r="B8" t="s">
        <v>67</v>
      </c>
      <c r="D8" t="s">
        <v>65</v>
      </c>
      <c r="E8" t="s">
        <v>60</v>
      </c>
      <c r="F8" t="s">
        <v>61</v>
      </c>
      <c r="G8">
        <v>300000</v>
      </c>
      <c r="H8">
        <v>20</v>
      </c>
      <c r="I8">
        <v>20</v>
      </c>
      <c r="J8">
        <v>0</v>
      </c>
      <c r="K8">
        <v>1</v>
      </c>
      <c r="L8">
        <v>2000000000</v>
      </c>
      <c r="M8">
        <v>190</v>
      </c>
      <c r="N8">
        <v>190</v>
      </c>
      <c r="O8">
        <v>190</v>
      </c>
      <c r="P8">
        <v>0</v>
      </c>
      <c r="Q8" t="s">
        <v>62</v>
      </c>
      <c r="R8">
        <v>9.9994289200410701E+17</v>
      </c>
      <c r="S8">
        <v>999943151</v>
      </c>
      <c r="T8">
        <v>9.9994289200410701E+17</v>
      </c>
      <c r="U8">
        <v>999943151</v>
      </c>
      <c r="V8" t="s">
        <v>75</v>
      </c>
      <c r="W8">
        <v>37</v>
      </c>
      <c r="X8">
        <v>677041318</v>
      </c>
      <c r="Y8">
        <v>513136486</v>
      </c>
      <c r="Z8">
        <v>1190177804</v>
      </c>
      <c r="AA8">
        <v>999943151</v>
      </c>
      <c r="AB8">
        <v>1.7579100000000001</v>
      </c>
      <c r="AC8">
        <v>1.94869</v>
      </c>
      <c r="AD8">
        <v>1.84016</v>
      </c>
      <c r="AE8">
        <v>29.9438</v>
      </c>
      <c r="AF8">
        <v>66649957024</v>
      </c>
      <c r="AJ8" t="s">
        <v>135</v>
      </c>
      <c r="AM8">
        <v>7613343382</v>
      </c>
      <c r="AN8">
        <v>0</v>
      </c>
      <c r="AO8">
        <v>5075644449</v>
      </c>
      <c r="AP8">
        <v>7613343382</v>
      </c>
      <c r="AQ8">
        <v>12688987831</v>
      </c>
      <c r="AR8">
        <v>25377811</v>
      </c>
      <c r="AS8">
        <v>0</v>
      </c>
      <c r="AT8">
        <v>16918814</v>
      </c>
      <c r="AU8">
        <v>25377811</v>
      </c>
      <c r="AV8">
        <v>42296626</v>
      </c>
      <c r="AW8">
        <v>58.808399999999999</v>
      </c>
      <c r="AX8">
        <v>33.482900000000001</v>
      </c>
      <c r="AY8">
        <v>12501.5</v>
      </c>
      <c r="AZ8">
        <v>10744.1</v>
      </c>
      <c r="BA8">
        <v>89883</v>
      </c>
      <c r="BB8">
        <v>32807</v>
      </c>
      <c r="BC8" t="str">
        <f t="shared" si="0"/>
        <v>u=40%, k=2x10^9</v>
      </c>
      <c r="BD8">
        <f t="shared" si="1"/>
        <v>0</v>
      </c>
    </row>
    <row r="9" spans="1:56">
      <c r="A9" t="s">
        <v>136</v>
      </c>
      <c r="B9" t="s">
        <v>68</v>
      </c>
      <c r="D9" t="s">
        <v>65</v>
      </c>
      <c r="E9" t="s">
        <v>60</v>
      </c>
      <c r="F9" t="s">
        <v>61</v>
      </c>
      <c r="G9">
        <v>300000</v>
      </c>
      <c r="H9">
        <v>20</v>
      </c>
      <c r="I9">
        <v>20</v>
      </c>
      <c r="J9">
        <v>0</v>
      </c>
      <c r="K9">
        <v>1</v>
      </c>
      <c r="L9">
        <v>2000000000</v>
      </c>
      <c r="M9">
        <v>190</v>
      </c>
      <c r="N9">
        <v>190</v>
      </c>
      <c r="O9">
        <v>190</v>
      </c>
      <c r="P9">
        <v>0</v>
      </c>
      <c r="Q9" t="s">
        <v>62</v>
      </c>
      <c r="R9">
        <v>9.9997741140855296E+17</v>
      </c>
      <c r="S9">
        <v>999990493</v>
      </c>
      <c r="T9">
        <v>9.9997741140855296E+17</v>
      </c>
      <c r="U9">
        <v>999990493</v>
      </c>
      <c r="V9" t="s">
        <v>75</v>
      </c>
      <c r="W9">
        <v>82</v>
      </c>
      <c r="X9">
        <v>999990492</v>
      </c>
      <c r="Y9">
        <v>999990493</v>
      </c>
      <c r="Z9">
        <v>1999980985</v>
      </c>
      <c r="AA9">
        <v>999990493</v>
      </c>
      <c r="AB9">
        <v>2</v>
      </c>
      <c r="AC9">
        <v>1</v>
      </c>
      <c r="AD9">
        <v>1.5</v>
      </c>
      <c r="AE9">
        <v>40.622199999999999</v>
      </c>
      <c r="AF9">
        <v>63999391520</v>
      </c>
      <c r="AJ9" t="s">
        <v>137</v>
      </c>
      <c r="AM9">
        <v>6210494121</v>
      </c>
      <c r="AN9">
        <v>0</v>
      </c>
      <c r="AO9">
        <v>4140374700</v>
      </c>
      <c r="AP9">
        <v>6210494121</v>
      </c>
      <c r="AQ9">
        <v>10350868821</v>
      </c>
      <c r="AR9">
        <v>20701647</v>
      </c>
      <c r="AS9">
        <v>0</v>
      </c>
      <c r="AT9">
        <v>13801249</v>
      </c>
      <c r="AU9">
        <v>20701647</v>
      </c>
      <c r="AV9">
        <v>34502896</v>
      </c>
      <c r="AW9">
        <v>58.168100000000003</v>
      </c>
      <c r="AX9">
        <v>34.1753</v>
      </c>
      <c r="AY9">
        <v>15326.6</v>
      </c>
      <c r="AZ9">
        <v>13383.4</v>
      </c>
      <c r="BA9">
        <v>92607</v>
      </c>
      <c r="BB9">
        <v>33676</v>
      </c>
      <c r="BC9" t="str">
        <f t="shared" si="0"/>
        <v>u=40%, k=2x10^9</v>
      </c>
      <c r="BD9">
        <f t="shared" si="1"/>
        <v>0</v>
      </c>
    </row>
    <row r="10" spans="1:56">
      <c r="A10" t="s">
        <v>138</v>
      </c>
      <c r="B10" t="s">
        <v>64</v>
      </c>
      <c r="C10">
        <v>72</v>
      </c>
      <c r="D10" t="s">
        <v>65</v>
      </c>
      <c r="E10" t="s">
        <v>60</v>
      </c>
      <c r="F10" t="s">
        <v>61</v>
      </c>
      <c r="G10">
        <v>300000</v>
      </c>
      <c r="H10">
        <v>20</v>
      </c>
      <c r="I10">
        <v>20</v>
      </c>
      <c r="J10">
        <v>0</v>
      </c>
      <c r="K10">
        <v>1</v>
      </c>
      <c r="L10">
        <v>2000000000</v>
      </c>
      <c r="M10">
        <v>190</v>
      </c>
      <c r="N10">
        <v>190</v>
      </c>
      <c r="O10">
        <v>190</v>
      </c>
      <c r="P10">
        <v>0</v>
      </c>
      <c r="Q10" t="s">
        <v>62</v>
      </c>
      <c r="R10">
        <v>9.9999438410640294E+17</v>
      </c>
      <c r="S10">
        <v>1000003065</v>
      </c>
      <c r="T10">
        <v>9.9999438410640294E+17</v>
      </c>
      <c r="U10">
        <v>1000003065</v>
      </c>
      <c r="V10" t="s">
        <v>75</v>
      </c>
      <c r="W10">
        <v>7</v>
      </c>
      <c r="X10">
        <v>125827013</v>
      </c>
      <c r="Y10">
        <v>1165000495</v>
      </c>
      <c r="Z10">
        <v>1290827508</v>
      </c>
      <c r="AA10">
        <v>1000003065</v>
      </c>
      <c r="AB10">
        <v>10.258699999999999</v>
      </c>
      <c r="AC10">
        <v>0.858371</v>
      </c>
      <c r="AD10">
        <v>1.7746999999999999</v>
      </c>
      <c r="AE10">
        <v>4.0875700000000004</v>
      </c>
      <c r="AF10">
        <v>28760119040</v>
      </c>
      <c r="AG10" t="s">
        <v>139</v>
      </c>
      <c r="AH10" t="s">
        <v>140</v>
      </c>
      <c r="AI10">
        <v>763340</v>
      </c>
      <c r="AJ10">
        <v>100460</v>
      </c>
      <c r="AM10">
        <v>12407451135</v>
      </c>
      <c r="AN10">
        <v>0</v>
      </c>
      <c r="AO10">
        <v>8271446129</v>
      </c>
      <c r="AP10">
        <v>12407451135</v>
      </c>
      <c r="AQ10">
        <v>20678897264</v>
      </c>
      <c r="AR10">
        <v>41358170</v>
      </c>
      <c r="AS10">
        <v>0</v>
      </c>
      <c r="AT10">
        <v>27571487</v>
      </c>
      <c r="AU10">
        <v>41358170</v>
      </c>
      <c r="AV10">
        <v>68929657</v>
      </c>
      <c r="AW10">
        <v>34.800400000000003</v>
      </c>
      <c r="AX10">
        <v>22.554400000000001</v>
      </c>
      <c r="AY10">
        <v>6468.87</v>
      </c>
      <c r="AZ10">
        <v>5174.83</v>
      </c>
      <c r="BA10">
        <v>120691</v>
      </c>
      <c r="BB10">
        <v>9092</v>
      </c>
      <c r="BC10" t="str">
        <f t="shared" si="0"/>
        <v>u=40%, k=2x10^9</v>
      </c>
      <c r="BD10" t="str">
        <f t="shared" si="1"/>
        <v>16</v>
      </c>
    </row>
    <row r="11" spans="1:56">
      <c r="A11" t="s">
        <v>141</v>
      </c>
      <c r="B11" t="s">
        <v>66</v>
      </c>
      <c r="C11">
        <v>208</v>
      </c>
      <c r="D11" t="s">
        <v>65</v>
      </c>
      <c r="E11" t="s">
        <v>60</v>
      </c>
      <c r="F11" t="s">
        <v>61</v>
      </c>
      <c r="G11">
        <v>300000</v>
      </c>
      <c r="H11">
        <v>20</v>
      </c>
      <c r="I11">
        <v>20</v>
      </c>
      <c r="J11">
        <v>0</v>
      </c>
      <c r="K11">
        <v>1</v>
      </c>
      <c r="L11">
        <v>2000000000</v>
      </c>
      <c r="M11">
        <v>190</v>
      </c>
      <c r="N11">
        <v>190</v>
      </c>
      <c r="O11">
        <v>190</v>
      </c>
      <c r="P11">
        <v>0</v>
      </c>
      <c r="Q11" t="s">
        <v>62</v>
      </c>
      <c r="R11">
        <v>1.00000573045744E+18</v>
      </c>
      <c r="S11">
        <v>1000001442</v>
      </c>
      <c r="T11">
        <v>1.00000573045744E+18</v>
      </c>
      <c r="U11">
        <v>1000001442</v>
      </c>
      <c r="V11" t="s">
        <v>75</v>
      </c>
      <c r="W11">
        <v>12</v>
      </c>
      <c r="X11">
        <v>25663180</v>
      </c>
      <c r="Y11">
        <v>175945329</v>
      </c>
      <c r="Z11">
        <v>201608509</v>
      </c>
      <c r="AA11">
        <v>1000001442</v>
      </c>
      <c r="AB11">
        <v>7.8559400000000004</v>
      </c>
      <c r="AC11">
        <v>5.6835899999999997</v>
      </c>
      <c r="AD11">
        <v>5.9601199999999999</v>
      </c>
      <c r="AE11">
        <v>11</v>
      </c>
      <c r="AF11">
        <v>41934569872</v>
      </c>
      <c r="AJ11" t="s">
        <v>142</v>
      </c>
      <c r="AM11">
        <v>12144427708</v>
      </c>
      <c r="AN11">
        <v>0</v>
      </c>
      <c r="AO11">
        <v>8096351125</v>
      </c>
      <c r="AP11">
        <v>12144427708</v>
      </c>
      <c r="AQ11">
        <v>20240778833</v>
      </c>
      <c r="AR11">
        <v>40481425</v>
      </c>
      <c r="AS11">
        <v>0</v>
      </c>
      <c r="AT11">
        <v>26987837</v>
      </c>
      <c r="AU11">
        <v>40481425</v>
      </c>
      <c r="AV11">
        <v>67469262</v>
      </c>
      <c r="AW11">
        <v>37.997300000000003</v>
      </c>
      <c r="AX11">
        <v>22.041499999999999</v>
      </c>
      <c r="AY11">
        <v>7777.14</v>
      </c>
      <c r="AZ11">
        <v>5756.81</v>
      </c>
      <c r="BA11">
        <v>73332</v>
      </c>
      <c r="BB11">
        <v>61257</v>
      </c>
      <c r="BC11" t="str">
        <f t="shared" si="0"/>
        <v>u=40%, k=2x10^9</v>
      </c>
      <c r="BD11">
        <f t="shared" si="1"/>
        <v>0</v>
      </c>
    </row>
    <row r="12" spans="1:56">
      <c r="A12" t="s">
        <v>143</v>
      </c>
      <c r="B12" t="s">
        <v>67</v>
      </c>
      <c r="D12" t="s">
        <v>65</v>
      </c>
      <c r="E12" t="s">
        <v>60</v>
      </c>
      <c r="F12" t="s">
        <v>61</v>
      </c>
      <c r="G12">
        <v>300000</v>
      </c>
      <c r="H12">
        <v>20</v>
      </c>
      <c r="I12">
        <v>20</v>
      </c>
      <c r="J12">
        <v>0</v>
      </c>
      <c r="K12">
        <v>1</v>
      </c>
      <c r="L12">
        <v>2000000000</v>
      </c>
      <c r="M12">
        <v>190</v>
      </c>
      <c r="N12">
        <v>190</v>
      </c>
      <c r="O12">
        <v>190</v>
      </c>
      <c r="P12">
        <v>0</v>
      </c>
      <c r="Q12" t="s">
        <v>62</v>
      </c>
      <c r="R12">
        <v>1.00000175201245E+18</v>
      </c>
      <c r="S12">
        <v>999975810</v>
      </c>
      <c r="T12">
        <v>1.00000175201245E+18</v>
      </c>
      <c r="U12">
        <v>999975810</v>
      </c>
      <c r="V12" t="s">
        <v>75</v>
      </c>
      <c r="W12">
        <v>37</v>
      </c>
      <c r="X12">
        <v>676649749</v>
      </c>
      <c r="Y12">
        <v>512879880</v>
      </c>
      <c r="Z12">
        <v>1189529629</v>
      </c>
      <c r="AA12">
        <v>999975810</v>
      </c>
      <c r="AB12">
        <v>1.75797</v>
      </c>
      <c r="AC12">
        <v>1.94973</v>
      </c>
      <c r="AD12">
        <v>1.8406499999999999</v>
      </c>
      <c r="AE12">
        <v>29.979900000000001</v>
      </c>
      <c r="AF12">
        <v>66613659224</v>
      </c>
      <c r="AJ12" t="s">
        <v>144</v>
      </c>
      <c r="AM12">
        <v>7640893621</v>
      </c>
      <c r="AN12">
        <v>0</v>
      </c>
      <c r="AO12">
        <v>5093858123</v>
      </c>
      <c r="AP12">
        <v>7640893621</v>
      </c>
      <c r="AQ12">
        <v>12734751744</v>
      </c>
      <c r="AR12">
        <v>25469645</v>
      </c>
      <c r="AS12">
        <v>0</v>
      </c>
      <c r="AT12">
        <v>16979527</v>
      </c>
      <c r="AU12">
        <v>25469645</v>
      </c>
      <c r="AV12">
        <v>42449172</v>
      </c>
      <c r="AW12">
        <v>58.536900000000003</v>
      </c>
      <c r="AX12">
        <v>33.478900000000003</v>
      </c>
      <c r="AY12">
        <v>12458.1</v>
      </c>
      <c r="AZ12">
        <v>10699.4</v>
      </c>
      <c r="BA12">
        <v>89801</v>
      </c>
      <c r="BB12">
        <v>32693</v>
      </c>
      <c r="BC12" t="str">
        <f t="shared" si="0"/>
        <v>u=40%, k=2x10^9</v>
      </c>
      <c r="BD12">
        <f t="shared" si="1"/>
        <v>0</v>
      </c>
    </row>
    <row r="13" spans="1:56">
      <c r="A13" t="s">
        <v>145</v>
      </c>
      <c r="B13" t="s">
        <v>68</v>
      </c>
      <c r="D13" t="s">
        <v>65</v>
      </c>
      <c r="E13" t="s">
        <v>60</v>
      </c>
      <c r="F13" t="s">
        <v>61</v>
      </c>
      <c r="G13">
        <v>300000</v>
      </c>
      <c r="H13">
        <v>20</v>
      </c>
      <c r="I13">
        <v>20</v>
      </c>
      <c r="J13">
        <v>0</v>
      </c>
      <c r="K13">
        <v>1</v>
      </c>
      <c r="L13">
        <v>2000000000</v>
      </c>
      <c r="M13">
        <v>190</v>
      </c>
      <c r="N13">
        <v>190</v>
      </c>
      <c r="O13">
        <v>190</v>
      </c>
      <c r="P13">
        <v>0</v>
      </c>
      <c r="Q13" t="s">
        <v>62</v>
      </c>
      <c r="R13">
        <v>9.9996164413785203E+17</v>
      </c>
      <c r="S13">
        <v>999973226</v>
      </c>
      <c r="T13">
        <v>9.9996164413785203E+17</v>
      </c>
      <c r="U13">
        <v>999973226</v>
      </c>
      <c r="V13" t="s">
        <v>75</v>
      </c>
      <c r="W13">
        <v>80</v>
      </c>
      <c r="X13">
        <v>999973225</v>
      </c>
      <c r="Y13">
        <v>999973226</v>
      </c>
      <c r="Z13">
        <v>1999946451</v>
      </c>
      <c r="AA13">
        <v>999973226</v>
      </c>
      <c r="AB13">
        <v>2</v>
      </c>
      <c r="AC13">
        <v>1</v>
      </c>
      <c r="AD13">
        <v>1.5</v>
      </c>
      <c r="AE13">
        <v>40.6419</v>
      </c>
      <c r="AF13">
        <v>63998286432</v>
      </c>
      <c r="AJ13" t="s">
        <v>146</v>
      </c>
      <c r="AM13">
        <v>6215970465</v>
      </c>
      <c r="AN13">
        <v>0</v>
      </c>
      <c r="AO13">
        <v>4143841483</v>
      </c>
      <c r="AP13">
        <v>6215970465</v>
      </c>
      <c r="AQ13">
        <v>10359811948</v>
      </c>
      <c r="AR13">
        <v>20719901</v>
      </c>
      <c r="AS13">
        <v>0</v>
      </c>
      <c r="AT13">
        <v>13812804</v>
      </c>
      <c r="AU13">
        <v>20719901</v>
      </c>
      <c r="AV13">
        <v>34532706</v>
      </c>
      <c r="AW13">
        <v>58.081600000000002</v>
      </c>
      <c r="AX13">
        <v>34.160600000000002</v>
      </c>
      <c r="AY13">
        <v>15314.5</v>
      </c>
      <c r="AZ13">
        <v>13378.4</v>
      </c>
      <c r="BA13">
        <v>92572</v>
      </c>
      <c r="BB13">
        <v>33716</v>
      </c>
      <c r="BC13" t="str">
        <f t="shared" si="0"/>
        <v>u=40%, k=2x10^9</v>
      </c>
      <c r="BD13">
        <f t="shared" si="1"/>
        <v>0</v>
      </c>
    </row>
    <row r="14" spans="1:56">
      <c r="A14" t="s">
        <v>120</v>
      </c>
      <c r="B14" t="s">
        <v>64</v>
      </c>
      <c r="C14">
        <v>72</v>
      </c>
      <c r="D14" t="s">
        <v>65</v>
      </c>
      <c r="E14" t="s">
        <v>60</v>
      </c>
      <c r="F14" t="s">
        <v>61</v>
      </c>
      <c r="G14">
        <v>300000</v>
      </c>
      <c r="H14">
        <v>0.5</v>
      </c>
      <c r="I14">
        <v>0.5</v>
      </c>
      <c r="J14">
        <v>0</v>
      </c>
      <c r="K14">
        <v>1</v>
      </c>
      <c r="L14">
        <v>2000000000</v>
      </c>
      <c r="M14">
        <v>190</v>
      </c>
      <c r="N14">
        <v>190</v>
      </c>
      <c r="O14">
        <v>190</v>
      </c>
      <c r="P14">
        <v>0</v>
      </c>
      <c r="Q14" t="s">
        <v>62</v>
      </c>
      <c r="R14">
        <v>1.00000955729786E+18</v>
      </c>
      <c r="S14">
        <v>1000003838</v>
      </c>
      <c r="T14">
        <v>1.00000955729786E+18</v>
      </c>
      <c r="U14">
        <v>1000003838</v>
      </c>
      <c r="V14" t="s">
        <v>75</v>
      </c>
      <c r="W14">
        <v>7</v>
      </c>
      <c r="X14">
        <v>124177974</v>
      </c>
      <c r="Y14">
        <v>1163129656</v>
      </c>
      <c r="Z14">
        <v>1287307630</v>
      </c>
      <c r="AA14">
        <v>1000003838</v>
      </c>
      <c r="AB14">
        <v>10.3666</v>
      </c>
      <c r="AC14">
        <v>0.85975299999999999</v>
      </c>
      <c r="AD14">
        <v>1.7768200000000001</v>
      </c>
      <c r="AE14">
        <v>4.0849399999999996</v>
      </c>
      <c r="AF14">
        <v>28605942912</v>
      </c>
      <c r="AG14" t="s">
        <v>147</v>
      </c>
      <c r="AH14" t="s">
        <v>148</v>
      </c>
      <c r="AI14">
        <v>4</v>
      </c>
      <c r="AJ14">
        <v>248340</v>
      </c>
      <c r="AM14">
        <v>41877497927</v>
      </c>
      <c r="AN14">
        <v>0</v>
      </c>
      <c r="AO14">
        <v>422992392</v>
      </c>
      <c r="AP14">
        <v>41877497927</v>
      </c>
      <c r="AQ14">
        <v>42300490319</v>
      </c>
      <c r="AR14">
        <v>139591659</v>
      </c>
      <c r="AS14">
        <v>0</v>
      </c>
      <c r="AT14">
        <v>1409974</v>
      </c>
      <c r="AU14">
        <v>139591659</v>
      </c>
      <c r="AV14">
        <v>141001634</v>
      </c>
      <c r="AW14">
        <v>22.680900000000001</v>
      </c>
      <c r="AX14">
        <v>14.57</v>
      </c>
      <c r="AY14">
        <v>3751.07</v>
      </c>
      <c r="AZ14">
        <v>3007.04</v>
      </c>
      <c r="BA14">
        <v>67138</v>
      </c>
      <c r="BB14">
        <v>8841</v>
      </c>
      <c r="BC14" t="str">
        <f t="shared" ref="BC14:BC25" si="2">"u="&amp;(H14+I14)&amp;"%, k=2x10^"&amp;LOG10(L14/2)</f>
        <v>u=1%, k=2x10^9</v>
      </c>
      <c r="BD14" t="str">
        <f t="shared" ref="BD14:BD25" si="3">IF(AH14="",0,LEFT(AH14,IF(ISNUMBER(FIND(" ",AH14)),FIND(" ",AH14)-1,LEN(AH14))))</f>
        <v>0</v>
      </c>
    </row>
    <row r="15" spans="1:56">
      <c r="A15" t="s">
        <v>123</v>
      </c>
      <c r="B15" t="s">
        <v>66</v>
      </c>
      <c r="C15">
        <v>208</v>
      </c>
      <c r="D15" t="s">
        <v>65</v>
      </c>
      <c r="E15" t="s">
        <v>60</v>
      </c>
      <c r="F15" t="s">
        <v>61</v>
      </c>
      <c r="G15">
        <v>300000</v>
      </c>
      <c r="H15">
        <v>0.5</v>
      </c>
      <c r="I15">
        <v>0.5</v>
      </c>
      <c r="J15">
        <v>0</v>
      </c>
      <c r="K15">
        <v>1</v>
      </c>
      <c r="L15">
        <v>2000000000</v>
      </c>
      <c r="M15">
        <v>190</v>
      </c>
      <c r="N15">
        <v>190</v>
      </c>
      <c r="O15">
        <v>190</v>
      </c>
      <c r="P15">
        <v>0</v>
      </c>
      <c r="Q15" t="s">
        <v>62</v>
      </c>
      <c r="R15">
        <v>1.00002007885026E+18</v>
      </c>
      <c r="S15">
        <v>999998417</v>
      </c>
      <c r="T15">
        <v>1.00002007885026E+18</v>
      </c>
      <c r="U15">
        <v>999998417</v>
      </c>
      <c r="V15" t="s">
        <v>75</v>
      </c>
      <c r="W15">
        <v>12</v>
      </c>
      <c r="X15">
        <v>19517128</v>
      </c>
      <c r="Y15">
        <v>134319675</v>
      </c>
      <c r="Z15">
        <v>153836803</v>
      </c>
      <c r="AA15">
        <v>999998417</v>
      </c>
      <c r="AB15">
        <v>7.8821399999999997</v>
      </c>
      <c r="AC15">
        <v>7.4449100000000001</v>
      </c>
      <c r="AD15">
        <v>7.5003799999999998</v>
      </c>
      <c r="AE15">
        <v>11</v>
      </c>
      <c r="AF15">
        <v>31998055024</v>
      </c>
      <c r="AJ15" t="s">
        <v>149</v>
      </c>
      <c r="AM15">
        <v>28595331613</v>
      </c>
      <c r="AN15">
        <v>0</v>
      </c>
      <c r="AO15">
        <v>288826086</v>
      </c>
      <c r="AP15">
        <v>28595331613</v>
      </c>
      <c r="AQ15">
        <v>28884157699</v>
      </c>
      <c r="AR15">
        <v>95317772</v>
      </c>
      <c r="AS15">
        <v>0</v>
      </c>
      <c r="AT15">
        <v>962753</v>
      </c>
      <c r="AU15">
        <v>95317772</v>
      </c>
      <c r="AV15">
        <v>96280525</v>
      </c>
      <c r="AW15">
        <v>30.742999999999999</v>
      </c>
      <c r="AX15">
        <v>18.063800000000001</v>
      </c>
      <c r="AY15">
        <v>5492.71</v>
      </c>
      <c r="AZ15">
        <v>4459.45</v>
      </c>
      <c r="BA15">
        <v>35850</v>
      </c>
      <c r="BB15">
        <v>61104</v>
      </c>
      <c r="BC15" t="str">
        <f t="shared" si="2"/>
        <v>u=1%, k=2x10^9</v>
      </c>
      <c r="BD15">
        <f t="shared" si="3"/>
        <v>0</v>
      </c>
    </row>
    <row r="16" spans="1:56">
      <c r="A16" t="s">
        <v>125</v>
      </c>
      <c r="B16" t="s">
        <v>67</v>
      </c>
      <c r="D16" t="s">
        <v>65</v>
      </c>
      <c r="E16" t="s">
        <v>60</v>
      </c>
      <c r="F16" t="s">
        <v>61</v>
      </c>
      <c r="G16">
        <v>300000</v>
      </c>
      <c r="H16">
        <v>0.5</v>
      </c>
      <c r="I16">
        <v>0.5</v>
      </c>
      <c r="J16">
        <v>0</v>
      </c>
      <c r="K16">
        <v>1</v>
      </c>
      <c r="L16">
        <v>2000000000</v>
      </c>
      <c r="M16">
        <v>190</v>
      </c>
      <c r="N16">
        <v>190</v>
      </c>
      <c r="O16">
        <v>190</v>
      </c>
      <c r="P16">
        <v>0</v>
      </c>
      <c r="Q16" t="s">
        <v>62</v>
      </c>
      <c r="R16">
        <v>9.9997525031903296E+17</v>
      </c>
      <c r="S16">
        <v>999994676</v>
      </c>
      <c r="T16">
        <v>9.9997525031903296E+17</v>
      </c>
      <c r="U16">
        <v>999994676</v>
      </c>
      <c r="V16" t="s">
        <v>75</v>
      </c>
      <c r="W16">
        <v>37</v>
      </c>
      <c r="X16">
        <v>579151200</v>
      </c>
      <c r="Y16">
        <v>434994895</v>
      </c>
      <c r="Z16">
        <v>1014146095</v>
      </c>
      <c r="AA16">
        <v>999994676</v>
      </c>
      <c r="AB16">
        <v>1.75109</v>
      </c>
      <c r="AC16">
        <v>2.29887</v>
      </c>
      <c r="AD16">
        <v>1.9860500000000001</v>
      </c>
      <c r="AE16">
        <v>29.540400000000002</v>
      </c>
      <c r="AF16">
        <v>56792181320</v>
      </c>
      <c r="AJ16" t="s">
        <v>150</v>
      </c>
      <c r="AM16">
        <v>13579289397</v>
      </c>
      <c r="AN16">
        <v>0</v>
      </c>
      <c r="AO16">
        <v>137140668</v>
      </c>
      <c r="AP16">
        <v>13579289397</v>
      </c>
      <c r="AQ16">
        <v>13716430065</v>
      </c>
      <c r="AR16">
        <v>45264297</v>
      </c>
      <c r="AS16">
        <v>0</v>
      </c>
      <c r="AT16">
        <v>457135</v>
      </c>
      <c r="AU16">
        <v>45264297</v>
      </c>
      <c r="AV16">
        <v>45721433</v>
      </c>
      <c r="AW16">
        <v>55.861899999999999</v>
      </c>
      <c r="AX16">
        <v>31.967099999999999</v>
      </c>
      <c r="AY16">
        <v>11570.6</v>
      </c>
      <c r="AZ16">
        <v>9974.49</v>
      </c>
      <c r="BA16">
        <v>66609</v>
      </c>
      <c r="BB16">
        <v>32804</v>
      </c>
      <c r="BC16" t="str">
        <f t="shared" si="2"/>
        <v>u=1%, k=2x10^9</v>
      </c>
      <c r="BD16">
        <f t="shared" si="3"/>
        <v>0</v>
      </c>
    </row>
    <row r="17" spans="1:56">
      <c r="A17" t="s">
        <v>127</v>
      </c>
      <c r="B17" t="s">
        <v>68</v>
      </c>
      <c r="D17" t="s">
        <v>65</v>
      </c>
      <c r="E17" t="s">
        <v>60</v>
      </c>
      <c r="F17" t="s">
        <v>61</v>
      </c>
      <c r="G17">
        <v>300000</v>
      </c>
      <c r="H17">
        <v>0.5</v>
      </c>
      <c r="I17">
        <v>0.5</v>
      </c>
      <c r="J17">
        <v>0</v>
      </c>
      <c r="K17">
        <v>1</v>
      </c>
      <c r="L17">
        <v>2000000000</v>
      </c>
      <c r="M17">
        <v>190</v>
      </c>
      <c r="N17">
        <v>190</v>
      </c>
      <c r="O17">
        <v>190</v>
      </c>
      <c r="P17">
        <v>0</v>
      </c>
      <c r="Q17" t="s">
        <v>62</v>
      </c>
      <c r="R17">
        <v>9.9999818851089306E+17</v>
      </c>
      <c r="S17">
        <v>1000001629</v>
      </c>
      <c r="T17">
        <v>9.9999818851089306E+17</v>
      </c>
      <c r="U17">
        <v>1000001629</v>
      </c>
      <c r="V17" t="s">
        <v>75</v>
      </c>
      <c r="W17">
        <v>84</v>
      </c>
      <c r="X17">
        <v>1000001628</v>
      </c>
      <c r="Y17">
        <v>1000001629</v>
      </c>
      <c r="Z17">
        <v>2000003257</v>
      </c>
      <c r="AA17">
        <v>1000001629</v>
      </c>
      <c r="AB17">
        <v>2</v>
      </c>
      <c r="AC17">
        <v>1</v>
      </c>
      <c r="AD17">
        <v>1.5</v>
      </c>
      <c r="AE17">
        <v>40.6907</v>
      </c>
      <c r="AF17">
        <v>64000104224</v>
      </c>
      <c r="AJ17" t="s">
        <v>151</v>
      </c>
      <c r="AM17">
        <v>11413116080</v>
      </c>
      <c r="AN17">
        <v>0</v>
      </c>
      <c r="AO17">
        <v>115269323</v>
      </c>
      <c r="AP17">
        <v>11413116080</v>
      </c>
      <c r="AQ17">
        <v>11528385403</v>
      </c>
      <c r="AR17">
        <v>38043720</v>
      </c>
      <c r="AS17">
        <v>0</v>
      </c>
      <c r="AT17">
        <v>384231</v>
      </c>
      <c r="AU17">
        <v>38043720</v>
      </c>
      <c r="AV17">
        <v>38427951</v>
      </c>
      <c r="AW17">
        <v>54.356999999999999</v>
      </c>
      <c r="AX17">
        <v>31.9389</v>
      </c>
      <c r="AY17">
        <v>13770.3</v>
      </c>
      <c r="AZ17">
        <v>12518.3</v>
      </c>
      <c r="BA17">
        <v>65718</v>
      </c>
      <c r="BB17">
        <v>33697</v>
      </c>
      <c r="BC17" t="str">
        <f t="shared" si="2"/>
        <v>u=1%, k=2x10^9</v>
      </c>
      <c r="BD17">
        <f t="shared" si="3"/>
        <v>0</v>
      </c>
    </row>
    <row r="18" spans="1:56">
      <c r="A18" t="s">
        <v>129</v>
      </c>
      <c r="B18" t="s">
        <v>64</v>
      </c>
      <c r="C18">
        <v>72</v>
      </c>
      <c r="D18" t="s">
        <v>65</v>
      </c>
      <c r="E18" t="s">
        <v>60</v>
      </c>
      <c r="F18" t="s">
        <v>61</v>
      </c>
      <c r="G18">
        <v>300000</v>
      </c>
      <c r="H18">
        <v>0.5</v>
      </c>
      <c r="I18">
        <v>0.5</v>
      </c>
      <c r="J18">
        <v>0</v>
      </c>
      <c r="K18">
        <v>1</v>
      </c>
      <c r="L18">
        <v>2000000000</v>
      </c>
      <c r="M18">
        <v>190</v>
      </c>
      <c r="N18">
        <v>190</v>
      </c>
      <c r="O18">
        <v>190</v>
      </c>
      <c r="P18">
        <v>0</v>
      </c>
      <c r="Q18" t="s">
        <v>62</v>
      </c>
      <c r="R18">
        <v>9.9999863857523994E+17</v>
      </c>
      <c r="S18">
        <v>999999442</v>
      </c>
      <c r="T18">
        <v>9.9999863857523994E+17</v>
      </c>
      <c r="U18">
        <v>999999442</v>
      </c>
      <c r="V18" t="s">
        <v>75</v>
      </c>
      <c r="W18">
        <v>7</v>
      </c>
      <c r="X18">
        <v>124068190</v>
      </c>
      <c r="Y18">
        <v>1162894086</v>
      </c>
      <c r="Z18">
        <v>1286962276</v>
      </c>
      <c r="AA18">
        <v>999999442</v>
      </c>
      <c r="AB18">
        <v>10.372999999999999</v>
      </c>
      <c r="AC18">
        <v>0.85992299999999999</v>
      </c>
      <c r="AD18">
        <v>1.77702</v>
      </c>
      <c r="AE18">
        <v>4.0847300000000004</v>
      </c>
      <c r="AF18">
        <v>28593783536</v>
      </c>
      <c r="AG18" t="s">
        <v>152</v>
      </c>
      <c r="AH18" t="s">
        <v>152</v>
      </c>
      <c r="AI18">
        <v>9</v>
      </c>
      <c r="AJ18">
        <v>249820</v>
      </c>
      <c r="AM18">
        <v>41949334056</v>
      </c>
      <c r="AN18">
        <v>0</v>
      </c>
      <c r="AO18">
        <v>423750646</v>
      </c>
      <c r="AP18">
        <v>41949334056</v>
      </c>
      <c r="AQ18">
        <v>42373084702</v>
      </c>
      <c r="AR18">
        <v>139831113</v>
      </c>
      <c r="AS18">
        <v>0</v>
      </c>
      <c r="AT18">
        <v>1412502</v>
      </c>
      <c r="AU18">
        <v>139831113</v>
      </c>
      <c r="AV18">
        <v>141243615</v>
      </c>
      <c r="AW18">
        <v>22.709199999999999</v>
      </c>
      <c r="AX18">
        <v>14.5937</v>
      </c>
      <c r="AY18">
        <v>3744.54</v>
      </c>
      <c r="AZ18">
        <v>2999.03</v>
      </c>
      <c r="BA18">
        <v>67139</v>
      </c>
      <c r="BB18">
        <v>9247</v>
      </c>
      <c r="BC18" t="str">
        <f t="shared" si="2"/>
        <v>u=1%, k=2x10^9</v>
      </c>
      <c r="BD18" t="str">
        <f t="shared" si="3"/>
        <v>0</v>
      </c>
    </row>
    <row r="19" spans="1:56">
      <c r="A19" t="s">
        <v>132</v>
      </c>
      <c r="B19" t="s">
        <v>66</v>
      </c>
      <c r="C19">
        <v>208</v>
      </c>
      <c r="D19" t="s">
        <v>65</v>
      </c>
      <c r="E19" t="s">
        <v>60</v>
      </c>
      <c r="F19" t="s">
        <v>61</v>
      </c>
      <c r="G19">
        <v>300000</v>
      </c>
      <c r="H19">
        <v>0.5</v>
      </c>
      <c r="I19">
        <v>0.5</v>
      </c>
      <c r="J19">
        <v>0</v>
      </c>
      <c r="K19">
        <v>1</v>
      </c>
      <c r="L19">
        <v>2000000000</v>
      </c>
      <c r="M19">
        <v>190</v>
      </c>
      <c r="N19">
        <v>190</v>
      </c>
      <c r="O19">
        <v>190</v>
      </c>
      <c r="P19">
        <v>0</v>
      </c>
      <c r="Q19" t="s">
        <v>62</v>
      </c>
      <c r="R19">
        <v>9.9998718955205197E+17</v>
      </c>
      <c r="S19">
        <v>1000002521</v>
      </c>
      <c r="T19">
        <v>9.9998718955205197E+17</v>
      </c>
      <c r="U19">
        <v>1000002521</v>
      </c>
      <c r="V19" t="s">
        <v>75</v>
      </c>
      <c r="W19">
        <v>12</v>
      </c>
      <c r="X19">
        <v>19520355</v>
      </c>
      <c r="Y19">
        <v>134325585</v>
      </c>
      <c r="Z19">
        <v>153845940</v>
      </c>
      <c r="AA19">
        <v>1000002521</v>
      </c>
      <c r="AB19">
        <v>7.88131</v>
      </c>
      <c r="AC19">
        <v>7.4446199999999996</v>
      </c>
      <c r="AD19">
        <v>7.5000299999999998</v>
      </c>
      <c r="AE19">
        <v>11</v>
      </c>
      <c r="AF19">
        <v>31999955520</v>
      </c>
      <c r="AJ19" t="s">
        <v>153</v>
      </c>
      <c r="AM19">
        <v>28609488443</v>
      </c>
      <c r="AN19">
        <v>0</v>
      </c>
      <c r="AO19">
        <v>288997783</v>
      </c>
      <c r="AP19">
        <v>28609488443</v>
      </c>
      <c r="AQ19">
        <v>28898486226</v>
      </c>
      <c r="AR19">
        <v>95364961</v>
      </c>
      <c r="AS19">
        <v>0</v>
      </c>
      <c r="AT19">
        <v>963325</v>
      </c>
      <c r="AU19">
        <v>95364961</v>
      </c>
      <c r="AV19">
        <v>96328287</v>
      </c>
      <c r="AW19">
        <v>30.688800000000001</v>
      </c>
      <c r="AX19">
        <v>18.070799999999998</v>
      </c>
      <c r="AY19">
        <v>5489.39</v>
      </c>
      <c r="AZ19">
        <v>4452.5600000000004</v>
      </c>
      <c r="BA19">
        <v>35775</v>
      </c>
      <c r="BB19">
        <v>61399</v>
      </c>
      <c r="BC19" t="str">
        <f t="shared" si="2"/>
        <v>u=1%, k=2x10^9</v>
      </c>
      <c r="BD19">
        <f t="shared" si="3"/>
        <v>0</v>
      </c>
    </row>
    <row r="20" spans="1:56">
      <c r="A20" t="s">
        <v>134</v>
      </c>
      <c r="B20" t="s">
        <v>67</v>
      </c>
      <c r="D20" t="s">
        <v>65</v>
      </c>
      <c r="E20" t="s">
        <v>60</v>
      </c>
      <c r="F20" t="s">
        <v>61</v>
      </c>
      <c r="G20">
        <v>300000</v>
      </c>
      <c r="H20">
        <v>0.5</v>
      </c>
      <c r="I20">
        <v>0.5</v>
      </c>
      <c r="J20">
        <v>0</v>
      </c>
      <c r="K20">
        <v>1</v>
      </c>
      <c r="L20">
        <v>2000000000</v>
      </c>
      <c r="M20">
        <v>190</v>
      </c>
      <c r="N20">
        <v>190</v>
      </c>
      <c r="O20">
        <v>190</v>
      </c>
      <c r="P20">
        <v>0</v>
      </c>
      <c r="Q20" t="s">
        <v>62</v>
      </c>
      <c r="R20">
        <v>1.00000863401882E+18</v>
      </c>
      <c r="S20">
        <v>1000000607</v>
      </c>
      <c r="T20">
        <v>1.00000863401882E+18</v>
      </c>
      <c r="U20">
        <v>1000000607</v>
      </c>
      <c r="V20" t="s">
        <v>75</v>
      </c>
      <c r="W20">
        <v>37</v>
      </c>
      <c r="X20">
        <v>579125095</v>
      </c>
      <c r="Y20">
        <v>434972509</v>
      </c>
      <c r="Z20">
        <v>1014097604</v>
      </c>
      <c r="AA20">
        <v>1000000607</v>
      </c>
      <c r="AB20">
        <v>1.75109</v>
      </c>
      <c r="AC20">
        <v>2.2989999999999999</v>
      </c>
      <c r="AD20">
        <v>1.9861</v>
      </c>
      <c r="AE20">
        <v>29.476199999999999</v>
      </c>
      <c r="AF20">
        <v>56789465824</v>
      </c>
      <c r="AJ20" t="s">
        <v>154</v>
      </c>
      <c r="AM20">
        <v>13523407032</v>
      </c>
      <c r="AN20">
        <v>0</v>
      </c>
      <c r="AO20">
        <v>136571302</v>
      </c>
      <c r="AP20">
        <v>13523407032</v>
      </c>
      <c r="AQ20">
        <v>13659978334</v>
      </c>
      <c r="AR20">
        <v>45078023</v>
      </c>
      <c r="AS20">
        <v>0</v>
      </c>
      <c r="AT20">
        <v>455237</v>
      </c>
      <c r="AU20">
        <v>45078023</v>
      </c>
      <c r="AV20">
        <v>45533261</v>
      </c>
      <c r="AW20">
        <v>55.972299999999997</v>
      </c>
      <c r="AX20">
        <v>31.976099999999999</v>
      </c>
      <c r="AY20">
        <v>11619.1</v>
      </c>
      <c r="AZ20">
        <v>9976.19</v>
      </c>
      <c r="BA20">
        <v>66606</v>
      </c>
      <c r="BB20">
        <v>32908</v>
      </c>
      <c r="BC20" t="str">
        <f t="shared" si="2"/>
        <v>u=1%, k=2x10^9</v>
      </c>
      <c r="BD20">
        <f t="shared" si="3"/>
        <v>0</v>
      </c>
    </row>
    <row r="21" spans="1:56">
      <c r="A21" t="s">
        <v>136</v>
      </c>
      <c r="B21" t="s">
        <v>68</v>
      </c>
      <c r="D21" t="s">
        <v>65</v>
      </c>
      <c r="E21" t="s">
        <v>60</v>
      </c>
      <c r="F21" t="s">
        <v>61</v>
      </c>
      <c r="G21">
        <v>300000</v>
      </c>
      <c r="H21">
        <v>0.5</v>
      </c>
      <c r="I21">
        <v>0.5</v>
      </c>
      <c r="J21">
        <v>0</v>
      </c>
      <c r="K21">
        <v>1</v>
      </c>
      <c r="L21">
        <v>2000000000</v>
      </c>
      <c r="M21">
        <v>190</v>
      </c>
      <c r="N21">
        <v>190</v>
      </c>
      <c r="O21">
        <v>190</v>
      </c>
      <c r="P21">
        <v>0</v>
      </c>
      <c r="Q21" t="s">
        <v>62</v>
      </c>
      <c r="R21">
        <v>1.00001797602377E+18</v>
      </c>
      <c r="S21">
        <v>1000000319</v>
      </c>
      <c r="T21">
        <v>1.00001797602377E+18</v>
      </c>
      <c r="U21">
        <v>1000000319</v>
      </c>
      <c r="V21" t="s">
        <v>75</v>
      </c>
      <c r="W21">
        <v>79</v>
      </c>
      <c r="X21">
        <v>1000000318</v>
      </c>
      <c r="Y21">
        <v>1000000319</v>
      </c>
      <c r="Z21">
        <v>2000000637</v>
      </c>
      <c r="AA21">
        <v>1000000319</v>
      </c>
      <c r="AB21">
        <v>2</v>
      </c>
      <c r="AC21">
        <v>1</v>
      </c>
      <c r="AD21">
        <v>1.5</v>
      </c>
      <c r="AE21">
        <v>40.6905</v>
      </c>
      <c r="AF21">
        <v>64000020384</v>
      </c>
      <c r="AJ21" t="s">
        <v>155</v>
      </c>
      <c r="AM21">
        <v>11415304266</v>
      </c>
      <c r="AN21">
        <v>0</v>
      </c>
      <c r="AO21">
        <v>115310389</v>
      </c>
      <c r="AP21">
        <v>11415304266</v>
      </c>
      <c r="AQ21">
        <v>11530614655</v>
      </c>
      <c r="AR21">
        <v>38051014</v>
      </c>
      <c r="AS21">
        <v>0</v>
      </c>
      <c r="AT21">
        <v>384367</v>
      </c>
      <c r="AU21">
        <v>38051014</v>
      </c>
      <c r="AV21">
        <v>38435382</v>
      </c>
      <c r="AW21">
        <v>54.296999999999997</v>
      </c>
      <c r="AX21">
        <v>31.896100000000001</v>
      </c>
      <c r="AY21">
        <v>13769</v>
      </c>
      <c r="AZ21">
        <v>12517.4</v>
      </c>
      <c r="BA21">
        <v>65717</v>
      </c>
      <c r="BB21">
        <v>33687</v>
      </c>
      <c r="BC21" t="str">
        <f t="shared" si="2"/>
        <v>u=1%, k=2x10^9</v>
      </c>
      <c r="BD21">
        <f t="shared" si="3"/>
        <v>0</v>
      </c>
    </row>
    <row r="22" spans="1:56">
      <c r="A22" t="s">
        <v>138</v>
      </c>
      <c r="B22" t="s">
        <v>64</v>
      </c>
      <c r="C22">
        <v>72</v>
      </c>
      <c r="D22" t="s">
        <v>65</v>
      </c>
      <c r="E22" t="s">
        <v>60</v>
      </c>
      <c r="F22" t="s">
        <v>61</v>
      </c>
      <c r="G22">
        <v>300000</v>
      </c>
      <c r="H22">
        <v>0.5</v>
      </c>
      <c r="I22">
        <v>0.5</v>
      </c>
      <c r="J22">
        <v>0</v>
      </c>
      <c r="K22">
        <v>1</v>
      </c>
      <c r="L22">
        <v>2000000000</v>
      </c>
      <c r="M22">
        <v>190</v>
      </c>
      <c r="N22">
        <v>190</v>
      </c>
      <c r="O22">
        <v>190</v>
      </c>
      <c r="P22">
        <v>0</v>
      </c>
      <c r="Q22" t="s">
        <v>62</v>
      </c>
      <c r="R22">
        <v>1.00003350563901E+18</v>
      </c>
      <c r="S22">
        <v>1000029176</v>
      </c>
      <c r="T22">
        <v>1.00003350563901E+18</v>
      </c>
      <c r="U22">
        <v>1000029176</v>
      </c>
      <c r="V22" t="s">
        <v>75</v>
      </c>
      <c r="W22">
        <v>7</v>
      </c>
      <c r="X22">
        <v>124017583</v>
      </c>
      <c r="Y22">
        <v>1162816714</v>
      </c>
      <c r="Z22">
        <v>1286834297</v>
      </c>
      <c r="AA22">
        <v>1000029176</v>
      </c>
      <c r="AB22">
        <v>10.376200000000001</v>
      </c>
      <c r="AC22">
        <v>0.86000600000000005</v>
      </c>
      <c r="AD22">
        <v>1.77712</v>
      </c>
      <c r="AE22">
        <v>4.0846</v>
      </c>
      <c r="AF22">
        <v>28587767856</v>
      </c>
      <c r="AG22" t="s">
        <v>156</v>
      </c>
      <c r="AH22" t="s">
        <v>156</v>
      </c>
      <c r="AI22">
        <v>6</v>
      </c>
      <c r="AJ22">
        <v>247998</v>
      </c>
      <c r="AM22">
        <v>42032761332</v>
      </c>
      <c r="AN22">
        <v>0</v>
      </c>
      <c r="AO22">
        <v>424571659</v>
      </c>
      <c r="AP22">
        <v>42032761332</v>
      </c>
      <c r="AQ22">
        <v>42457332991</v>
      </c>
      <c r="AR22">
        <v>140109204</v>
      </c>
      <c r="AS22">
        <v>0</v>
      </c>
      <c r="AT22">
        <v>1415238</v>
      </c>
      <c r="AU22">
        <v>140109204</v>
      </c>
      <c r="AV22">
        <v>141524443</v>
      </c>
      <c r="AW22">
        <v>22.683800000000002</v>
      </c>
      <c r="AX22">
        <v>14.6007</v>
      </c>
      <c r="AY22">
        <v>3737.16</v>
      </c>
      <c r="AZ22">
        <v>3003.76</v>
      </c>
      <c r="BA22">
        <v>67141</v>
      </c>
      <c r="BB22">
        <v>9103</v>
      </c>
      <c r="BC22" t="str">
        <f t="shared" si="2"/>
        <v>u=1%, k=2x10^9</v>
      </c>
      <c r="BD22" t="str">
        <f t="shared" si="3"/>
        <v>0</v>
      </c>
    </row>
    <row r="23" spans="1:56">
      <c r="A23" t="s">
        <v>141</v>
      </c>
      <c r="B23" t="s">
        <v>66</v>
      </c>
      <c r="C23">
        <v>208</v>
      </c>
      <c r="D23" t="s">
        <v>65</v>
      </c>
      <c r="E23" t="s">
        <v>60</v>
      </c>
      <c r="F23" t="s">
        <v>61</v>
      </c>
      <c r="G23">
        <v>300000</v>
      </c>
      <c r="H23">
        <v>0.5</v>
      </c>
      <c r="I23">
        <v>0.5</v>
      </c>
      <c r="J23">
        <v>0</v>
      </c>
      <c r="K23">
        <v>1</v>
      </c>
      <c r="L23">
        <v>2000000000</v>
      </c>
      <c r="M23">
        <v>190</v>
      </c>
      <c r="N23">
        <v>190</v>
      </c>
      <c r="O23">
        <v>190</v>
      </c>
      <c r="P23">
        <v>0</v>
      </c>
      <c r="Q23" t="s">
        <v>62</v>
      </c>
      <c r="R23">
        <v>9.9998253232882906E+17</v>
      </c>
      <c r="S23">
        <v>999987167</v>
      </c>
      <c r="T23">
        <v>9.9998253232882906E+17</v>
      </c>
      <c r="U23">
        <v>999987167</v>
      </c>
      <c r="V23" t="s">
        <v>75</v>
      </c>
      <c r="W23">
        <v>12</v>
      </c>
      <c r="X23">
        <v>19516664</v>
      </c>
      <c r="Y23">
        <v>134306243</v>
      </c>
      <c r="Z23">
        <v>153822907</v>
      </c>
      <c r="AA23">
        <v>999987167</v>
      </c>
      <c r="AB23">
        <v>7.8816199999999998</v>
      </c>
      <c r="AC23">
        <v>7.44557</v>
      </c>
      <c r="AD23">
        <v>7.5008999999999997</v>
      </c>
      <c r="AE23">
        <v>11</v>
      </c>
      <c r="AF23">
        <v>31995164656</v>
      </c>
      <c r="AJ23" t="s">
        <v>157</v>
      </c>
      <c r="AM23">
        <v>28546345128</v>
      </c>
      <c r="AN23">
        <v>0</v>
      </c>
      <c r="AO23">
        <v>288373141</v>
      </c>
      <c r="AP23">
        <v>28546345128</v>
      </c>
      <c r="AQ23">
        <v>28834718269</v>
      </c>
      <c r="AR23">
        <v>95154483</v>
      </c>
      <c r="AS23">
        <v>0</v>
      </c>
      <c r="AT23">
        <v>961243</v>
      </c>
      <c r="AU23">
        <v>95154483</v>
      </c>
      <c r="AV23">
        <v>96115727</v>
      </c>
      <c r="AW23">
        <v>30.7592</v>
      </c>
      <c r="AX23">
        <v>18.039400000000001</v>
      </c>
      <c r="AY23">
        <v>5500.97</v>
      </c>
      <c r="AZ23">
        <v>4466.3100000000004</v>
      </c>
      <c r="BA23">
        <v>35778</v>
      </c>
      <c r="BB23">
        <v>61453</v>
      </c>
      <c r="BC23" t="str">
        <f t="shared" si="2"/>
        <v>u=1%, k=2x10^9</v>
      </c>
      <c r="BD23">
        <f t="shared" si="3"/>
        <v>0</v>
      </c>
    </row>
    <row r="24" spans="1:56">
      <c r="A24" t="s">
        <v>143</v>
      </c>
      <c r="B24" t="s">
        <v>67</v>
      </c>
      <c r="D24" t="s">
        <v>65</v>
      </c>
      <c r="E24" t="s">
        <v>60</v>
      </c>
      <c r="F24" t="s">
        <v>61</v>
      </c>
      <c r="G24">
        <v>300000</v>
      </c>
      <c r="H24">
        <v>0.5</v>
      </c>
      <c r="I24">
        <v>0.5</v>
      </c>
      <c r="J24">
        <v>0</v>
      </c>
      <c r="K24">
        <v>1</v>
      </c>
      <c r="L24">
        <v>2000000000</v>
      </c>
      <c r="M24">
        <v>190</v>
      </c>
      <c r="N24">
        <v>190</v>
      </c>
      <c r="O24">
        <v>190</v>
      </c>
      <c r="P24">
        <v>0</v>
      </c>
      <c r="Q24" t="s">
        <v>62</v>
      </c>
      <c r="R24">
        <v>1.0000049119312399E+18</v>
      </c>
      <c r="S24">
        <v>1000010216</v>
      </c>
      <c r="T24">
        <v>1.0000049119312399E+18</v>
      </c>
      <c r="U24">
        <v>1000010216</v>
      </c>
      <c r="V24" t="s">
        <v>75</v>
      </c>
      <c r="W24">
        <v>37</v>
      </c>
      <c r="X24">
        <v>579173657</v>
      </c>
      <c r="Y24">
        <v>435007295</v>
      </c>
      <c r="Z24">
        <v>1014180952</v>
      </c>
      <c r="AA24">
        <v>1000010216</v>
      </c>
      <c r="AB24">
        <v>1.75108</v>
      </c>
      <c r="AC24">
        <v>2.2988400000000002</v>
      </c>
      <c r="AD24">
        <v>1.98603</v>
      </c>
      <c r="AE24">
        <v>29.5016</v>
      </c>
      <c r="AF24">
        <v>56794133312</v>
      </c>
      <c r="AJ24" t="s">
        <v>158</v>
      </c>
      <c r="AM24">
        <v>13596331031</v>
      </c>
      <c r="AN24">
        <v>0</v>
      </c>
      <c r="AO24">
        <v>137344884</v>
      </c>
      <c r="AP24">
        <v>13596331031</v>
      </c>
      <c r="AQ24">
        <v>13733675915</v>
      </c>
      <c r="AR24">
        <v>45321103</v>
      </c>
      <c r="AS24">
        <v>0</v>
      </c>
      <c r="AT24">
        <v>457816</v>
      </c>
      <c r="AU24">
        <v>45321103</v>
      </c>
      <c r="AV24">
        <v>45778919</v>
      </c>
      <c r="AW24">
        <v>55.4527</v>
      </c>
      <c r="AX24">
        <v>31.972000000000001</v>
      </c>
      <c r="AY24">
        <v>11557.1</v>
      </c>
      <c r="AZ24">
        <v>9956.3799999999992</v>
      </c>
      <c r="BA24">
        <v>66611</v>
      </c>
      <c r="BB24">
        <v>32717</v>
      </c>
      <c r="BC24" t="str">
        <f t="shared" si="2"/>
        <v>u=1%, k=2x10^9</v>
      </c>
      <c r="BD24">
        <f t="shared" si="3"/>
        <v>0</v>
      </c>
    </row>
    <row r="25" spans="1:56">
      <c r="A25" t="s">
        <v>145</v>
      </c>
      <c r="B25" t="s">
        <v>68</v>
      </c>
      <c r="D25" t="s">
        <v>65</v>
      </c>
      <c r="E25" t="s">
        <v>60</v>
      </c>
      <c r="F25" t="s">
        <v>61</v>
      </c>
      <c r="G25">
        <v>300000</v>
      </c>
      <c r="H25">
        <v>0.5</v>
      </c>
      <c r="I25">
        <v>0.5</v>
      </c>
      <c r="J25">
        <v>0</v>
      </c>
      <c r="K25">
        <v>1</v>
      </c>
      <c r="L25">
        <v>2000000000</v>
      </c>
      <c r="M25">
        <v>190</v>
      </c>
      <c r="N25">
        <v>190</v>
      </c>
      <c r="O25">
        <v>190</v>
      </c>
      <c r="P25">
        <v>0</v>
      </c>
      <c r="Q25" t="s">
        <v>62</v>
      </c>
      <c r="R25">
        <v>1.0000217292411E+18</v>
      </c>
      <c r="S25">
        <v>1000008062</v>
      </c>
      <c r="T25">
        <v>1.0000217292411E+18</v>
      </c>
      <c r="U25">
        <v>1000008062</v>
      </c>
      <c r="V25" t="s">
        <v>75</v>
      </c>
      <c r="W25">
        <v>81</v>
      </c>
      <c r="X25">
        <v>1000008061</v>
      </c>
      <c r="Y25">
        <v>1000008062</v>
      </c>
      <c r="Z25">
        <v>2000016123</v>
      </c>
      <c r="AA25">
        <v>1000008062</v>
      </c>
      <c r="AB25">
        <v>2</v>
      </c>
      <c r="AC25">
        <v>1</v>
      </c>
      <c r="AD25">
        <v>1.5</v>
      </c>
      <c r="AE25">
        <v>40.396700000000003</v>
      </c>
      <c r="AF25">
        <v>64000515936</v>
      </c>
      <c r="AJ25" t="s">
        <v>159</v>
      </c>
      <c r="AM25">
        <v>11393778251</v>
      </c>
      <c r="AN25">
        <v>0</v>
      </c>
      <c r="AO25">
        <v>115109656</v>
      </c>
      <c r="AP25">
        <v>11393778251</v>
      </c>
      <c r="AQ25">
        <v>11508887907</v>
      </c>
      <c r="AR25">
        <v>37979260</v>
      </c>
      <c r="AS25">
        <v>0</v>
      </c>
      <c r="AT25">
        <v>383698</v>
      </c>
      <c r="AU25">
        <v>37979260</v>
      </c>
      <c r="AV25">
        <v>38362959</v>
      </c>
      <c r="AW25">
        <v>54.444099999999999</v>
      </c>
      <c r="AX25">
        <v>31.902000000000001</v>
      </c>
      <c r="AY25">
        <v>13793.6</v>
      </c>
      <c r="AZ25">
        <v>12537.2</v>
      </c>
      <c r="BA25">
        <v>65717</v>
      </c>
      <c r="BB25">
        <v>33846</v>
      </c>
      <c r="BC25" t="str">
        <f t="shared" si="2"/>
        <v>u=1%, k=2x10^9</v>
      </c>
      <c r="BD25">
        <f t="shared" si="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102</v>
      </c>
      <c r="Z2" s="2" t="s">
        <v>0</v>
      </c>
      <c r="AA2" t="s">
        <v>70</v>
      </c>
    </row>
    <row r="3" spans="1:27">
      <c r="Z3" s="2"/>
    </row>
    <row r="4" spans="1:27">
      <c r="A4" s="6" t="s">
        <v>86</v>
      </c>
      <c r="B4" s="6" t="s">
        <v>18</v>
      </c>
      <c r="Z4" s="2"/>
    </row>
    <row r="5" spans="1:27">
      <c r="A5" s="6" t="s">
        <v>19</v>
      </c>
      <c r="B5" t="s">
        <v>68</v>
      </c>
      <c r="C5" t="s">
        <v>67</v>
      </c>
      <c r="D5" t="s">
        <v>66</v>
      </c>
      <c r="E5" t="s">
        <v>64</v>
      </c>
      <c r="Z5" s="2"/>
    </row>
    <row r="6" spans="1:27">
      <c r="A6" s="7">
        <v>190</v>
      </c>
      <c r="B6" s="8">
        <v>79151.666666666672</v>
      </c>
      <c r="C6" s="8">
        <v>78235.5</v>
      </c>
      <c r="D6" s="8">
        <v>54531.166666666664</v>
      </c>
      <c r="E6" s="8">
        <v>93951.5</v>
      </c>
      <c r="N6" s="2"/>
    </row>
    <row r="8" spans="1:27">
      <c r="N8" s="2"/>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190</v>
      </c>
      <c r="B21" s="8">
        <f t="shared" ref="B21:F23" si="1">B6</f>
        <v>79151.666666666672</v>
      </c>
      <c r="C21" s="8">
        <f t="shared" si="1"/>
        <v>78235.5</v>
      </c>
      <c r="D21" s="8">
        <f t="shared" si="1"/>
        <v>54531.166666666664</v>
      </c>
      <c r="E21" s="8">
        <f t="shared" si="1"/>
        <v>93951.5</v>
      </c>
      <c r="F21" s="8">
        <f t="shared" si="1"/>
        <v>0</v>
      </c>
    </row>
    <row r="22" spans="1:6">
      <c r="A22">
        <f t="shared" ref="A22:F25" si="2">A7</f>
        <v>0</v>
      </c>
      <c r="B22" s="8">
        <f t="shared" si="1"/>
        <v>0</v>
      </c>
      <c r="C22" s="8">
        <f t="shared" si="1"/>
        <v>0</v>
      </c>
      <c r="D22" s="8">
        <f t="shared" si="1"/>
        <v>0</v>
      </c>
      <c r="E22" s="8">
        <f t="shared" si="1"/>
        <v>0</v>
      </c>
      <c r="F22" s="8">
        <f t="shared" si="1"/>
        <v>0</v>
      </c>
    </row>
    <row r="23" spans="1:6">
      <c r="A23">
        <f t="shared" si="2"/>
        <v>0</v>
      </c>
      <c r="B23" s="8">
        <f t="shared" si="1"/>
        <v>0</v>
      </c>
      <c r="C23" s="8">
        <f t="shared" si="1"/>
        <v>0</v>
      </c>
      <c r="D23" s="8">
        <f t="shared" si="1"/>
        <v>0</v>
      </c>
      <c r="E23" s="8">
        <f t="shared" si="1"/>
        <v>0</v>
      </c>
      <c r="F23" s="8">
        <f t="shared" si="1"/>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102</v>
      </c>
      <c r="Z2" s="2" t="s">
        <v>0</v>
      </c>
      <c r="AA2" t="s">
        <v>70</v>
      </c>
    </row>
    <row r="3" spans="1:27">
      <c r="Z3" s="2"/>
    </row>
    <row r="4" spans="1:27">
      <c r="A4" s="6" t="s">
        <v>88</v>
      </c>
      <c r="B4" s="6" t="s">
        <v>18</v>
      </c>
      <c r="Z4" s="2"/>
    </row>
    <row r="5" spans="1:27">
      <c r="A5" s="6" t="s">
        <v>19</v>
      </c>
      <c r="B5" t="s">
        <v>68</v>
      </c>
      <c r="C5" t="s">
        <v>67</v>
      </c>
      <c r="D5" t="s">
        <v>66</v>
      </c>
      <c r="E5" t="s">
        <v>64</v>
      </c>
      <c r="Z5" s="2"/>
    </row>
    <row r="6" spans="1:27">
      <c r="A6" s="7">
        <v>190</v>
      </c>
      <c r="B6" s="8">
        <v>14553.75</v>
      </c>
      <c r="C6" s="8">
        <v>12033.033333333333</v>
      </c>
      <c r="D6" s="8">
        <v>6634.8516666666665</v>
      </c>
      <c r="E6" s="8">
        <v>5108.0616666666665</v>
      </c>
      <c r="N6" s="2"/>
    </row>
    <row r="8" spans="1:27">
      <c r="N8" s="2"/>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190</v>
      </c>
      <c r="B21" s="8">
        <f t="shared" ref="B21:F23" si="1">B6</f>
        <v>14553.75</v>
      </c>
      <c r="C21" s="8">
        <f t="shared" si="1"/>
        <v>12033.033333333333</v>
      </c>
      <c r="D21" s="8">
        <f t="shared" si="1"/>
        <v>6634.8516666666665</v>
      </c>
      <c r="E21" s="8">
        <f t="shared" si="1"/>
        <v>5108.0616666666665</v>
      </c>
      <c r="F21" s="8">
        <f t="shared" si="1"/>
        <v>0</v>
      </c>
    </row>
    <row r="22" spans="1:6">
      <c r="A22">
        <f t="shared" ref="A22:F25" si="2">A7</f>
        <v>0</v>
      </c>
      <c r="B22" s="8">
        <f t="shared" si="1"/>
        <v>0</v>
      </c>
      <c r="C22" s="8">
        <f t="shared" si="1"/>
        <v>0</v>
      </c>
      <c r="D22" s="8">
        <f t="shared" si="1"/>
        <v>0</v>
      </c>
      <c r="E22" s="8">
        <f t="shared" si="1"/>
        <v>0</v>
      </c>
      <c r="F22" s="8">
        <f t="shared" si="1"/>
        <v>0</v>
      </c>
    </row>
    <row r="23" spans="1:6">
      <c r="A23">
        <f t="shared" si="2"/>
        <v>0</v>
      </c>
      <c r="B23" s="8">
        <f t="shared" si="1"/>
        <v>0</v>
      </c>
      <c r="C23" s="8">
        <f t="shared" si="1"/>
        <v>0</v>
      </c>
      <c r="D23" s="8">
        <f t="shared" si="1"/>
        <v>0</v>
      </c>
      <c r="E23" s="8">
        <f t="shared" si="1"/>
        <v>0</v>
      </c>
      <c r="F23" s="8">
        <f t="shared" si="1"/>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83"/>
  <sheetViews>
    <sheetView tabSelected="1" zoomScale="80" zoomScaleNormal="80" workbookViewId="0">
      <selection activeCell="Z18" sqref="Z18"/>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160</v>
      </c>
      <c r="C2" t="str">
        <f>B2&amp;", 190 threads"</f>
        <v>u=1%, k=2x10^9, 190 threads</v>
      </c>
      <c r="Z2" s="2" t="s">
        <v>0</v>
      </c>
      <c r="AA2" t="s">
        <v>70</v>
      </c>
    </row>
    <row r="3" spans="1:27">
      <c r="Z3" s="2"/>
    </row>
    <row r="4" spans="1:27">
      <c r="A4" s="6" t="s">
        <v>63</v>
      </c>
      <c r="B4" s="6" t="s">
        <v>18</v>
      </c>
      <c r="Z4" s="2"/>
    </row>
    <row r="5" spans="1:27">
      <c r="A5" s="6" t="s">
        <v>19</v>
      </c>
      <c r="B5" t="s">
        <v>68</v>
      </c>
      <c r="C5" t="s">
        <v>67</v>
      </c>
      <c r="D5" t="s">
        <v>66</v>
      </c>
      <c r="E5" t="s">
        <v>64</v>
      </c>
      <c r="Z5" s="2"/>
    </row>
    <row r="6" spans="1:27">
      <c r="A6" s="7">
        <v>190</v>
      </c>
      <c r="B6" s="8">
        <v>38408764</v>
      </c>
      <c r="C6" s="8">
        <v>45677871</v>
      </c>
      <c r="D6" s="8">
        <v>96241513</v>
      </c>
      <c r="E6" s="8">
        <v>141256564</v>
      </c>
      <c r="N6" s="2"/>
    </row>
    <row r="8" spans="1:27">
      <c r="N8" s="2"/>
    </row>
    <row r="13" spans="1:27">
      <c r="O13" s="3"/>
    </row>
    <row r="14" spans="1:27">
      <c r="Z14" s="2"/>
    </row>
    <row r="20" spans="1:6">
      <c r="B20" t="s">
        <v>99</v>
      </c>
      <c r="C20" t="s">
        <v>98</v>
      </c>
      <c r="D20" t="s">
        <v>100</v>
      </c>
      <c r="E20" t="s">
        <v>101</v>
      </c>
      <c r="F20">
        <f t="shared" ref="F20" si="0">F5</f>
        <v>0</v>
      </c>
    </row>
    <row r="21" spans="1:6">
      <c r="A21">
        <f>A6</f>
        <v>190</v>
      </c>
      <c r="B21" s="8">
        <f t="shared" ref="B21:F21" si="1">B6</f>
        <v>38408764</v>
      </c>
      <c r="C21" s="8">
        <f t="shared" si="1"/>
        <v>45677871</v>
      </c>
      <c r="D21" s="8">
        <f t="shared" si="1"/>
        <v>96241513</v>
      </c>
      <c r="E21" s="8">
        <f t="shared" si="1"/>
        <v>141256564</v>
      </c>
      <c r="F21" s="8">
        <f t="shared" si="1"/>
        <v>0</v>
      </c>
    </row>
    <row r="22" spans="1:6">
      <c r="A22">
        <f t="shared" ref="A22:F25" si="2">A7</f>
        <v>0</v>
      </c>
      <c r="B22" s="8">
        <f t="shared" ref="B22:F22" si="3">B7</f>
        <v>0</v>
      </c>
      <c r="C22" s="8">
        <f t="shared" si="3"/>
        <v>0</v>
      </c>
      <c r="D22" s="8">
        <f t="shared" si="3"/>
        <v>0</v>
      </c>
      <c r="E22" s="8">
        <f t="shared" si="3"/>
        <v>0</v>
      </c>
      <c r="F22" s="8">
        <f t="shared" si="3"/>
        <v>0</v>
      </c>
    </row>
    <row r="23" spans="1:6">
      <c r="A23">
        <f t="shared" si="2"/>
        <v>0</v>
      </c>
      <c r="B23" s="8">
        <f t="shared" ref="B23:F23" si="4">B8</f>
        <v>0</v>
      </c>
      <c r="C23" s="8">
        <f t="shared" si="4"/>
        <v>0</v>
      </c>
      <c r="D23" s="8">
        <f t="shared" si="4"/>
        <v>0</v>
      </c>
      <c r="E23" s="8">
        <f t="shared" si="4"/>
        <v>0</v>
      </c>
      <c r="F23" s="8">
        <f t="shared" si="4"/>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row r="36" spans="1:5">
      <c r="A36" s="6" t="s">
        <v>69</v>
      </c>
      <c r="B36" t="s">
        <v>160</v>
      </c>
    </row>
    <row r="38" spans="1:5">
      <c r="A38" s="6" t="s">
        <v>103</v>
      </c>
      <c r="B38" s="6" t="s">
        <v>18</v>
      </c>
    </row>
    <row r="39" spans="1:5">
      <c r="A39" s="6" t="s">
        <v>19</v>
      </c>
      <c r="B39" t="s">
        <v>68</v>
      </c>
      <c r="C39" t="s">
        <v>67</v>
      </c>
      <c r="D39" t="s">
        <v>66</v>
      </c>
      <c r="E39" t="s">
        <v>64</v>
      </c>
    </row>
    <row r="40" spans="1:5">
      <c r="A40" s="7">
        <v>190</v>
      </c>
      <c r="B40" s="8">
        <v>38362959</v>
      </c>
      <c r="C40" s="8">
        <v>45533261</v>
      </c>
      <c r="D40" s="8">
        <v>96115727</v>
      </c>
      <c r="E40" s="8">
        <v>141001634</v>
      </c>
    </row>
    <row r="50" spans="1:6">
      <c r="A50" t="str">
        <f>A39</f>
        <v>Row Labels</v>
      </c>
      <c r="B50" t="str">
        <f t="shared" ref="B50:E50" si="5">B39</f>
        <v>natarajan_ext_bst_lf</v>
      </c>
      <c r="C50" t="str">
        <f t="shared" si="5"/>
        <v>bronson_pext_bst_occ</v>
      </c>
      <c r="D50" t="str">
        <f t="shared" si="5"/>
        <v>brown_ext_abtree_lf</v>
      </c>
      <c r="E50" t="str">
        <f t="shared" si="5"/>
        <v>brown_ext_ist_lf</v>
      </c>
    </row>
    <row r="51" spans="1:6">
      <c r="A51">
        <f t="shared" ref="A51:A56" si="6">A40</f>
        <v>190</v>
      </c>
      <c r="B51" s="8">
        <f>B21-B40</f>
        <v>45805</v>
      </c>
      <c r="C51" s="8">
        <f t="shared" ref="C51:E51" si="7">C21-C40</f>
        <v>144610</v>
      </c>
      <c r="D51" s="8">
        <f t="shared" si="7"/>
        <v>125786</v>
      </c>
      <c r="E51" s="8">
        <f t="shared" si="7"/>
        <v>254930</v>
      </c>
    </row>
    <row r="52" spans="1:6">
      <c r="A52">
        <f t="shared" si="6"/>
        <v>0</v>
      </c>
      <c r="B52" s="8">
        <f t="shared" ref="B52:E56" si="8">B22-B41</f>
        <v>0</v>
      </c>
      <c r="C52" s="8">
        <f t="shared" si="8"/>
        <v>0</v>
      </c>
      <c r="D52" s="8">
        <f t="shared" si="8"/>
        <v>0</v>
      </c>
      <c r="E52" s="8">
        <f t="shared" si="8"/>
        <v>0</v>
      </c>
    </row>
    <row r="53" spans="1:6">
      <c r="A53">
        <f t="shared" si="6"/>
        <v>0</v>
      </c>
      <c r="B53" s="8">
        <f t="shared" si="8"/>
        <v>0</v>
      </c>
      <c r="C53" s="8">
        <f t="shared" si="8"/>
        <v>0</v>
      </c>
      <c r="D53" s="8">
        <f t="shared" si="8"/>
        <v>0</v>
      </c>
      <c r="E53" s="8">
        <f t="shared" si="8"/>
        <v>0</v>
      </c>
    </row>
    <row r="54" spans="1:6">
      <c r="A54">
        <f t="shared" si="6"/>
        <v>0</v>
      </c>
      <c r="B54" s="8">
        <f t="shared" si="8"/>
        <v>0</v>
      </c>
      <c r="C54" s="8">
        <f t="shared" si="8"/>
        <v>0</v>
      </c>
      <c r="D54" s="8">
        <f t="shared" si="8"/>
        <v>0</v>
      </c>
      <c r="E54" s="8">
        <f t="shared" si="8"/>
        <v>0</v>
      </c>
    </row>
    <row r="55" spans="1:6">
      <c r="A55">
        <f t="shared" si="6"/>
        <v>0</v>
      </c>
      <c r="B55" s="8">
        <f t="shared" si="8"/>
        <v>0</v>
      </c>
      <c r="C55" s="8">
        <f t="shared" si="8"/>
        <v>0</v>
      </c>
      <c r="D55" s="8">
        <f t="shared" si="8"/>
        <v>0</v>
      </c>
      <c r="E55" s="8">
        <f t="shared" si="8"/>
        <v>0</v>
      </c>
      <c r="F55" s="10"/>
    </row>
    <row r="56" spans="1:6">
      <c r="A56">
        <f t="shared" si="6"/>
        <v>0</v>
      </c>
      <c r="B56" s="8">
        <f t="shared" si="8"/>
        <v>0</v>
      </c>
      <c r="C56" s="8">
        <f t="shared" si="8"/>
        <v>0</v>
      </c>
      <c r="D56" s="8">
        <f t="shared" si="8"/>
        <v>0</v>
      </c>
      <c r="E56" s="8">
        <f t="shared" si="8"/>
        <v>0</v>
      </c>
    </row>
    <row r="63" spans="1:6">
      <c r="A63" s="6" t="s">
        <v>69</v>
      </c>
      <c r="B63" t="s">
        <v>160</v>
      </c>
    </row>
    <row r="65" spans="1:5">
      <c r="A65" s="6" t="s">
        <v>104</v>
      </c>
      <c r="B65" s="6" t="s">
        <v>18</v>
      </c>
    </row>
    <row r="66" spans="1:5">
      <c r="A66" s="6" t="s">
        <v>19</v>
      </c>
      <c r="B66" t="s">
        <v>68</v>
      </c>
      <c r="C66" t="s">
        <v>67</v>
      </c>
      <c r="D66" t="s">
        <v>66</v>
      </c>
      <c r="E66" t="s">
        <v>64</v>
      </c>
    </row>
    <row r="67" spans="1:5">
      <c r="A67" s="7">
        <v>190</v>
      </c>
      <c r="B67" s="8">
        <v>38435382</v>
      </c>
      <c r="C67" s="8">
        <v>45778919</v>
      </c>
      <c r="D67" s="8">
        <v>96328287</v>
      </c>
      <c r="E67" s="8">
        <v>141524443</v>
      </c>
    </row>
    <row r="77" spans="1:5">
      <c r="A77" t="str">
        <f>A66</f>
        <v>Row Labels</v>
      </c>
      <c r="B77" t="str">
        <f t="shared" ref="B77:E77" si="9">B66</f>
        <v>natarajan_ext_bst_lf</v>
      </c>
      <c r="C77" t="str">
        <f t="shared" si="9"/>
        <v>bronson_pext_bst_occ</v>
      </c>
      <c r="D77" t="str">
        <f t="shared" si="9"/>
        <v>brown_ext_abtree_lf</v>
      </c>
      <c r="E77" t="str">
        <f t="shared" si="9"/>
        <v>brown_ext_ist_lf</v>
      </c>
    </row>
    <row r="78" spans="1:5">
      <c r="A78">
        <f t="shared" ref="A78:A83" si="10">A67</f>
        <v>190</v>
      </c>
      <c r="B78" s="8">
        <f t="shared" ref="B78:D81" si="11">B67-B21</f>
        <v>26618</v>
      </c>
      <c r="C78" s="8">
        <f t="shared" si="11"/>
        <v>101048</v>
      </c>
      <c r="D78" s="8">
        <f t="shared" si="11"/>
        <v>86774</v>
      </c>
      <c r="E78" s="8">
        <f t="shared" ref="E78:E81" si="12">E67-E21</f>
        <v>267879</v>
      </c>
    </row>
    <row r="79" spans="1:5">
      <c r="A79">
        <f t="shared" si="10"/>
        <v>0</v>
      </c>
      <c r="B79" s="8">
        <f t="shared" si="11"/>
        <v>0</v>
      </c>
      <c r="C79" s="8">
        <f t="shared" si="11"/>
        <v>0</v>
      </c>
      <c r="D79" s="8">
        <f t="shared" si="11"/>
        <v>0</v>
      </c>
      <c r="E79" s="8">
        <f t="shared" si="12"/>
        <v>0</v>
      </c>
    </row>
    <row r="80" spans="1:5">
      <c r="A80">
        <f t="shared" si="10"/>
        <v>0</v>
      </c>
      <c r="B80" s="8">
        <f t="shared" si="11"/>
        <v>0</v>
      </c>
      <c r="C80" s="8">
        <f t="shared" si="11"/>
        <v>0</v>
      </c>
      <c r="D80" s="8">
        <f t="shared" si="11"/>
        <v>0</v>
      </c>
      <c r="E80" s="8">
        <f t="shared" si="12"/>
        <v>0</v>
      </c>
    </row>
    <row r="81" spans="1:5">
      <c r="A81">
        <f t="shared" si="10"/>
        <v>0</v>
      </c>
      <c r="B81" s="8">
        <f t="shared" si="11"/>
        <v>0</v>
      </c>
      <c r="C81" s="8">
        <f t="shared" si="11"/>
        <v>0</v>
      </c>
      <c r="D81" s="8">
        <f t="shared" si="11"/>
        <v>0</v>
      </c>
      <c r="E81" s="8">
        <f t="shared" si="12"/>
        <v>0</v>
      </c>
    </row>
    <row r="82" spans="1:5">
      <c r="A82">
        <f>A71</f>
        <v>0</v>
      </c>
      <c r="B82" s="8">
        <f t="shared" ref="B82:D82" si="13">B71-B25</f>
        <v>0</v>
      </c>
      <c r="C82" s="8">
        <f t="shared" si="13"/>
        <v>0</v>
      </c>
      <c r="D82" s="8">
        <f t="shared" si="13"/>
        <v>0</v>
      </c>
      <c r="E82" s="8">
        <f>E71-E25</f>
        <v>0</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64"/>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105</v>
      </c>
      <c r="Z2" s="2" t="s">
        <v>0</v>
      </c>
      <c r="AA2" t="s">
        <v>70</v>
      </c>
    </row>
    <row r="3" spans="1:27">
      <c r="Z3" s="2" t="s">
        <v>107</v>
      </c>
      <c r="AA3" t="s">
        <v>119</v>
      </c>
    </row>
    <row r="4" spans="1:27">
      <c r="A4" s="6" t="s">
        <v>87</v>
      </c>
      <c r="B4" s="6" t="s">
        <v>18</v>
      </c>
      <c r="Z4" s="2" t="s">
        <v>108</v>
      </c>
      <c r="AA4" t="s">
        <v>118</v>
      </c>
    </row>
    <row r="5" spans="1:27">
      <c r="A5" s="6" t="s">
        <v>19</v>
      </c>
      <c r="B5" t="s">
        <v>68</v>
      </c>
      <c r="C5" t="s">
        <v>67</v>
      </c>
      <c r="D5" t="s">
        <v>66</v>
      </c>
      <c r="E5" t="s">
        <v>64</v>
      </c>
      <c r="Z5" s="2"/>
    </row>
    <row r="6" spans="1:27">
      <c r="A6" s="7">
        <v>190</v>
      </c>
      <c r="B6" s="9">
        <v>34.175233333333331</v>
      </c>
      <c r="C6" s="9">
        <v>33.47976666666667</v>
      </c>
      <c r="D6" s="9">
        <v>22.053466666666665</v>
      </c>
      <c r="E6" s="9">
        <v>22.557199999999998</v>
      </c>
      <c r="N6" s="2"/>
    </row>
    <row r="8" spans="1:27">
      <c r="N8" s="2"/>
    </row>
    <row r="13" spans="1:27">
      <c r="O13" s="3"/>
    </row>
    <row r="14" spans="1:27">
      <c r="Z14" s="2"/>
    </row>
    <row r="20" spans="1:6">
      <c r="B20" t="s">
        <v>99</v>
      </c>
      <c r="C20" t="s">
        <v>98</v>
      </c>
      <c r="D20" t="s">
        <v>100</v>
      </c>
      <c r="E20" t="s">
        <v>101</v>
      </c>
    </row>
    <row r="21" spans="1:6">
      <c r="A21">
        <f>A6</f>
        <v>190</v>
      </c>
      <c r="B21" s="9">
        <f t="shared" ref="B21:E23" si="0">B6</f>
        <v>34.175233333333331</v>
      </c>
      <c r="C21" s="9">
        <f t="shared" si="0"/>
        <v>33.47976666666667</v>
      </c>
      <c r="D21" s="9">
        <f t="shared" si="0"/>
        <v>22.053466666666665</v>
      </c>
      <c r="E21" s="9">
        <f t="shared" si="0"/>
        <v>22.557199999999998</v>
      </c>
      <c r="F21" s="8"/>
    </row>
    <row r="22" spans="1:6">
      <c r="A22">
        <f t="shared" ref="A22:E25" si="1">A7</f>
        <v>0</v>
      </c>
      <c r="B22" s="9">
        <f t="shared" si="0"/>
        <v>0</v>
      </c>
      <c r="C22" s="9">
        <f t="shared" si="0"/>
        <v>0</v>
      </c>
      <c r="D22" s="9">
        <f t="shared" si="0"/>
        <v>0</v>
      </c>
      <c r="E22" s="9">
        <f t="shared" si="0"/>
        <v>0</v>
      </c>
      <c r="F22" s="8"/>
    </row>
    <row r="23" spans="1:6">
      <c r="A23">
        <f t="shared" si="1"/>
        <v>0</v>
      </c>
      <c r="B23" s="9">
        <f t="shared" si="0"/>
        <v>0</v>
      </c>
      <c r="C23" s="9">
        <f t="shared" si="0"/>
        <v>0</v>
      </c>
      <c r="D23" s="9">
        <f t="shared" si="0"/>
        <v>0</v>
      </c>
      <c r="E23" s="9">
        <f t="shared" si="0"/>
        <v>0</v>
      </c>
      <c r="F23" s="8"/>
    </row>
    <row r="24" spans="1:6">
      <c r="A24">
        <f t="shared" si="1"/>
        <v>0</v>
      </c>
      <c r="B24" s="9">
        <f t="shared" si="1"/>
        <v>0</v>
      </c>
      <c r="C24" s="9">
        <f t="shared" si="1"/>
        <v>0</v>
      </c>
      <c r="D24" s="9">
        <f t="shared" si="1"/>
        <v>0</v>
      </c>
      <c r="E24" s="9">
        <f t="shared" si="1"/>
        <v>0</v>
      </c>
      <c r="F24" s="8"/>
    </row>
    <row r="25" spans="1:6">
      <c r="A25">
        <f t="shared" si="1"/>
        <v>0</v>
      </c>
      <c r="B25" s="9">
        <f t="shared" si="1"/>
        <v>0</v>
      </c>
      <c r="C25" s="9">
        <f t="shared" si="1"/>
        <v>0</v>
      </c>
      <c r="D25" s="9">
        <f t="shared" si="1"/>
        <v>0</v>
      </c>
      <c r="E25" s="9">
        <f t="shared" si="1"/>
        <v>0</v>
      </c>
      <c r="F25" s="8"/>
    </row>
    <row r="44" spans="1:33">
      <c r="A44" s="6" t="s">
        <v>69</v>
      </c>
      <c r="B44" t="s">
        <v>105</v>
      </c>
      <c r="E44" s="1" t="s">
        <v>112</v>
      </c>
      <c r="AC44" s="6" t="s">
        <v>69</v>
      </c>
      <c r="AD44" t="s">
        <v>105</v>
      </c>
      <c r="AG44" s="1" t="s">
        <v>113</v>
      </c>
    </row>
    <row r="46" spans="1:33">
      <c r="A46" s="6" t="s">
        <v>116</v>
      </c>
      <c r="B46" s="6" t="s">
        <v>18</v>
      </c>
      <c r="AC46" s="6" t="s">
        <v>117</v>
      </c>
      <c r="AD46" s="6" t="s">
        <v>18</v>
      </c>
    </row>
    <row r="47" spans="1:33">
      <c r="A47" s="6" t="s">
        <v>19</v>
      </c>
      <c r="B47" t="s">
        <v>68</v>
      </c>
      <c r="C47" t="s">
        <v>67</v>
      </c>
      <c r="D47" t="s">
        <v>66</v>
      </c>
      <c r="E47" t="s">
        <v>64</v>
      </c>
      <c r="AC47" s="6" t="s">
        <v>19</v>
      </c>
      <c r="AD47" t="s">
        <v>68</v>
      </c>
      <c r="AE47" t="s">
        <v>67</v>
      </c>
      <c r="AF47" t="s">
        <v>66</v>
      </c>
      <c r="AG47" t="s">
        <v>64</v>
      </c>
    </row>
    <row r="48" spans="1:33">
      <c r="A48" s="7">
        <v>190</v>
      </c>
      <c r="B48" s="9">
        <v>34.160600000000002</v>
      </c>
      <c r="C48" s="9">
        <v>33.477499999999999</v>
      </c>
      <c r="D48" s="9">
        <v>22.041499999999999</v>
      </c>
      <c r="E48" s="9">
        <v>22.553999999999998</v>
      </c>
      <c r="AC48" s="7">
        <v>190</v>
      </c>
      <c r="AD48" s="9">
        <v>34.189799999999998</v>
      </c>
      <c r="AE48" s="9">
        <v>33.482900000000001</v>
      </c>
      <c r="AF48" s="9">
        <v>22.061800000000002</v>
      </c>
      <c r="AG48" s="9">
        <v>22.563199999999998</v>
      </c>
    </row>
    <row r="60" spans="2:33">
      <c r="B60" s="9">
        <f>B21-B48</f>
        <v>1.4633333333328835E-2</v>
      </c>
      <c r="C60" s="9">
        <f t="shared" ref="C60:E60" si="2">C21-C48</f>
        <v>2.2666666666708579E-3</v>
      </c>
      <c r="D60" s="9">
        <f t="shared" si="2"/>
        <v>1.1966666666666015E-2</v>
      </c>
      <c r="E60" s="9">
        <f t="shared" si="2"/>
        <v>3.1999999999996476E-3</v>
      </c>
      <c r="AD60" s="9">
        <f>AD48-B21</f>
        <v>1.4566666666667061E-2</v>
      </c>
      <c r="AE60" s="9">
        <f t="shared" ref="AE60:AG60" si="3">AE48-C21</f>
        <v>3.1333333333307678E-3</v>
      </c>
      <c r="AF60" s="9">
        <f t="shared" si="3"/>
        <v>8.3333333333364124E-3</v>
      </c>
      <c r="AG60" s="9">
        <f t="shared" si="3"/>
        <v>6.0000000000002274E-3</v>
      </c>
    </row>
    <row r="61" spans="2:33">
      <c r="B61" s="9">
        <f t="shared" ref="B61:E61" si="4">B22-B49</f>
        <v>0</v>
      </c>
      <c r="C61" s="9">
        <f t="shared" si="4"/>
        <v>0</v>
      </c>
      <c r="D61" s="9">
        <f t="shared" si="4"/>
        <v>0</v>
      </c>
      <c r="E61" s="9">
        <f t="shared" si="4"/>
        <v>0</v>
      </c>
      <c r="AD61" s="9">
        <f t="shared" ref="AD61:AD64" si="5">AD49-B22</f>
        <v>0</v>
      </c>
      <c r="AE61" s="9">
        <f t="shared" ref="AE61:AE64" si="6">AE49-C22</f>
        <v>0</v>
      </c>
      <c r="AF61" s="9">
        <f t="shared" ref="AF61:AF64" si="7">AF49-D22</f>
        <v>0</v>
      </c>
      <c r="AG61" s="9">
        <f t="shared" ref="AG61:AG64" si="8">AG49-E22</f>
        <v>0</v>
      </c>
    </row>
    <row r="62" spans="2:33">
      <c r="B62" s="9">
        <f t="shared" ref="B62:E62" si="9">B23-B50</f>
        <v>0</v>
      </c>
      <c r="C62" s="9">
        <f t="shared" si="9"/>
        <v>0</v>
      </c>
      <c r="D62" s="9">
        <f t="shared" si="9"/>
        <v>0</v>
      </c>
      <c r="E62" s="9">
        <f t="shared" si="9"/>
        <v>0</v>
      </c>
      <c r="AD62" s="9">
        <f t="shared" si="5"/>
        <v>0</v>
      </c>
      <c r="AE62" s="9">
        <f t="shared" si="6"/>
        <v>0</v>
      </c>
      <c r="AF62" s="9">
        <f t="shared" si="7"/>
        <v>0</v>
      </c>
      <c r="AG62" s="9">
        <f t="shared" si="8"/>
        <v>0</v>
      </c>
    </row>
    <row r="63" spans="2:33">
      <c r="B63" s="9">
        <f t="shared" ref="B63:E63" si="10">B24-B51</f>
        <v>0</v>
      </c>
      <c r="C63" s="9">
        <f t="shared" si="10"/>
        <v>0</v>
      </c>
      <c r="D63" s="9">
        <f t="shared" si="10"/>
        <v>0</v>
      </c>
      <c r="E63" s="9">
        <f t="shared" si="10"/>
        <v>0</v>
      </c>
      <c r="AD63" s="9">
        <f t="shared" si="5"/>
        <v>0</v>
      </c>
      <c r="AE63" s="9">
        <f t="shared" si="6"/>
        <v>0</v>
      </c>
      <c r="AF63" s="9">
        <f t="shared" si="7"/>
        <v>0</v>
      </c>
      <c r="AG63" s="9">
        <f t="shared" si="8"/>
        <v>0</v>
      </c>
    </row>
    <row r="64" spans="2:33">
      <c r="B64" s="9">
        <f t="shared" ref="B64:E64" si="11">B25-B52</f>
        <v>0</v>
      </c>
      <c r="C64" s="9">
        <f t="shared" si="11"/>
        <v>0</v>
      </c>
      <c r="D64" s="9">
        <f t="shared" si="11"/>
        <v>0</v>
      </c>
      <c r="E64" s="9">
        <f t="shared" si="11"/>
        <v>0</v>
      </c>
      <c r="AD64" s="9">
        <f t="shared" si="5"/>
        <v>0</v>
      </c>
      <c r="AE64" s="9">
        <f t="shared" si="6"/>
        <v>0</v>
      </c>
      <c r="AF64" s="9">
        <f t="shared" si="7"/>
        <v>0</v>
      </c>
      <c r="AG64" s="9">
        <f t="shared" si="8"/>
        <v>0</v>
      </c>
    </row>
  </sheetData>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102</v>
      </c>
      <c r="Z2" s="2" t="s">
        <v>0</v>
      </c>
      <c r="AA2" t="s">
        <v>70</v>
      </c>
    </row>
    <row r="3" spans="1:27">
      <c r="Z3" s="2"/>
    </row>
    <row r="4" spans="1:27">
      <c r="A4" s="6" t="s">
        <v>90</v>
      </c>
      <c r="B4" s="6" t="s">
        <v>18</v>
      </c>
      <c r="Z4" s="2"/>
    </row>
    <row r="5" spans="1:27">
      <c r="A5" s="6" t="s">
        <v>19</v>
      </c>
      <c r="B5" t="s">
        <v>68</v>
      </c>
      <c r="C5" t="s">
        <v>67</v>
      </c>
      <c r="D5" t="s">
        <v>66</v>
      </c>
      <c r="E5" t="s">
        <v>64</v>
      </c>
      <c r="Z5" s="2"/>
    </row>
    <row r="6" spans="1:27">
      <c r="A6" s="7">
        <v>190</v>
      </c>
      <c r="B6" s="8">
        <v>81.166666666666671</v>
      </c>
      <c r="C6" s="8">
        <v>37</v>
      </c>
      <c r="D6" s="8">
        <v>12</v>
      </c>
      <c r="E6" s="8">
        <v>7</v>
      </c>
      <c r="N6" s="2"/>
    </row>
    <row r="8" spans="1:27">
      <c r="N8" s="2"/>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190</v>
      </c>
      <c r="B21" s="8">
        <f t="shared" ref="B21:F23" si="1">B6</f>
        <v>81.166666666666671</v>
      </c>
      <c r="C21" s="8">
        <f t="shared" si="1"/>
        <v>37</v>
      </c>
      <c r="D21" s="8">
        <f t="shared" si="1"/>
        <v>12</v>
      </c>
      <c r="E21" s="8">
        <f t="shared" si="1"/>
        <v>7</v>
      </c>
      <c r="F21" s="8">
        <f t="shared" si="1"/>
        <v>0</v>
      </c>
    </row>
    <row r="22" spans="1:6">
      <c r="A22">
        <f t="shared" ref="A22:F25" si="2">A7</f>
        <v>0</v>
      </c>
      <c r="B22" s="8">
        <f t="shared" si="1"/>
        <v>0</v>
      </c>
      <c r="C22" s="8">
        <f t="shared" si="1"/>
        <v>0</v>
      </c>
      <c r="D22" s="8">
        <f t="shared" si="1"/>
        <v>0</v>
      </c>
      <c r="E22" s="8">
        <f t="shared" si="1"/>
        <v>0</v>
      </c>
      <c r="F22" s="8">
        <f t="shared" si="1"/>
        <v>0</v>
      </c>
    </row>
    <row r="23" spans="1:6">
      <c r="A23">
        <f t="shared" si="2"/>
        <v>0</v>
      </c>
      <c r="B23" s="8">
        <f t="shared" si="1"/>
        <v>0</v>
      </c>
      <c r="C23" s="8">
        <f t="shared" si="1"/>
        <v>0</v>
      </c>
      <c r="D23" s="8">
        <f t="shared" si="1"/>
        <v>0</v>
      </c>
      <c r="E23" s="8">
        <f t="shared" si="1"/>
        <v>0</v>
      </c>
      <c r="F23" s="8">
        <f t="shared" si="1"/>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102</v>
      </c>
      <c r="Z2" s="2" t="s">
        <v>0</v>
      </c>
      <c r="AA2" t="s">
        <v>70</v>
      </c>
    </row>
    <row r="3" spans="1:27">
      <c r="Z3" s="2"/>
    </row>
    <row r="4" spans="1:27">
      <c r="A4" s="6" t="s">
        <v>92</v>
      </c>
      <c r="B4" s="6" t="s">
        <v>18</v>
      </c>
      <c r="Z4" s="2"/>
    </row>
    <row r="5" spans="1:27">
      <c r="A5" s="6" t="s">
        <v>19</v>
      </c>
      <c r="B5" t="s">
        <v>68</v>
      </c>
      <c r="C5" t="s">
        <v>67</v>
      </c>
      <c r="D5" t="s">
        <v>66</v>
      </c>
      <c r="E5" t="s">
        <v>64</v>
      </c>
      <c r="Z5" s="2"/>
    </row>
    <row r="6" spans="1:27">
      <c r="A6" s="7">
        <v>190</v>
      </c>
      <c r="B6" s="8">
        <v>33738.833333333336</v>
      </c>
      <c r="C6" s="8">
        <v>32776.333333333336</v>
      </c>
      <c r="D6" s="8">
        <v>61273.166666666664</v>
      </c>
      <c r="E6" s="8">
        <v>9156.5</v>
      </c>
      <c r="N6" s="2"/>
    </row>
    <row r="8" spans="1:27">
      <c r="N8" s="2"/>
    </row>
    <row r="13" spans="1:27">
      <c r="B13" s="1" t="s">
        <v>93</v>
      </c>
      <c r="O13" s="3"/>
    </row>
    <row r="14" spans="1:27">
      <c r="B14" t="s">
        <v>94</v>
      </c>
      <c r="Z14" s="2"/>
    </row>
    <row r="15" spans="1:27">
      <c r="B15" s="1" t="s">
        <v>95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190</v>
      </c>
      <c r="B21" s="8">
        <f t="shared" ref="B21:F23" si="1">B6</f>
        <v>33738.833333333336</v>
      </c>
      <c r="C21" s="8">
        <f t="shared" si="1"/>
        <v>32776.333333333336</v>
      </c>
      <c r="D21" s="8">
        <f t="shared" si="1"/>
        <v>61273.166666666664</v>
      </c>
      <c r="E21" s="8">
        <f t="shared" si="1"/>
        <v>9156.5</v>
      </c>
      <c r="F21" s="8">
        <f t="shared" si="1"/>
        <v>0</v>
      </c>
    </row>
    <row r="22" spans="1:6">
      <c r="A22">
        <f t="shared" ref="A22:F25" si="2">A7</f>
        <v>0</v>
      </c>
      <c r="B22" s="8">
        <f t="shared" si="1"/>
        <v>0</v>
      </c>
      <c r="C22" s="8">
        <f t="shared" si="1"/>
        <v>0</v>
      </c>
      <c r="D22" s="8">
        <f t="shared" si="1"/>
        <v>0</v>
      </c>
      <c r="E22" s="8">
        <f t="shared" si="1"/>
        <v>0</v>
      </c>
      <c r="F22" s="8">
        <f t="shared" si="1"/>
        <v>0</v>
      </c>
    </row>
    <row r="23" spans="1:6">
      <c r="A23">
        <f t="shared" si="2"/>
        <v>0</v>
      </c>
      <c r="B23" s="8">
        <f t="shared" si="1"/>
        <v>0</v>
      </c>
      <c r="C23" s="8">
        <f t="shared" si="1"/>
        <v>0</v>
      </c>
      <c r="D23" s="8">
        <f t="shared" si="1"/>
        <v>0</v>
      </c>
      <c r="E23" s="8">
        <f t="shared" si="1"/>
        <v>0</v>
      </c>
      <c r="F23" s="8">
        <f t="shared" si="1"/>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sheetData>
  <pageMargins left="0.7" right="0.7" top="0.75" bottom="0.75" header="0.3" footer="0.3"/>
  <pageSetup paperSize="0"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102</v>
      </c>
      <c r="Z2" s="2" t="s">
        <v>0</v>
      </c>
      <c r="AA2" t="s">
        <v>70</v>
      </c>
    </row>
    <row r="3" spans="1:27">
      <c r="Z3" s="2"/>
    </row>
    <row r="4" spans="1:27">
      <c r="A4" s="6" t="s">
        <v>19</v>
      </c>
      <c r="B4" t="s">
        <v>88</v>
      </c>
      <c r="Z4" s="2"/>
    </row>
    <row r="5" spans="1:27">
      <c r="A5" s="7" t="s">
        <v>68</v>
      </c>
      <c r="B5" s="8">
        <v>14553.75</v>
      </c>
      <c r="Z5" s="2"/>
    </row>
    <row r="6" spans="1:27">
      <c r="A6" s="7" t="s">
        <v>67</v>
      </c>
      <c r="B6" s="8">
        <v>12033.033333333333</v>
      </c>
      <c r="N6" s="2"/>
    </row>
    <row r="7" spans="1:27">
      <c r="A7" s="7" t="s">
        <v>66</v>
      </c>
      <c r="B7" s="8">
        <v>6634.8516666666665</v>
      </c>
    </row>
    <row r="8" spans="1:27">
      <c r="A8" s="7" t="s">
        <v>64</v>
      </c>
      <c r="B8" s="8">
        <v>5108.0616666666665</v>
      </c>
      <c r="N8" s="2"/>
    </row>
    <row r="13" spans="1:27">
      <c r="O13" s="3"/>
    </row>
    <row r="14" spans="1:27">
      <c r="Z14" s="2"/>
    </row>
    <row r="20" spans="1:6">
      <c r="A20" t="str">
        <f>A4</f>
        <v>Row Labels</v>
      </c>
      <c r="B20" t="s">
        <v>96</v>
      </c>
      <c r="C20" t="s">
        <v>97</v>
      </c>
      <c r="D20">
        <f t="shared" ref="D20:F20" si="0">D5</f>
        <v>0</v>
      </c>
      <c r="E20">
        <f t="shared" si="0"/>
        <v>0</v>
      </c>
      <c r="F20">
        <f t="shared" si="0"/>
        <v>0</v>
      </c>
    </row>
    <row r="21" spans="1:6">
      <c r="A21" t="s">
        <v>99</v>
      </c>
      <c r="B21" s="8">
        <f>B5-B45</f>
        <v>1596.7833333333328</v>
      </c>
      <c r="C21">
        <f t="shared" ref="C21:C24" si="1">B45</f>
        <v>12956.966666666667</v>
      </c>
      <c r="D21" s="8">
        <f t="shared" ref="D21:F23" si="2">D6</f>
        <v>0</v>
      </c>
      <c r="E21" s="8">
        <f t="shared" si="2"/>
        <v>0</v>
      </c>
      <c r="F21" s="8">
        <f t="shared" si="2"/>
        <v>0</v>
      </c>
    </row>
    <row r="22" spans="1:6">
      <c r="A22" t="s">
        <v>98</v>
      </c>
      <c r="B22" s="8">
        <f t="shared" ref="B22:B25" si="3">B6-B46</f>
        <v>1687.0233333333326</v>
      </c>
      <c r="C22">
        <f t="shared" si="1"/>
        <v>10346.01</v>
      </c>
      <c r="D22" s="8">
        <f t="shared" si="2"/>
        <v>0</v>
      </c>
      <c r="E22" s="8">
        <f t="shared" si="2"/>
        <v>0</v>
      </c>
      <c r="F22" s="8">
        <f t="shared" si="2"/>
        <v>0</v>
      </c>
    </row>
    <row r="23" spans="1:6">
      <c r="A23" t="s">
        <v>100</v>
      </c>
      <c r="B23" s="8">
        <f t="shared" si="3"/>
        <v>1526.2283333333326</v>
      </c>
      <c r="C23">
        <f t="shared" si="1"/>
        <v>5108.6233333333339</v>
      </c>
      <c r="D23" s="8">
        <f t="shared" si="2"/>
        <v>0</v>
      </c>
      <c r="E23" s="8">
        <f t="shared" si="2"/>
        <v>0</v>
      </c>
      <c r="F23" s="8">
        <f t="shared" si="2"/>
        <v>0</v>
      </c>
    </row>
    <row r="24" spans="1:6">
      <c r="A24" t="s">
        <v>101</v>
      </c>
      <c r="B24" s="8">
        <f t="shared" si="3"/>
        <v>1017.0849999999996</v>
      </c>
      <c r="C24">
        <f t="shared" si="1"/>
        <v>4090.9766666666669</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33</v>
      </c>
      <c r="B41" s="7">
        <v>190</v>
      </c>
    </row>
    <row r="42" spans="1:2">
      <c r="A42" s="6" t="s">
        <v>69</v>
      </c>
      <c r="B42" t="s">
        <v>102</v>
      </c>
    </row>
    <row r="44" spans="1:2">
      <c r="A44" s="6" t="s">
        <v>19</v>
      </c>
      <c r="B44" t="s">
        <v>89</v>
      </c>
    </row>
    <row r="45" spans="1:2">
      <c r="A45" s="7" t="s">
        <v>68</v>
      </c>
      <c r="B45" s="8">
        <v>12956.966666666667</v>
      </c>
    </row>
    <row r="46" spans="1:2">
      <c r="A46" s="7" t="s">
        <v>67</v>
      </c>
      <c r="B46" s="8">
        <v>10346.01</v>
      </c>
    </row>
    <row r="47" spans="1:2">
      <c r="A47" s="7" t="s">
        <v>66</v>
      </c>
      <c r="B47" s="8">
        <v>5108.6233333333339</v>
      </c>
    </row>
    <row r="48" spans="1:2">
      <c r="A48" s="7" t="s">
        <v>64</v>
      </c>
      <c r="B48" s="8">
        <v>4090.9766666666669</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51"/>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Z2" s="2" t="s">
        <v>0</v>
      </c>
    </row>
    <row r="3" spans="1:27">
      <c r="A3" s="1" t="s">
        <v>111</v>
      </c>
      <c r="Z3" s="2" t="s">
        <v>107</v>
      </c>
      <c r="AA3" t="s">
        <v>115</v>
      </c>
    </row>
    <row r="4" spans="1:27">
      <c r="Z4" s="2" t="s">
        <v>108</v>
      </c>
      <c r="AA4" t="s">
        <v>114</v>
      </c>
    </row>
    <row r="5" spans="1:27">
      <c r="A5" s="6" t="s">
        <v>91</v>
      </c>
      <c r="B5" s="6" t="s">
        <v>18</v>
      </c>
      <c r="Z5" s="2"/>
    </row>
    <row r="6" spans="1:27">
      <c r="A6" s="6" t="s">
        <v>19</v>
      </c>
      <c r="B6" t="s">
        <v>68</v>
      </c>
      <c r="C6" t="s">
        <v>67</v>
      </c>
      <c r="D6" t="s">
        <v>66</v>
      </c>
      <c r="E6" t="s">
        <v>64</v>
      </c>
      <c r="N6" s="2"/>
    </row>
    <row r="7" spans="1:27">
      <c r="A7" s="7">
        <v>2000000000</v>
      </c>
      <c r="B7" s="9">
        <v>40.57233333333334</v>
      </c>
      <c r="C7" s="9">
        <v>29.732516666666669</v>
      </c>
      <c r="D7" s="9">
        <v>11</v>
      </c>
      <c r="E7" s="9">
        <v>4.0861200000000002</v>
      </c>
    </row>
    <row r="8" spans="1:27">
      <c r="N8" s="2"/>
    </row>
    <row r="13" spans="1:27">
      <c r="O13" s="3"/>
    </row>
    <row r="14" spans="1:27">
      <c r="Z14" s="2"/>
    </row>
    <row r="20" spans="1:5">
      <c r="A20" t="str">
        <f t="shared" ref="A20" si="0">A6</f>
        <v>Row Labels</v>
      </c>
      <c r="B20" t="s">
        <v>99</v>
      </c>
      <c r="C20" t="s">
        <v>98</v>
      </c>
      <c r="D20" t="s">
        <v>100</v>
      </c>
      <c r="E20" t="s">
        <v>101</v>
      </c>
    </row>
    <row r="21" spans="1:5">
      <c r="A21" t="str">
        <f>"2x10^"&amp;LOG10(A7/2)</f>
        <v>2x10^9</v>
      </c>
      <c r="B21">
        <f t="shared" ref="B21:E24" si="1">B7</f>
        <v>40.57233333333334</v>
      </c>
      <c r="C21">
        <f t="shared" si="1"/>
        <v>29.732516666666669</v>
      </c>
      <c r="D21">
        <f t="shared" si="1"/>
        <v>11</v>
      </c>
      <c r="E21">
        <f t="shared" si="1"/>
        <v>4.0861200000000002</v>
      </c>
    </row>
    <row r="22" spans="1:5">
      <c r="A22" t="e">
        <f t="shared" ref="A22:A24" si="2">"2x10^"&amp;LOG10(A8/2)</f>
        <v>#NUM!</v>
      </c>
      <c r="B22">
        <f t="shared" si="1"/>
        <v>0</v>
      </c>
      <c r="C22">
        <f t="shared" si="1"/>
        <v>0</v>
      </c>
      <c r="D22">
        <f t="shared" si="1"/>
        <v>0</v>
      </c>
      <c r="E22">
        <f t="shared" si="1"/>
        <v>0</v>
      </c>
    </row>
    <row r="23" spans="1:5">
      <c r="A23" t="e">
        <f t="shared" si="2"/>
        <v>#NUM!</v>
      </c>
      <c r="B23">
        <f t="shared" si="1"/>
        <v>0</v>
      </c>
      <c r="C23">
        <f t="shared" si="1"/>
        <v>0</v>
      </c>
      <c r="D23">
        <f t="shared" si="1"/>
        <v>0</v>
      </c>
      <c r="E23">
        <f t="shared" si="1"/>
        <v>0</v>
      </c>
    </row>
    <row r="24" spans="1:5">
      <c r="A24" t="e">
        <f t="shared" si="2"/>
        <v>#NUM!</v>
      </c>
      <c r="B24">
        <f t="shared" si="1"/>
        <v>0</v>
      </c>
      <c r="C24">
        <f t="shared" si="1"/>
        <v>0</v>
      </c>
      <c r="D24">
        <f t="shared" si="1"/>
        <v>0</v>
      </c>
      <c r="E24">
        <f t="shared" si="1"/>
        <v>0</v>
      </c>
    </row>
    <row r="33" spans="1:36">
      <c r="A33" s="1" t="s">
        <v>112</v>
      </c>
      <c r="Z33" s="1" t="s">
        <v>113</v>
      </c>
    </row>
    <row r="35" spans="1:36">
      <c r="A35" s="6" t="s">
        <v>109</v>
      </c>
      <c r="B35" s="6" t="s">
        <v>18</v>
      </c>
      <c r="Z35" s="6" t="s">
        <v>110</v>
      </c>
      <c r="AA35" s="6" t="s">
        <v>18</v>
      </c>
    </row>
    <row r="36" spans="1:36">
      <c r="A36" s="6" t="s">
        <v>19</v>
      </c>
      <c r="B36" t="s">
        <v>68</v>
      </c>
      <c r="C36" t="s">
        <v>67</v>
      </c>
      <c r="D36" t="s">
        <v>66</v>
      </c>
      <c r="E36" t="s">
        <v>64</v>
      </c>
      <c r="Z36" s="6" t="s">
        <v>19</v>
      </c>
      <c r="AA36" t="s">
        <v>68</v>
      </c>
      <c r="AB36" t="s">
        <v>67</v>
      </c>
      <c r="AC36" t="s">
        <v>66</v>
      </c>
      <c r="AD36" t="s">
        <v>64</v>
      </c>
    </row>
    <row r="37" spans="1:36">
      <c r="A37" s="7">
        <v>2000000000</v>
      </c>
      <c r="B37" s="9">
        <v>40.392000000000003</v>
      </c>
      <c r="C37" s="9">
        <v>29.476199999999999</v>
      </c>
      <c r="D37" s="9">
        <v>11</v>
      </c>
      <c r="E37" s="9">
        <v>4.0846</v>
      </c>
      <c r="Z37" s="7">
        <v>2000000000</v>
      </c>
      <c r="AA37" s="9">
        <v>40.6907</v>
      </c>
      <c r="AB37" s="9">
        <v>29.979900000000001</v>
      </c>
      <c r="AC37" s="9">
        <v>11</v>
      </c>
      <c r="AD37" s="9">
        <v>4.0875700000000004</v>
      </c>
      <c r="AE37" s="9"/>
      <c r="AF37" s="9"/>
      <c r="AG37" s="9"/>
      <c r="AH37" s="9"/>
      <c r="AI37" s="9"/>
      <c r="AJ37" s="9"/>
    </row>
    <row r="38" spans="1:36">
      <c r="AE38" s="9"/>
      <c r="AF38" s="9"/>
      <c r="AG38" s="9"/>
      <c r="AH38" s="9"/>
      <c r="AI38" s="9"/>
      <c r="AJ38" s="9"/>
    </row>
    <row r="39" spans="1:36">
      <c r="AE39" s="9"/>
      <c r="AF39" s="9"/>
      <c r="AG39" s="9"/>
      <c r="AH39" s="9"/>
      <c r="AI39" s="9"/>
      <c r="AJ39" s="9"/>
    </row>
    <row r="40" spans="1:36">
      <c r="AE40" s="9"/>
      <c r="AF40" s="9"/>
      <c r="AG40" s="9"/>
      <c r="AH40" s="9"/>
      <c r="AI40" s="9"/>
      <c r="AJ40" s="9"/>
    </row>
    <row r="41" spans="1:36">
      <c r="AA41" s="9"/>
      <c r="AB41" s="9"/>
      <c r="AC41" s="9"/>
      <c r="AD41" s="9"/>
      <c r="AE41" s="9"/>
      <c r="AF41" s="9"/>
      <c r="AG41" s="9"/>
      <c r="AH41" s="9"/>
      <c r="AI41" s="9"/>
      <c r="AJ41" s="9"/>
    </row>
    <row r="42" spans="1:36">
      <c r="AA42" s="9"/>
      <c r="AB42" s="9"/>
      <c r="AC42" s="9"/>
      <c r="AD42" s="9"/>
      <c r="AE42" s="9"/>
      <c r="AF42" s="9"/>
      <c r="AG42" s="9"/>
      <c r="AH42" s="9"/>
      <c r="AI42" s="9"/>
      <c r="AJ42" s="9"/>
    </row>
    <row r="43" spans="1:36">
      <c r="AA43" s="9"/>
      <c r="AB43" s="9"/>
      <c r="AC43" s="9"/>
      <c r="AD43" s="9"/>
      <c r="AE43" s="9"/>
      <c r="AF43" s="9"/>
      <c r="AG43" s="9"/>
      <c r="AH43" s="9"/>
      <c r="AI43" s="9"/>
      <c r="AJ43" s="9"/>
    </row>
    <row r="44" spans="1:36">
      <c r="AA44" s="9"/>
      <c r="AB44" s="9"/>
      <c r="AC44" s="9"/>
      <c r="AD44" s="9"/>
      <c r="AE44" s="9"/>
      <c r="AF44" s="9"/>
      <c r="AG44" s="9"/>
      <c r="AH44" s="9"/>
      <c r="AI44" s="9"/>
      <c r="AJ44" s="9"/>
    </row>
    <row r="47" spans="1:36">
      <c r="B47" s="9">
        <f>B7-B37</f>
        <v>0.18033333333333701</v>
      </c>
      <c r="C47" s="9">
        <f t="shared" ref="C47:E47" si="3">C7-C37</f>
        <v>0.2563166666666703</v>
      </c>
      <c r="D47" s="9">
        <f t="shared" si="3"/>
        <v>0</v>
      </c>
      <c r="E47" s="9">
        <f t="shared" si="3"/>
        <v>1.5200000000001879E-3</v>
      </c>
      <c r="AA47" s="9">
        <f>AA37-B7</f>
        <v>0.11836666666665963</v>
      </c>
      <c r="AB47" s="9">
        <f t="shared" ref="AB47:AD47" si="4">AB37-C7</f>
        <v>0.24738333333333173</v>
      </c>
      <c r="AC47" s="9">
        <f t="shared" si="4"/>
        <v>0</v>
      </c>
      <c r="AD47" s="9">
        <f t="shared" si="4"/>
        <v>1.4500000000001734E-3</v>
      </c>
      <c r="AE47" s="9"/>
      <c r="AF47" s="9"/>
      <c r="AG47" s="9"/>
    </row>
    <row r="48" spans="1:36">
      <c r="B48" s="9">
        <f t="shared" ref="B48:E48" si="5">B8-B38</f>
        <v>0</v>
      </c>
      <c r="C48" s="9">
        <f t="shared" si="5"/>
        <v>0</v>
      </c>
      <c r="D48" s="9">
        <f t="shared" si="5"/>
        <v>0</v>
      </c>
      <c r="E48" s="9">
        <f t="shared" si="5"/>
        <v>0</v>
      </c>
      <c r="AA48" s="9">
        <f t="shared" ref="AA48:AA50" si="6">AA38-B8</f>
        <v>0</v>
      </c>
      <c r="AB48" s="9">
        <f t="shared" ref="AB48:AB50" si="7">AB38-C8</f>
        <v>0</v>
      </c>
      <c r="AC48" s="9">
        <f t="shared" ref="AC48:AC50" si="8">AC38-D8</f>
        <v>0</v>
      </c>
      <c r="AD48" s="9">
        <f t="shared" ref="AD48:AD50" si="9">AD38-E8</f>
        <v>0</v>
      </c>
      <c r="AG48" s="9"/>
    </row>
    <row r="49" spans="2:33">
      <c r="B49" s="9">
        <f t="shared" ref="B49:E49" si="10">B9-B39</f>
        <v>0</v>
      </c>
      <c r="C49" s="9">
        <f t="shared" si="10"/>
        <v>0</v>
      </c>
      <c r="D49" s="9">
        <f t="shared" si="10"/>
        <v>0</v>
      </c>
      <c r="E49" s="9">
        <f t="shared" si="10"/>
        <v>0</v>
      </c>
      <c r="AA49" s="9">
        <f t="shared" si="6"/>
        <v>0</v>
      </c>
      <c r="AB49" s="9">
        <f t="shared" si="7"/>
        <v>0</v>
      </c>
      <c r="AC49" s="9">
        <f t="shared" si="8"/>
        <v>0</v>
      </c>
      <c r="AD49" s="9">
        <f t="shared" si="9"/>
        <v>0</v>
      </c>
      <c r="AG49" s="9"/>
    </row>
    <row r="50" spans="2:33">
      <c r="B50" s="9">
        <f t="shared" ref="B50:E50" si="11">B10-B40</f>
        <v>0</v>
      </c>
      <c r="C50" s="9">
        <f t="shared" si="11"/>
        <v>0</v>
      </c>
      <c r="D50" s="9">
        <f t="shared" si="11"/>
        <v>0</v>
      </c>
      <c r="E50" s="9">
        <f t="shared" si="11"/>
        <v>0</v>
      </c>
      <c r="AA50" s="9">
        <f t="shared" si="6"/>
        <v>0</v>
      </c>
      <c r="AB50" s="9">
        <f t="shared" si="7"/>
        <v>0</v>
      </c>
      <c r="AC50" s="9">
        <f t="shared" si="8"/>
        <v>0</v>
      </c>
      <c r="AD50" s="9">
        <f t="shared" si="9"/>
        <v>0</v>
      </c>
      <c r="AG50" s="9"/>
    </row>
    <row r="51" spans="2:33">
      <c r="B51" s="8"/>
      <c r="C51" s="8"/>
      <c r="D51" s="8"/>
      <c r="E51" s="8"/>
      <c r="AG51" s="9"/>
    </row>
  </sheetData>
  <pageMargins left="0.7" right="0.7" top="0.75" bottom="0.75" header="0.3" footer="0.3"/>
  <pageSetup paperSize="0" orientation="portrait" r:id="rId4"/>
  <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48"/>
  <sheetViews>
    <sheetView zoomScale="80" zoomScaleNormal="80" workbookViewId="0">
      <selection activeCell="AF47" sqref="AF47"/>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105</v>
      </c>
      <c r="C2" t="str">
        <f>B2&amp;", 190 threads"</f>
        <v>u=40%, k=2x10^9, 190 threads</v>
      </c>
      <c r="Z2" s="2" t="s">
        <v>0</v>
      </c>
      <c r="AA2" t="s">
        <v>70</v>
      </c>
    </row>
    <row r="3" spans="1:27">
      <c r="Z3" s="2"/>
    </row>
    <row r="4" spans="1:27">
      <c r="A4" s="6" t="s">
        <v>19</v>
      </c>
      <c r="B4" t="s">
        <v>88</v>
      </c>
      <c r="Z4" s="2"/>
    </row>
    <row r="5" spans="1:27">
      <c r="A5" s="7" t="s">
        <v>68</v>
      </c>
      <c r="B5" s="8">
        <v>15329.866666666667</v>
      </c>
      <c r="Z5" s="2"/>
    </row>
    <row r="6" spans="1:27">
      <c r="A6" s="7" t="s">
        <v>67</v>
      </c>
      <c r="B6" s="8">
        <v>12483.800000000001</v>
      </c>
      <c r="N6" s="2"/>
    </row>
    <row r="7" spans="1:27">
      <c r="A7" s="7" t="s">
        <v>66</v>
      </c>
      <c r="B7" s="8">
        <v>7775.3466666666673</v>
      </c>
    </row>
    <row r="8" spans="1:27">
      <c r="A8" s="7" t="s">
        <v>64</v>
      </c>
      <c r="B8" s="8">
        <v>6471.8666666666659</v>
      </c>
      <c r="N8" s="2"/>
    </row>
    <row r="13" spans="1:27">
      <c r="O13" s="3"/>
    </row>
    <row r="14" spans="1:27">
      <c r="Z14" s="2"/>
    </row>
    <row r="20" spans="1:6">
      <c r="A20" t="str">
        <f>A4</f>
        <v>Row Labels</v>
      </c>
      <c r="B20" t="s">
        <v>96</v>
      </c>
      <c r="C20" t="s">
        <v>97</v>
      </c>
      <c r="D20">
        <f t="shared" ref="C20:F25" si="0">D5</f>
        <v>0</v>
      </c>
      <c r="E20">
        <f t="shared" si="0"/>
        <v>0</v>
      </c>
      <c r="F20">
        <f t="shared" si="0"/>
        <v>0</v>
      </c>
    </row>
    <row r="21" spans="1:6">
      <c r="A21" t="s">
        <v>99</v>
      </c>
      <c r="B21" s="8">
        <f>B5-B45</f>
        <v>1940.2333333333336</v>
      </c>
      <c r="C21">
        <f t="shared" ref="C21:C24" si="1">B45</f>
        <v>13389.633333333333</v>
      </c>
      <c r="D21" s="8">
        <f t="shared" si="0"/>
        <v>0</v>
      </c>
      <c r="E21" s="8">
        <f t="shared" si="0"/>
        <v>0</v>
      </c>
      <c r="F21" s="8">
        <f t="shared" si="0"/>
        <v>0</v>
      </c>
    </row>
    <row r="22" spans="1:6">
      <c r="A22" t="s">
        <v>98</v>
      </c>
      <c r="B22" s="8">
        <f t="shared" ref="B22:B25" si="2">B6-B46</f>
        <v>1760.8000000000011</v>
      </c>
      <c r="C22">
        <f t="shared" si="1"/>
        <v>10723</v>
      </c>
      <c r="D22" s="8">
        <f t="shared" si="0"/>
        <v>0</v>
      </c>
      <c r="E22" s="8">
        <f t="shared" si="0"/>
        <v>0</v>
      </c>
      <c r="F22" s="8">
        <f t="shared" si="0"/>
        <v>0</v>
      </c>
    </row>
    <row r="23" spans="1:6">
      <c r="A23" t="s">
        <v>100</v>
      </c>
      <c r="B23" s="8">
        <f t="shared" si="2"/>
        <v>2017.54</v>
      </c>
      <c r="C23">
        <f t="shared" si="1"/>
        <v>5757.8066666666673</v>
      </c>
      <c r="D23" s="8">
        <f t="shared" si="0"/>
        <v>0</v>
      </c>
      <c r="E23" s="8">
        <f t="shared" si="0"/>
        <v>0</v>
      </c>
      <c r="F23" s="8">
        <f t="shared" si="0"/>
        <v>0</v>
      </c>
    </row>
    <row r="24" spans="1:6">
      <c r="A24" t="s">
        <v>101</v>
      </c>
      <c r="B24" s="8">
        <f t="shared" si="2"/>
        <v>1293.1899999999987</v>
      </c>
      <c r="C24">
        <f t="shared" si="1"/>
        <v>5178.6766666666672</v>
      </c>
      <c r="D24" s="8">
        <f t="shared" si="0"/>
        <v>0</v>
      </c>
      <c r="E24" s="8">
        <f t="shared" si="0"/>
        <v>0</v>
      </c>
      <c r="F24" s="8">
        <f t="shared" si="0"/>
        <v>0</v>
      </c>
    </row>
    <row r="25" spans="1:6">
      <c r="A25">
        <f t="shared" ref="A25" si="3">A9</f>
        <v>0</v>
      </c>
      <c r="B25" s="8">
        <f t="shared" si="2"/>
        <v>0</v>
      </c>
      <c r="C25" s="8">
        <f t="shared" si="0"/>
        <v>0</v>
      </c>
      <c r="D25" s="8">
        <f t="shared" si="0"/>
        <v>0</v>
      </c>
      <c r="E25" s="8">
        <f t="shared" si="0"/>
        <v>0</v>
      </c>
      <c r="F25" s="8">
        <f t="shared" si="0"/>
        <v>0</v>
      </c>
    </row>
    <row r="41" spans="1:6">
      <c r="A41" s="6" t="s">
        <v>33</v>
      </c>
      <c r="B41" s="7">
        <v>190</v>
      </c>
      <c r="E41" s="6" t="s">
        <v>33</v>
      </c>
      <c r="F41" s="7">
        <v>190</v>
      </c>
    </row>
    <row r="42" spans="1:6">
      <c r="A42" s="6" t="s">
        <v>69</v>
      </c>
      <c r="B42" t="s">
        <v>105</v>
      </c>
      <c r="E42" s="6" t="s">
        <v>69</v>
      </c>
      <c r="F42" t="s">
        <v>105</v>
      </c>
    </row>
    <row r="44" spans="1:6">
      <c r="A44" s="6" t="s">
        <v>19</v>
      </c>
      <c r="B44" t="s">
        <v>89</v>
      </c>
      <c r="E44" s="6" t="s">
        <v>19</v>
      </c>
      <c r="F44" t="s">
        <v>87</v>
      </c>
    </row>
    <row r="45" spans="1:6">
      <c r="A45" s="7" t="s">
        <v>68</v>
      </c>
      <c r="B45" s="8">
        <v>13389.633333333333</v>
      </c>
      <c r="E45" s="7" t="s">
        <v>68</v>
      </c>
      <c r="F45" s="9">
        <v>34.175233333333331</v>
      </c>
    </row>
    <row r="46" spans="1:6">
      <c r="A46" s="7" t="s">
        <v>67</v>
      </c>
      <c r="B46" s="8">
        <v>10723</v>
      </c>
      <c r="E46" s="7" t="s">
        <v>67</v>
      </c>
      <c r="F46" s="9">
        <v>33.47976666666667</v>
      </c>
    </row>
    <row r="47" spans="1:6">
      <c r="A47" s="7" t="s">
        <v>66</v>
      </c>
      <c r="B47" s="8">
        <v>5757.8066666666673</v>
      </c>
      <c r="E47" s="7" t="s">
        <v>66</v>
      </c>
      <c r="F47" s="9">
        <v>22.053466666666665</v>
      </c>
    </row>
    <row r="48" spans="1:6">
      <c r="A48" s="7" t="s">
        <v>64</v>
      </c>
      <c r="B48" s="8">
        <v>5178.6766666666672</v>
      </c>
      <c r="E48" s="7" t="s">
        <v>64</v>
      </c>
      <c r="F48" s="9">
        <v>22.557199999999998</v>
      </c>
    </row>
  </sheetData>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data</vt:lpstr>
      <vt:lpstr>maxresident (no)</vt:lpstr>
      <vt:lpstr>cycles (maybe no)</vt:lpstr>
      <vt:lpstr>throughput</vt:lpstr>
      <vt:lpstr>LLC misses</vt:lpstr>
      <vt:lpstr>height (no)</vt:lpstr>
      <vt:lpstr>prefilling (no)</vt:lpstr>
      <vt:lpstr>cycle_breakdown (replaced)</vt:lpstr>
      <vt:lpstr>avg key depth</vt:lpstr>
      <vt:lpstr>cycle_breakdown</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2019-06-14T22:45:16Z</dcterms:modified>
</cp:coreProperties>
</file>