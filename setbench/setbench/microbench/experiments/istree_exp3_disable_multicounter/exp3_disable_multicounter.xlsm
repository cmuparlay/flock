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3_disable_multicounter\"/>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data!$A$1:$AT$406</definedName>
    <definedName name="ExternalData_13" localSheetId="1">data!$A$1:$AU$321</definedName>
    <definedName name="ExternalData_14" localSheetId="1">data!$A$1:$AV$641</definedName>
    <definedName name="ExternalData_15" localSheetId="1">data!$A$1:$BB$55</definedName>
    <definedName name="ExternalData_16" localSheetId="1">data!$A$1:$BB$28</definedName>
    <definedName name="ExternalData_17" localSheetId="1">data!$A$1:$BB$55</definedName>
  </definedNames>
  <calcPr calcId="162913"/>
  <pivotCaches>
    <pivotCache cacheId="4"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56" i="2" l="1"/>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6" i="2"/>
  <c r="BC87" i="2"/>
  <c r="BC88" i="2"/>
  <c r="BC89" i="2"/>
  <c r="BC90" i="2"/>
  <c r="BC91" i="2"/>
  <c r="BC92" i="2"/>
  <c r="BC93" i="2"/>
  <c r="BC94" i="2"/>
  <c r="BC95" i="2"/>
  <c r="BC96" i="2"/>
  <c r="BC97" i="2"/>
  <c r="BC98" i="2"/>
  <c r="BC99" i="2"/>
  <c r="BC100" i="2"/>
  <c r="BC101" i="2"/>
  <c r="BC102" i="2"/>
  <c r="BC103" i="2"/>
  <c r="BC104" i="2"/>
  <c r="BC105" i="2"/>
  <c r="BC106" i="2"/>
  <c r="BC107" i="2"/>
  <c r="BC108" i="2"/>
  <c r="BC109" i="2"/>
  <c r="BC55" i="2" l="1"/>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A26" i="1" l="1"/>
  <c r="B26" i="1"/>
  <c r="C26" i="1"/>
  <c r="A27" i="1"/>
  <c r="B27" i="1"/>
  <c r="C27" i="1"/>
  <c r="A28" i="1"/>
  <c r="B28" i="1"/>
  <c r="C28" i="1"/>
  <c r="A29" i="1"/>
  <c r="B29" i="1"/>
  <c r="C29" i="1"/>
  <c r="A24" i="1" l="1"/>
  <c r="B24" i="1"/>
  <c r="C24" i="1"/>
  <c r="A25" i="1"/>
  <c r="B25" i="1"/>
  <c r="C25" i="1"/>
  <c r="A23" i="1" l="1"/>
  <c r="A22" i="1"/>
  <c r="A21" i="1"/>
  <c r="C23" i="1"/>
  <c r="B23" i="1"/>
  <c r="C22" i="1"/>
  <c r="B22" i="1"/>
  <c r="C21" i="1"/>
  <c r="B21"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3" type="6" refreshedVersion="6" background="1" saveData="1">
    <textPr sourceFile="C:\Users\t35brown\Documents\bitbucket\setbench\microbench\experiments\istree_exp4_disable_rebuild_helping\disable_rebuild_helping.csv" comma="1">
      <textFields>
        <textField/>
      </textFields>
    </textPr>
  </connection>
  <connection id="5" name="Connection4" type="6" refreshedVersion="6" background="1" saveData="1">
    <textPr sourceFile="C:\Users\t35brown\Documents\bitbucket\setbench\microbench\experiments\istree_exp3_disable_multicounter\disable_multicounter.csv" comma="1">
      <textFields>
        <textField/>
      </textFields>
    </textPr>
  </connection>
  <connection id="6" name="Connection5" type="6" refreshedVersion="6" background="1" saveData="1">
    <textPr sourceFile="C:\Users\t35brown\Documents\bitbucket\setbench\microbench\experiments\istree_exp3_disable_multicounter\istree_exp3_disable_multicounter.csv" comma="1">
      <textFields>
        <textField/>
      </textFields>
    </textPr>
  </connection>
  <connection id="7"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<sst xmlns="http://schemas.openxmlformats.org/spreadsheetml/2006/main" count="1062" uniqueCount="361">
  <si>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</si>
  <si>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</si>
  <si>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</si>
  <si>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</si>
  <si>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</si>
  <si>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</si>
  <si>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</si>
  <si>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</si>
  <si>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</si>
  <si>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</si>
  <si>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</si>
  <si>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</si>
  <si>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</si>
  <si>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</si>
  <si>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</si>
  <si>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</si>
  <si>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</si>
  <si>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</si>
  <si>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</si>
  <si>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</si>
  <si>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</si>
  <si>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</si>
  <si>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</si>
  <si>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</si>
  <si>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</si>
  <si>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</si>
  <si>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</si>
  <si>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</si>
  <si>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</si>
  <si>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</si>
  <si>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</si>
  <si>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</si>
  <si>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</si>
  <si>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</si>
  <si>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</si>
  <si>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</si>
  <si>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</si>
  <si>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</si>
  <si>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</si>
  <si>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</si>
  <si>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</si>
  <si>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</si>
  <si>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</si>
  <si>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</si>
  <si>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</si>
  <si>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</si>
  <si>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</si>
  <si>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</si>
  <si>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</si>
  <si>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</si>
  <si>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</si>
  <si>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</si>
  <si>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</si>
  <si>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</si>
  <si>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</si>
  <si>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</si>
  <si>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</si>
  <si>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</si>
  <si>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</si>
  <si>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</si>
  <si>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</si>
  <si>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</si>
  <si>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</si>
  <si>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</si>
  <si>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</si>
  <si>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</si>
  <si>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</si>
  <si>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</si>
  <si>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</si>
  <si>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</si>
  <si>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</si>
  <si>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</si>
  <si>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</si>
  <si>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</si>
  <si>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</si>
  <si>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</si>
  <si>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</si>
  <si>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</si>
  <si>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</si>
  <si>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</si>
  <si>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</si>
  <si>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</si>
  <si>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brown_ext_ist_lf_disabled</t>
  </si>
  <si>
    <t>brown_ext_ist_lf_enabled</t>
  </si>
  <si>
    <t>u=40% k=2x10^8</t>
  </si>
  <si>
    <t>u=40% k=2x10^7</t>
  </si>
  <si>
    <t>u=40% k=2x10^6</t>
  </si>
  <si>
    <t>u=10% k=2x10^8</t>
  </si>
  <si>
    <t>u=10% k=2x10^7</t>
  </si>
  <si>
    <t>u=10% k=2x10^6</t>
  </si>
  <si>
    <t>u=1% k=2x10^8</t>
  </si>
  <si>
    <t>u=1% k=2x10^7</t>
  </si>
  <si>
    <t>u=1% k=2x10^6</t>
  </si>
  <si>
    <t>istree_exp3_disable_multicounter/step10001.txt</t>
  </si>
  <si>
    <t>361 49094 1527517 1501316</t>
  </si>
  <si>
    <t>97 48791 1527419 1501305</t>
  </si>
  <si>
    <t>istree_exp3_disable_multicounter/step10002.txt</t>
  </si>
  <si>
    <t>25 12581 715555 6288251 21209</t>
  </si>
  <si>
    <t>8 12545 715543 6288238 21209</t>
  </si>
  <si>
    <t>istree_exp3_disable_multicounter/step10003.txt</t>
  </si>
  <si>
    <t>0 0 156694 3244173 567769</t>
  </si>
  <si>
    <t>istree_exp3_disable_multicounter/step10004.txt</t>
  </si>
  <si>
    <t>5155 113989 3480054 3414222</t>
  </si>
  <si>
    <t>221 110144 3477918 3414099</t>
  </si>
  <si>
    <t>istree_exp3_disable_multicounter/step10005.txt</t>
  </si>
  <si>
    <t>401 34720 1984612 17021235 58609</t>
  </si>
  <si>
    <t>22 34208 1984419 17021005 58609</t>
  </si>
  <si>
    <t>istree_exp3_disable_multicounter/step10006.txt</t>
  </si>
  <si>
    <t>29 10080 1012190 8996897 1573116</t>
  </si>
  <si>
    <t>2 10016 1012173 8996877 1573116</t>
  </si>
  <si>
    <t>istree_exp3_disable_multicounter/step10007.txt</t>
  </si>
  <si>
    <t>23315 194485 5690011 5574141</t>
  </si>
  <si>
    <t>362 176908 5679757 5573636</t>
  </si>
  <si>
    <t>istree_exp3_disable_multicounter/step10008.txt</t>
  </si>
  <si>
    <t>1807 59067 3322438 28268523 96846</t>
  </si>
  <si>
    <t>37 57125 3321316 28267267 96842</t>
  </si>
  <si>
    <t>istree_exp3_disable_multicounter/step10009.txt</t>
  </si>
  <si>
    <t>131 15099 1664080 15902625 2643935</t>
  </si>
  <si>
    <t>3 14900 1663982 15902544 2643935</t>
  </si>
  <si>
    <t>istree_exp3_disable_multicounter/step10010.txt</t>
  </si>
  <si>
    <t>358 49025 1522423 1498655</t>
  </si>
  <si>
    <t>97 48723 1522308 1498644</t>
  </si>
  <si>
    <t>istree_exp3_disable_multicounter/step10011.txt</t>
  </si>
  <si>
    <t>31 12595 715096 6249644 20912</t>
  </si>
  <si>
    <t>8 12553 715086 6249634 20912</t>
  </si>
  <si>
    <t>istree_exp3_disable_multicounter/step10012.txt</t>
  </si>
  <si>
    <t>0 0 156069 3241907 567663</t>
  </si>
  <si>
    <t>0 0 156067 3241907 567663</t>
  </si>
  <si>
    <t>istree_exp3_disable_multicounter/step10013.txt</t>
  </si>
  <si>
    <t>5316 113718 3468740 3403414</t>
  </si>
  <si>
    <t>221 109892 3466657 3403291</t>
  </si>
  <si>
    <t>istree_exp3_disable_multicounter/step10014.txt</t>
  </si>
  <si>
    <t>435 34730 1971851 16930987 57528</t>
  </si>
  <si>
    <t>22 34209 1971662 16930761 57528</t>
  </si>
  <si>
    <t>istree_exp3_disable_multicounter/step10015.txt</t>
  </si>
  <si>
    <t>32 10067 1010613 8976930 1569630</t>
  </si>
  <si>
    <t>2 10002 1010595 8976918 1569629</t>
  </si>
  <si>
    <t>istree_exp3_disable_multicounter/step10016.txt</t>
  </si>
  <si>
    <t>23368 194603 5674602 5561574</t>
  </si>
  <si>
    <t>361 177029 5664311 5561018</t>
  </si>
  <si>
    <t>istree_exp3_disable_multicounter/step10017.txt</t>
  </si>
  <si>
    <t>1766 59175 3314110 28197362 96888</t>
  </si>
  <si>
    <t>37 57266 3313051 28196129 96885</t>
  </si>
  <si>
    <t>istree_exp3_disable_multicounter/step10018.txt</t>
  </si>
  <si>
    <t>162 15085 1601766 15558252 2602596</t>
  </si>
  <si>
    <t>3 14909 1601671 15558167 2602596</t>
  </si>
  <si>
    <t>istree_exp3_disable_multicounter/step10019.txt</t>
  </si>
  <si>
    <t>365 48870 1522811 1496384</t>
  </si>
  <si>
    <t>97 48613 1522702 1496376</t>
  </si>
  <si>
    <t>istree_exp3_disable_multicounter/step10020.txt</t>
  </si>
  <si>
    <t>24 12550 714959 6283649 21079</t>
  </si>
  <si>
    <t>8 12497 714945 6283638 21079</t>
  </si>
  <si>
    <t>istree_exp3_disable_multicounter/step10021.txt</t>
  </si>
  <si>
    <t>0 0 146881 3204158 560966</t>
  </si>
  <si>
    <t>istree_exp3_disable_multicounter/step10022.txt</t>
  </si>
  <si>
    <t>5241 113913 3470494 3403507</t>
  </si>
  <si>
    <t>221 110004 3468387 3403389</t>
  </si>
  <si>
    <t>istree_exp3_disable_multicounter/step10023.txt</t>
  </si>
  <si>
    <t>418 34899 1974760 16940577 57843</t>
  </si>
  <si>
    <t>22 34377 1974528 16940321 57842</t>
  </si>
  <si>
    <t>istree_exp3_disable_multicounter/step10024.txt</t>
  </si>
  <si>
    <t>26 10113 1011605 9174717 1608839</t>
  </si>
  <si>
    <t>2 10039 1011590 9174704 1608839</t>
  </si>
  <si>
    <t>istree_exp3_disable_multicounter/step10025.txt</t>
  </si>
  <si>
    <t>23401 194551 5691838 5573327</t>
  </si>
  <si>
    <t>361 177124 5681687 5572795</t>
  </si>
  <si>
    <t>istree_exp3_disable_multicounter/step10026.txt</t>
  </si>
  <si>
    <t>1799 58998 3306899 28066484 96122</t>
  </si>
  <si>
    <t>37 57184 3305839 28065276 96119</t>
  </si>
  <si>
    <t>istree_exp3_disable_multicounter/step10027.txt</t>
  </si>
  <si>
    <t>118 15131 1627462 15712303 2622052</t>
  </si>
  <si>
    <t>3 14956 1627380 15712199 2622051</t>
  </si>
  <si>
    <t>istree_exp3_disable_multicounter/step10028.txt</t>
  </si>
  <si>
    <t>303 612835 297911 2449051</t>
  </si>
  <si>
    <t>261 612241 297712 2449011</t>
  </si>
  <si>
    <t>istree_exp3_disable_multicounter/step10029.txt</t>
  </si>
  <si>
    <t>15 47443 398905 10045461 25678</t>
  </si>
  <si>
    <t>15 47442 398886 10045427 25678</t>
  </si>
  <si>
    <t>istree_exp3_disable_multicounter/step10030.txt</t>
  </si>
  <si>
    <t>1 10000 344271 3942163 709595</t>
  </si>
  <si>
    <t>1 10000 344270 3942161 709595</t>
  </si>
  <si>
    <t>istree_exp3_disable_multicounter/step10031.txt</t>
  </si>
  <si>
    <t>2759 3452776 1678187 13781632</t>
  </si>
  <si>
    <t>1470 3431849 1671416 13780298</t>
  </si>
  <si>
    <t>istree_exp3_disable_multicounter/step10032.txt</t>
  </si>
  <si>
    <t>199 347886 2933620 73512186 183221</t>
  </si>
  <si>
    <t>109 347833 2932413 73510847 183221</t>
  </si>
  <si>
    <t>istree_exp3_disable_multicounter/step10033.txt</t>
  </si>
  <si>
    <t>16 79984 2758881 32781290 5702132</t>
  </si>
  <si>
    <t>8 79980 2758750 32781199 5702123</t>
  </si>
  <si>
    <t>istree_exp3_disable_multicounter/step10034.txt</t>
  </si>
  <si>
    <t>6797 5465850 2655560 21794541</t>
  </si>
  <si>
    <t>2324 5406658 2636534 21790444</t>
  </si>
  <si>
    <t>istree_exp3_disable_multicounter/step10035.txt</t>
  </si>
  <si>
    <t>891 734036 6188658 155249611 390622</t>
  </si>
  <si>
    <t>231 733775 6183215 155242279 390620</t>
  </si>
  <si>
    <t>istree_exp3_disable_multicounter/step10036.txt</t>
  </si>
  <si>
    <t>77 199967 6885598 77724991 13316332</t>
  </si>
  <si>
    <t>20 199947 6884967 77724523 13316304</t>
  </si>
  <si>
    <t>istree_exp3_disable_multicounter/step10037.txt</t>
  </si>
  <si>
    <t>288 610645 296989 2442395</t>
  </si>
  <si>
    <t>260 610077 296797 2442348</t>
  </si>
  <si>
    <t>istree_exp3_disable_multicounter/step10038.txt</t>
  </si>
  <si>
    <t>15 47448 400546 10046031 25069</t>
  </si>
  <si>
    <t>15 47445 400517 10046003 25069</t>
  </si>
  <si>
    <t>istree_exp3_disable_multicounter/step10039.txt</t>
  </si>
  <si>
    <t>1 10001 343644 3946890 713559</t>
  </si>
  <si>
    <t>1 10001 343638 3946890 713559</t>
  </si>
  <si>
    <t>istree_exp3_disable_multicounter/step10040.txt</t>
  </si>
  <si>
    <t>2804 3453301 1677287 13793067</t>
  </si>
  <si>
    <t>1470 3432245 1670559 13791684</t>
  </si>
  <si>
    <t>istree_exp3_disable_multicounter/step10041.txt</t>
  </si>
  <si>
    <t>169 347948 2932562 73607313 184707</t>
  </si>
  <si>
    <t>110 347896 2931372 73606013 184704</t>
  </si>
  <si>
    <t>istree_exp3_disable_multicounter/step10042.txt</t>
  </si>
  <si>
    <t>11 79977 2756478 32482589 5664193</t>
  </si>
  <si>
    <t>8 79974 2756353 32482508 5664185</t>
  </si>
  <si>
    <t>istree_exp3_disable_multicounter/step10043.txt</t>
  </si>
  <si>
    <t>7067 5456271 2650801 21761106</t>
  </si>
  <si>
    <t>2321 5397843 2631675 21757103</t>
  </si>
  <si>
    <t>istree_exp3_disable_multicounter/step10044.txt</t>
  </si>
  <si>
    <t>871 733492 6184785 155135454 389940</t>
  </si>
  <si>
    <t>231 733252 6179669 155128011 389934</t>
  </si>
  <si>
    <t>istree_exp3_disable_multicounter/step10045.txt</t>
  </si>
  <si>
    <t>83 199971 6884513 77722154 13317429</t>
  </si>
  <si>
    <t>20 199956 6883874 77721680 13317399</t>
  </si>
  <si>
    <t>istree_exp3_disable_multicounter/step10046.txt</t>
  </si>
  <si>
    <t>293 608008 295627 2430091</t>
  </si>
  <si>
    <t>259 607423 295424 2430048</t>
  </si>
  <si>
    <t>istree_exp3_disable_multicounter/step10047.txt</t>
  </si>
  <si>
    <t>19 47445 401574 10042542 25154</t>
  </si>
  <si>
    <t>15 47443 401550 10042511 25154</t>
  </si>
  <si>
    <t>istree_exp3_disable_multicounter/step10048.txt</t>
  </si>
  <si>
    <t>1 9998 344394 3952561 714344</t>
  </si>
  <si>
    <t>1 9998 344391 3952560 714344</t>
  </si>
  <si>
    <t>istree_exp3_disable_multicounter/step10049.txt</t>
  </si>
  <si>
    <t>2760 3451272 1678798 13780843</t>
  </si>
  <si>
    <t>1469 3430263 1671957 13779478</t>
  </si>
  <si>
    <t>istree_exp3_disable_multicounter/step10050.txt</t>
  </si>
  <si>
    <t>188 346648 2931262 73487856 184479</t>
  </si>
  <si>
    <t>109 346572 2930048 73486507 184478</t>
  </si>
  <si>
    <t>istree_exp3_disable_multicounter/step10051.txt</t>
  </si>
  <si>
    <t>12 79980 2760707 32789417 5705950</t>
  </si>
  <si>
    <t>8 79977 2760566 32789346 5705944</t>
  </si>
  <si>
    <t>istree_exp3_disable_multicounter/step10052.txt</t>
  </si>
  <si>
    <t>7011 5461262 2657866 21783996</t>
  </si>
  <si>
    <t>2323 5402558 2639220 21779966</t>
  </si>
  <si>
    <t>istree_exp3_disable_multicounter/step10053.txt</t>
  </si>
  <si>
    <t>931 734045 6186961 155255380 389605</t>
  </si>
  <si>
    <t>232 733782 6181659 155248087 389596</t>
  </si>
  <si>
    <t>istree_exp3_disable_multicounter/step10054.txt</t>
  </si>
  <si>
    <t>98 199990 6870930 77752033 13324936</t>
  </si>
  <si>
    <t>20 199961 6870326 77751572 13324910</t>
  </si>
  <si>
    <t>fetch&amp;add</t>
  </si>
  <si>
    <t>multicounter</t>
  </si>
  <si>
    <t>319 48871 1521957 1494283</t>
  </si>
  <si>
    <t>97 48589 1521873 1494271</t>
  </si>
  <si>
    <t>26 12573 715314 6287180 20989</t>
  </si>
  <si>
    <t>8 12530 715303 6287165 20989</t>
  </si>
  <si>
    <t>0 0 166050 3288729 571232</t>
  </si>
  <si>
    <t>5323 114202 3486722 3418661</t>
  </si>
  <si>
    <t>222 110273 3484577 3418528</t>
  </si>
  <si>
    <t>433 34719 1979365 16975168 57723</t>
  </si>
  <si>
    <t>22 34227 1979145 16974929 57723</t>
  </si>
  <si>
    <t>25 10046 1011593 9347749 1641034</t>
  </si>
  <si>
    <t>2 9980 1011569 9347732 1641034</t>
  </si>
  <si>
    <t>23415 194714 5689828 5577551</t>
  </si>
  <si>
    <t>362 176954 5679584 5577053</t>
  </si>
  <si>
    <t>1790 59189 3305609 27852783 95257</t>
  </si>
  <si>
    <t>37 57299 3304544 27851629 95256</t>
  </si>
  <si>
    <t>87 15009 1633737 15747877 2627128</t>
  </si>
  <si>
    <t>3 14859 1633651 15747787 2627127</t>
  </si>
  <si>
    <t>371 49041 1522555 1495185</t>
  </si>
  <si>
    <t>97 48739 1522445 1495179</t>
  </si>
  <si>
    <t>21 12539 715553 6271427 20991</t>
  </si>
  <si>
    <t>8 12494 715543 6271421 20991</t>
  </si>
  <si>
    <t>0 0 169087 3302803 572754</t>
  </si>
  <si>
    <t>5220 114135 3487736 3423657</t>
  </si>
  <si>
    <t>222 110414 3485661 3423531</t>
  </si>
  <si>
    <t>416 34746 2009873 17131396 58747</t>
  </si>
  <si>
    <t>22 34246 2009668 17131164 58745</t>
  </si>
  <si>
    <t>43 10016 1010732 9111423 1595965</t>
  </si>
  <si>
    <t>2 9944 1010720 9111401 1595965</t>
  </si>
  <si>
    <t>23247 193454 5660888 5539628</t>
  </si>
  <si>
    <t>360 176024 5650829 5539141</t>
  </si>
  <si>
    <t>1829 59002 3307329 27989731 95977</t>
  </si>
  <si>
    <t>37 57131 3306285 27988503 95976</t>
  </si>
  <si>
    <t>94 15011 1677041 15961675 2648354</t>
  </si>
  <si>
    <t>3 14859 1676945 15961569 2648353</t>
  </si>
  <si>
    <t>320 48861 1522935 1493054</t>
  </si>
  <si>
    <t>96 48608 1522843 1493047</t>
  </si>
  <si>
    <t>26 12632 717302 6313725 21115</t>
  </si>
  <si>
    <t>8 12576 717293 6313719 21115</t>
  </si>
  <si>
    <t>0 0 146877 3203326 561955</t>
  </si>
  <si>
    <t>0 0 146876 3203326 561955</t>
  </si>
  <si>
    <t>5334 113775 3478223 3412409</t>
  </si>
  <si>
    <t>221 109899 3476172 3412296</t>
  </si>
  <si>
    <t>429 34813 1991881 17056520 58350</t>
  </si>
  <si>
    <t>22 34298 1991661 17056280 58350</t>
  </si>
  <si>
    <t>37 10054 1012459 8894322 1550145</t>
  </si>
  <si>
    <t>2 9990 1012444 8894302 1550145</t>
  </si>
  <si>
    <t>23292 194552 5675841 5557252</t>
  </si>
  <si>
    <t>361 177140 5665735 5556710</t>
  </si>
  <si>
    <t>1779 58927 3310991 28162223 97468</t>
  </si>
  <si>
    <t>37 57007 3309887 28161080 97466</t>
  </si>
  <si>
    <t>136 15126 1732918 16186143 2677388</t>
  </si>
  <si>
    <t>3 14934 1732834 16186044 2677385</t>
  </si>
  <si>
    <t>295 608670 295208 2431208</t>
  </si>
  <si>
    <t>259 608085 295024 2431179</t>
  </si>
  <si>
    <t>18 47448 400955 10039545 25173</t>
  </si>
  <si>
    <t>15 47446 400936 10039508 25173</t>
  </si>
  <si>
    <t>2 9997 343894 3941464 710555</t>
  </si>
  <si>
    <t>1 9997 343894 3941464 710555</t>
  </si>
  <si>
    <t>2780 3452793 1680057 13789681</t>
  </si>
  <si>
    <t>1470 3431822 1673344 13788302</t>
  </si>
  <si>
    <t>206 347977 2931165 73671078 185520</t>
  </si>
  <si>
    <t>110 347932 2929983 73669703 185518</t>
  </si>
  <si>
    <t>11 79994 2760593 32826086 5713917</t>
  </si>
  <si>
    <t>8 79987 2760452 32826009 5713906</t>
  </si>
  <si>
    <t>6927 5457402 2654495 21761201</t>
  </si>
  <si>
    <t>2321 5398778 2635209 21757084</t>
  </si>
  <si>
    <t>839 734001 6187210 155261991 389482</t>
  </si>
  <si>
    <t>232 733762 6182056 155254595 389472</t>
  </si>
  <si>
    <t>64 199979 6884311 77739228 13328930</t>
  </si>
  <si>
    <t>20 199956 6883703 77738756 13328900</t>
  </si>
  <si>
    <t>296 611430 296761 2440923</t>
  </si>
  <si>
    <t>260 610844 296571 2440882</t>
  </si>
  <si>
    <t>17 47444 399142 10041981 25226</t>
  </si>
  <si>
    <t>15 47443 399119 10041949 25226</t>
  </si>
  <si>
    <t>1 9999 344886 3949724 714570</t>
  </si>
  <si>
    <t>1 9999 344885 3949719 714570</t>
  </si>
  <si>
    <t>2833 3440338 1673356 13729353</t>
  </si>
  <si>
    <t>1465 3419600 1666635 13728036</t>
  </si>
  <si>
    <t>187 347990 2936042 73615527 185210</t>
  </si>
  <si>
    <t>110 347929 2934796 73614210 185210</t>
  </si>
  <si>
    <t>11 79994 2762409 32927072 5719089</t>
  </si>
  <si>
    <t>8 79991 2762282 32926997 5719084</t>
  </si>
  <si>
    <t>7029 5462139 2650623 21770522</t>
  </si>
  <si>
    <t>2322 5403210 2631577 21766497</t>
  </si>
  <si>
    <t>856 734051 6192557 155255292 390480</t>
  </si>
  <si>
    <t>232 733803 6187214 155247788 390469</t>
  </si>
  <si>
    <t>68 199977 6886473 77744983 13339149</t>
  </si>
  <si>
    <t>20 199955 6885855 77744522 13339117</t>
  </si>
  <si>
    <t>295 609658 296478 2437277</t>
  </si>
  <si>
    <t>259 609037 296255 2437230</t>
  </si>
  <si>
    <t>16 47445 401336 10052221 25474</t>
  </si>
  <si>
    <t>15 47445 401316 10052188 25474</t>
  </si>
  <si>
    <t>1 10000 344375 3947007 712926</t>
  </si>
  <si>
    <t>1 10000 344373 3947005 712926</t>
  </si>
  <si>
    <t>2773 3446874 1674211 13763112</t>
  </si>
  <si>
    <t>1467 3425903 1667454 13761770</t>
  </si>
  <si>
    <t>201 347987 2935006 73552690 184636</t>
  </si>
  <si>
    <t>109 347912 2933828 73551382 184632</t>
  </si>
  <si>
    <t>10 79979 2756360 32763462 5702860</t>
  </si>
  <si>
    <t>8 79974 2756235 32763371 5702846</t>
  </si>
  <si>
    <t>7104 5481135 2659655 21855328</t>
  </si>
  <si>
    <t>2331 5422059 2640281 21851252</t>
  </si>
  <si>
    <t>804 734098 6189763 155657008 390612</t>
  </si>
  <si>
    <t>232 733838 6184421 155649514 390602</t>
  </si>
  <si>
    <t>72 199965 6884161 77736616 13316879</t>
  </si>
  <si>
    <t>20 199940 6883530 77736118 13316857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</si>
</sst>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4">
    <dxf>
      <numFmt numFmtId="164" formatCode="0.0"/>
    </dxf>
    <dxf>
      <numFmt numFmtId="1" formatCode="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AFA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r>
              <a:rPr lang="en-US" sz="4000"/>
              <a:t>190 threads</a:t>
            </a:r>
          </a:p>
        </c:rich>
      </c:tx>
      <c:layout>
        <c:manualLayout>
          <c:xMode val="edge"/>
          <c:yMode val="edge"/>
          <c:x val="9.0924861259534473E-2"/>
          <c:y val="0.82816734417344173"/>
        </c:manualLayout>
      </c:layout>
      <c:overlay val="1"/>
      <c:spPr>
        <a:noFill/>
        <a:ln w="12700">
          <a:solidFill>
            <a:schemeClr val="bg1"/>
          </a:solid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35125816308342173"/>
          <c:y val="2.0968809419867753E-2"/>
          <c:w val="0.53349405446360842"/>
          <c:h val="0.77297546457607436"/>
        </c:manualLayout>
      </c:layout>
      <c:barChart>
        <c:barDir val="bar"/>
        <c:grouping val="clustered"/>
        <c:varyColors val="0"/>
        <c:ser>
          <c:idx val="2"/>
          <c:order val="0"/>
          <c:tx>
            <c:strRef>
              <c:f>pivot!$B$20</c:f>
              <c:strCache>
                <c:ptCount val="1"/>
                <c:pt idx="0">
                  <c:v>fetch&amp;add</c:v>
                </c:pt>
              </c:strCache>
            </c:strRef>
          </c:tx>
          <c:spPr>
            <a:solidFill>
              <a:schemeClr val="accent3"/>
            </a:solidFill>
            <a:ln>
              <a:noFill/>
            </a:ln>
            <a:effectLst/>
          </c:spPr>
          <c:invertIfNegative val="0"/>
          <c:cat>
            <c:strRef>
              <c:f>pivot!$A$21:$A$29</c:f>
              <c:strCache>
                <c:ptCount val="9"/>
                <c:pt idx="0">
                  <c:v>u=40% k=2x10^8</c:v>
                </c:pt>
                <c:pt idx="1">
                  <c:v>u=40% k=2x10^7</c:v>
                </c:pt>
                <c:pt idx="2">
                  <c:v>u=40% k=2x10^6</c:v>
                </c:pt>
                <c:pt idx="3">
                  <c:v>u=10% k=2x10^8</c:v>
                </c:pt>
                <c:pt idx="4">
                  <c:v>u=10% k=2x10^7</c:v>
                </c:pt>
                <c:pt idx="5">
                  <c:v>u=10% k=2x10^6</c:v>
                </c:pt>
                <c:pt idx="6">
                  <c:v>u=1% k=2x10^8</c:v>
                </c:pt>
                <c:pt idx="7">
                  <c:v>u=1% k=2x10^7</c:v>
                </c:pt>
                <c:pt idx="8">
                  <c:v>u=1% k=2x10^6</c:v>
                </c:pt>
              </c:strCache>
            </c:strRef>
          </c:cat>
          <c:val>
            <c:numRef>
              <c:f>pivot!$B$21:$B$29</c:f>
              <c:numCache>
                <c:formatCode>0</c:formatCode>
                <c:ptCount val="9"/>
                <c:pt idx="0">
                  <c:v>15732866.833333334</c:v>
                </c:pt>
                <c:pt idx="1">
                  <c:v>15613780.333333334</c:v>
                </c:pt>
                <c:pt idx="2">
                  <c:v>15067038</c:v>
                </c:pt>
                <c:pt idx="3">
                  <c:v>39070557.833333336</c:v>
                </c:pt>
                <c:pt idx="4">
                  <c:v>37784829.666666664</c:v>
                </c:pt>
                <c:pt idx="5">
                  <c:v>36975557.833333336</c:v>
                </c:pt>
                <c:pt idx="6">
                  <c:v>132086282</c:v>
                </c:pt>
                <c:pt idx="7">
                  <c:v>140740204.83333334</c:v>
                </c:pt>
                <c:pt idx="8">
                  <c:v>162177365.66666666</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multicounter</c:v>
                </c:pt>
              </c:strCache>
            </c:strRef>
          </c:tx>
          <c:spPr>
            <a:solidFill>
              <a:schemeClr val="accent1"/>
            </a:solidFill>
            <a:ln w="76200">
              <a:noFill/>
            </a:ln>
            <a:effectLst/>
          </c:spPr>
          <c:invertIfNegative val="0"/>
          <c:cat>
            <c:strRef>
              <c:f>pivot!$A$21:$A$29</c:f>
              <c:strCache>
                <c:ptCount val="9"/>
                <c:pt idx="0">
                  <c:v>u=40% k=2x10^8</c:v>
                </c:pt>
                <c:pt idx="1">
                  <c:v>u=40% k=2x10^7</c:v>
                </c:pt>
                <c:pt idx="2">
                  <c:v>u=40% k=2x10^6</c:v>
                </c:pt>
                <c:pt idx="3">
                  <c:v>u=10% k=2x10^8</c:v>
                </c:pt>
                <c:pt idx="4">
                  <c:v>u=10% k=2x10^7</c:v>
                </c:pt>
                <c:pt idx="5">
                  <c:v>u=10% k=2x10^6</c:v>
                </c:pt>
                <c:pt idx="6">
                  <c:v>u=1% k=2x10^8</c:v>
                </c:pt>
                <c:pt idx="7">
                  <c:v>u=1% k=2x10^7</c:v>
                </c:pt>
                <c:pt idx="8">
                  <c:v>u=1% k=2x10^6</c:v>
                </c:pt>
              </c:strCache>
            </c:strRef>
          </c:cat>
          <c:val>
            <c:numRef>
              <c:f>pivot!$C$21:$C$29</c:f>
              <c:numCache>
                <c:formatCode>0</c:formatCode>
                <c:ptCount val="9"/>
                <c:pt idx="0">
                  <c:v>83437527.666666672</c:v>
                </c:pt>
                <c:pt idx="1">
                  <c:v>96688353</c:v>
                </c:pt>
                <c:pt idx="2">
                  <c:v>96739858.833333328</c:v>
                </c:pt>
                <c:pt idx="3">
                  <c:v>142419295.66666666</c:v>
                </c:pt>
                <c:pt idx="4">
                  <c:v>183250838.33333334</c:v>
                </c:pt>
                <c:pt idx="5">
                  <c:v>244546823.83333334</c:v>
                </c:pt>
                <c:pt idx="6">
                  <c:v>189844834.83333334</c:v>
                </c:pt>
                <c:pt idx="7">
                  <c:v>250840283.66666666</c:v>
                </c:pt>
                <c:pt idx="8">
                  <c:v>433180266.83333331</c:v>
                </c:pt>
              </c:numCache>
            </c:numRef>
          </c:val>
          <c:extLst>
            <c:ext xmlns:c16="http://schemas.microsoft.com/office/drawing/2014/chart" uri="{C3380CC4-5D6E-409C-BE32-E72D297353CC}">
              <c16:uniqueId val="{00000001-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l"/>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254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0.40533162547319124"/>
              <c:y val="0.90482868757258994"/>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majorUnit val="100000000"/>
        <c:minorUnit val="50000000"/>
        <c:dispUnits>
          <c:builtInUnit val="millions"/>
        </c:dispUnits>
      </c:valAx>
      <c:spPr>
        <a:solidFill>
          <a:srgbClr val="FFFFFF"/>
        </a:solidFill>
        <a:ln w="38100">
          <a:solidFill>
            <a:schemeClr val="bg1"/>
          </a:solidFill>
        </a:ln>
        <a:effectLst/>
      </c:spPr>
    </c:plotArea>
    <c:legend>
      <c:legendPos val="tr"/>
      <c:layout>
        <c:manualLayout>
          <c:xMode val="edge"/>
          <c:yMode val="edge"/>
          <c:x val="0.60279754782425476"/>
          <c:y val="0.60362454026325973"/>
          <c:w val="0.27317227606657069"/>
          <c:h val="0.17688403039864578"/>
        </c:manualLayout>
      </c:layout>
      <c:overlay val="1"/>
      <c:spPr>
        <a:solidFill>
          <a:srgbClr val="FFFFFF"/>
        </a:solidFill>
        <a:ln w="12700">
          <a:solidFill>
            <a:schemeClr val="bg1"/>
          </a:solid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210911</xdr:colOff>
      <xdr:row>0</xdr:row>
      <xdr:rowOff>0</xdr:rowOff>
    </xdr:from>
    <xdr:to>
      <xdr:col>48</xdr:col>
      <xdr:colOff>95249</xdr:colOff>
      <xdr:row>44</xdr:row>
      <xdr:rowOff>182957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2.599645138886" createdVersion="6" refreshedVersion="6" minRefreshableVersion="3" recordCount="109">
  <cacheSource type="worksheet">
    <worksheetSource ref="A1:BC1048576" sheet="data"/>
  </cacheSource>
  <cacheFields count="55">
    <cacheField name="filename" numFmtId="0">
      <sharedItems containsBlank="1"/>
    </cacheField>
    <cacheField name="DS_TYPENAME" numFmtId="0">
      <sharedItems containsBlank="1" count="4">
        <s v="brown_ext_ist_lf_disabled"/>
        <s v="brown_ext_ist_lf_enabled"/>
        <m/>
        <s v="brown_ext_ist_lf" u="1"/>
      </sharedItems>
    </cacheField>
    <cacheField name="size_node" numFmtId="0">
      <sharedItems containsString="0" containsBlank="1" containsNumber="1" containsInteger="1" minValue="64" maxValue="72"/>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8684503478" maxValue="1.00006919966432E+16"/>
    </cacheField>
    <cacheField name="threads_final_size" numFmtId="0">
      <sharedItems containsString="0" containsBlank="1" containsNumber="1" containsInteger="1" minValue="998604" maxValue="100006202"/>
    </cacheField>
    <cacheField name="final_keysum" numFmtId="0">
      <sharedItems containsString="0" containsBlank="1" containsNumber="1" containsInteger="1" minValue="998684503478" maxValue="1.00006919966432E+16"/>
    </cacheField>
    <cacheField name="final_size" numFmtId="0">
      <sharedItems containsString="0" containsBlank="1" containsNumber="1" containsInteger="1" minValue="998604" maxValue="100006202"/>
    </cacheField>
    <cacheField name="validate_result" numFmtId="0">
      <sharedItems containsBlank="1"/>
    </cacheField>
    <cacheField name="tree_stats_height" numFmtId="0">
      <sharedItems containsString="0" containsBlank="1" containsNumber="1" containsInteger="1" minValue="6" maxValue="7"/>
    </cacheField>
    <cacheField name="tree_stats_numInternals" numFmtId="0">
      <sharedItems containsString="0" containsBlank="1" containsNumber="1" containsInteger="1" minValue="33050" maxValue="14889819"/>
    </cacheField>
    <cacheField name="tree_stats_numLeaves" numFmtId="0">
      <sharedItems containsString="0" containsBlank="1" containsNumber="1" containsInteger="1" minValue="1030688" maxValue="118153019"/>
    </cacheField>
    <cacheField name="tree_stats_numNodes" numFmtId="0">
      <sharedItems containsString="0" containsBlank="1" containsNumber="1" containsInteger="1" minValue="1063738" maxValue="133040360"/>
    </cacheField>
    <cacheField name="tree_stats_numKeys" numFmtId="0">
      <sharedItems containsString="0" containsBlank="1" containsNumber="1" containsInteger="1" minValue="998604" maxValue="100006202"/>
    </cacheField>
    <cacheField name="tree_stats_avgDegreeInternal" numFmtId="0">
      <sharedItems containsString="0" containsBlank="1" containsNumber="1" minValue="7.3115500000000004" maxValue="32.2288"/>
    </cacheField>
    <cacheField name="tree_stats_avgDegreeLeaves" numFmtId="0">
      <sharedItems containsString="0" containsBlank="1" containsNumber="1" minValue="0.830731" maxValue="0.96889999999999998"/>
    </cacheField>
    <cacheField name="tree_stats_avgDegree" numFmtId="0">
      <sharedItems containsString="0" containsBlank="1" containsNumber="1" minValue="1.71713" maxValue="1.9388399999999999"/>
    </cacheField>
    <cacheField name="tree_stats_avgKeyDepth" numFmtId="0">
      <sharedItems containsString="0" containsBlank="1" containsNumber="1" minValue="3.0000900000000001" maxValue="4.0810399999999998"/>
    </cacheField>
    <cacheField name="tree_stats_sizeInBytes" numFmtId="0">
      <sharedItems containsString="0" containsBlank="1" containsNumber="1" containsInteger="1" minValue="18870592" maxValue="308512918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2" maxValue="24790846"/>
    </cacheField>
    <cacheField name="first_thread_announced_epoch_by_index" numFmtId="0">
      <sharedItems containsString="0" containsBlank="1" containsNumber="1" containsInteger="1" minValue="2924" maxValue="90472"/>
    </cacheField>
    <cacheField name="sum_elapsed_rebuild_depth_total" numFmtId="0">
      <sharedItems containsString="0" containsBlank="1" containsNumber="1" containsInteger="1" minValue="11484498557" maxValue="1790532704091"/>
    </cacheField>
    <cacheField name="sum_elapsed_all_ops_total" numFmtId="0">
      <sharedItems containsString="0" containsBlank="1" containsNumber="1" containsInteger="1" minValue="5686354668176" maxValue="5714019870956"/>
    </cacheField>
    <cacheField name="total_find" numFmtId="0">
      <sharedItems containsString="0" containsBlank="1" containsNumber="1" containsInteger="1" minValue="270290966" maxValue="12920323761"/>
    </cacheField>
    <cacheField name="total_rq" numFmtId="0">
      <sharedItems containsString="0" containsBlank="1" containsNumber="1" containsInteger="1" minValue="0" maxValue="0"/>
    </cacheField>
    <cacheField name="total_updates" numFmtId="0">
      <sharedItems containsString="0" containsBlank="1" containsNumber="1" containsInteger="1" minValue="39254662" maxValue="1164119552"/>
    </cacheField>
    <cacheField name="total_queries" numFmtId="0">
      <sharedItems containsString="0" containsBlank="1" containsNumber="1" containsInteger="1" minValue="270290966" maxValue="12920323761"/>
    </cacheField>
    <cacheField name="total_ops" numFmtId="0">
      <sharedItems containsString="0" containsBlank="1" containsNumber="1" containsInteger="1" minValue="450482172" maxValue="13050838850"/>
    </cacheField>
    <cacheField name="find_throughput" numFmtId="0">
      <sharedItems containsString="0" containsBlank="1" containsNumber="1" containsInteger="1" minValue="9009698" maxValue="430677458"/>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308488" maxValue="38803985"/>
    </cacheField>
    <cacheField name="query_throughput" numFmtId="0">
      <sharedItems containsString="0" containsBlank="1" containsNumber="1" containsInteger="1" minValue="9009698" maxValue="430677458"/>
    </cacheField>
    <cacheField name="total_throughput" numFmtId="0">
      <sharedItems containsString="0" containsBlank="1" containsNumber="1" containsInteger="1" minValue="15016072" maxValue="435027961"/>
    </cacheField>
    <cacheField name="PAPI_L2_TCM" numFmtId="0">
      <sharedItems containsString="0" containsBlank="1" containsNumber="1" minValue="8.6284399999999994" maxValue="32.9818"/>
    </cacheField>
    <cacheField name="PAPI_L3_TCM" numFmtId="0">
      <sharedItems containsString="0" containsBlank="1" containsNumber="1" minValue="0.413937" maxValue="17.663"/>
    </cacheField>
    <cacheField name="PAPI_TOT_CYC" numFmtId="0">
      <sharedItems containsString="0" containsBlank="1" containsNumber="1" minValue="1194.26" maxValue="35233.300000000003"/>
    </cacheField>
    <cacheField name="PAPI_RES_STL" numFmtId="0">
      <sharedItems containsString="0" containsBlank="1" containsNumber="1" minValue="455.97199999999998" maxValue="33349.5"/>
    </cacheField>
    <cacheField name="maxresident_mb" numFmtId="0">
      <sharedItems containsString="0" containsBlank="1" containsNumber="1" containsInteger="1" minValue="1273" maxValue="14479"/>
    </cacheField>
    <cacheField name="prefill_elapsed_ms" numFmtId="0">
      <sharedItems containsString="0" containsBlank="1" containsNumber="1" containsInteger="1" minValue="173" maxValue="1211"/>
    </cacheField>
    <cacheField name="exp" numFmtId="0">
      <sharedItems containsBlank="1" count="47">
        <s v="u=1% k=2x10^6"/>
        <s v="u=1% k=2x10^7"/>
        <s v="u=1% k=2x10^8"/>
        <s v="u=10% k=2x10^6"/>
        <s v="u=10% k=2x10^7"/>
        <s v="u=10% k=2x10^8"/>
        <s v="u=40% k=2x10^6"/>
        <s v="u=40% k=2x10^7"/>
        <s v="u=40% k=2x10^8"/>
        <m/>
        <s v="10% updates, key range [0, 2*10^6)" u="1"/>
        <s v="u=10% k=2 10^6" u="1"/>
        <s v="1% updates, key range [0, 2*10^7)" u="1"/>
        <s v="u=10% k=2.E+6" u="1"/>
        <s v="u=1% k=2.E+7" u="1"/>
        <s v="u=40% k=2 10^6" u="1"/>
        <s v="u=40% k=2.E+6" u="1"/>
        <s v="10% updates, key range [0, 2*10^7)" u="1"/>
        <s v="u=10% k=2 10^7" u="1"/>
        <s v="u=10% k=2.0E8" u="1"/>
        <s v="u=1% k=2 10^8" u="1"/>
        <s v="u=1% k=2.0E7" u="1"/>
        <s v="40% updates, key range [0, 2*10^6)" u="1"/>
        <s v="u=40% k=2 10^7" u="1"/>
        <s v="u=40% k=2.0E8" u="1"/>
        <s v="10% updates, key range [0, 2*10^8)" u="1"/>
        <s v="u=10% k=2 10^8" u="1"/>
        <s v="40% updates, key range [0, 2*10^7)" u="1"/>
        <s v="u=40% k=2 10^8" u="1"/>
        <s v="1% updates, key range [0, 2*10^8)" u="1"/>
        <s v="u=10% k=2.0E6" u="1"/>
        <s v="u=10% k=2.E+7" u="1"/>
        <s v="u=1% k=2 10^6" u="1"/>
        <e v="#NUM!" u="1"/>
        <s v="u=1% k=2.E+6" u="1"/>
        <s v="u=40% k=2.0E6" u="1"/>
        <s v="u=40% k=2.E+7" u="1"/>
        <s v="40% updates, key range [0, 2*10^8)" u="1"/>
        <s v="u=1% k=2.0E6" u="1"/>
        <s v="1% updates, key range [0, 2*10^6)" u="1"/>
        <s v="u=1% k=2.E+8" u="1"/>
        <s v="u=10% k=2.0E7" u="1"/>
        <s v="u=10% k=2.E+8" u="1"/>
        <s v="u=1% k=2.0E8" u="1"/>
        <s v="u=1% k=2 10^7" u="1"/>
        <s v="u=40% k=2.0E7" u="1"/>
        <s v="u=40% k=2.E+8"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
  <r>
    <s v="istree_exp3_disable_multicounter/step10001.txt"/>
    <x v="0"/>
    <n v="64"/>
    <s v="reclaimer_debra"/>
    <s v="allocator_new"/>
    <s v="pool_none"/>
    <n v="30000"/>
    <n v="0.5"/>
    <n v="0.5"/>
    <n v="0"/>
    <n v="1"/>
    <n v="2000000"/>
    <n v="190"/>
    <n v="190"/>
    <n v="190"/>
    <n v="0"/>
    <s v="insertIfAbsent"/>
    <n v="999423455868"/>
    <n v="999159"/>
    <n v="999423455868"/>
    <n v="999159"/>
    <s v="success"/>
    <n v="6"/>
    <n v="84148"/>
    <n v="1138114"/>
    <n v="1222262"/>
    <n v="999159"/>
    <n v="14.5251"/>
    <n v="0.87790800000000002"/>
    <n v="1.8174699999999999"/>
    <n v="3.11205"/>
    <n v="24373664"/>
    <s v="361 49094 1527517 1501316"/>
    <s v="97 48791 1527419 1501305"/>
    <n v="67822"/>
    <n v="30888"/>
    <n v="34252232772"/>
    <n v="5686392595648"/>
    <n v="4834205910"/>
    <n v="0"/>
    <n v="48824498"/>
    <n v="4834205910"/>
    <n v="4883030408"/>
    <n v="161140197"/>
    <n v="0"/>
    <n v="1627483"/>
    <n v="161140197"/>
    <n v="162767680"/>
    <n v="11.159800000000001"/>
    <n v="0.61218600000000001"/>
    <n v="3252.67"/>
    <n v="2507.69"/>
    <n v="1279"/>
    <n v="377"/>
    <x v="0"/>
  </r>
  <r>
    <s v="istree_exp3_disable_multicounter/step10002.txt"/>
    <x v="0"/>
    <n v="64"/>
    <s v="reclaimer_debra"/>
    <s v="allocator_new"/>
    <s v="pool_none"/>
    <n v="30000"/>
    <n v="0.5"/>
    <n v="0.5"/>
    <n v="0"/>
    <n v="1"/>
    <n v="20000000"/>
    <n v="190"/>
    <n v="190"/>
    <n v="190"/>
    <n v="0"/>
    <s v="insertIfAbsent"/>
    <n v="100021708617929"/>
    <n v="10001766"/>
    <n v="100021708617929"/>
    <n v="10001766"/>
    <s v="success"/>
    <n v="7"/>
    <n v="1893013"/>
    <n v="12001275"/>
    <n v="13894288"/>
    <n v="10001766"/>
    <n v="7.3397699999999997"/>
    <n v="0.83339200000000002"/>
    <n v="1.7198500000000001"/>
    <n v="4.0535399999999999"/>
    <n v="328338424"/>
    <s v="25 12581 715555 6288251 21209"/>
    <s v="8 12545 715543 6288238 21209"/>
    <n v="14473"/>
    <n v="24912"/>
    <n v="62655570256"/>
    <n v="5686392808194"/>
    <n v="4184848030"/>
    <n v="0"/>
    <n v="42262074"/>
    <n v="4184848030"/>
    <n v="4227110104"/>
    <n v="139494934"/>
    <n v="0"/>
    <n v="1408735"/>
    <n v="139494934"/>
    <n v="140903670"/>
    <n v="16.911799999999999"/>
    <n v="6.6779700000000002"/>
    <n v="3728.42"/>
    <n v="2955.14"/>
    <n v="2476"/>
    <n v="380"/>
    <x v="1"/>
  </r>
  <r>
    <s v="istree_exp3_disable_multicounter/step10003.txt"/>
    <x v="0"/>
    <n v="64"/>
    <s v="reclaimer_debra"/>
    <s v="allocator_new"/>
    <s v="pool_none"/>
    <n v="30000"/>
    <n v="0.5"/>
    <n v="0.5"/>
    <n v="0"/>
    <n v="1"/>
    <n v="200000000"/>
    <n v="190"/>
    <n v="190"/>
    <n v="190"/>
    <n v="0"/>
    <s v="insertIfAbsent"/>
    <n v="1.00005000419346E+16"/>
    <n v="100002820"/>
    <n v="1.00005000419346E+16"/>
    <n v="100002820"/>
    <s v="success"/>
    <n v="7"/>
    <n v="14750465"/>
    <n v="117844811"/>
    <n v="132595276"/>
    <n v="100002820"/>
    <n v="8.9892299999999992"/>
    <n v="0.84859799999999996"/>
    <n v="1.7542"/>
    <n v="4.0766799999999996"/>
    <n v="2951749704"/>
    <s v="0 0 156694 3244173 567769"/>
    <s v="0 0 156694 3244173 567769"/>
    <n v="5"/>
    <n v="23616"/>
    <n v="11688007297"/>
    <n v="5686391113086"/>
    <n v="3921844687"/>
    <n v="0"/>
    <n v="39619332"/>
    <n v="3921844687"/>
    <n v="3961464019"/>
    <n v="130728156"/>
    <n v="0"/>
    <n v="1320644"/>
    <n v="130728156"/>
    <n v="132048800"/>
    <n v="19.6403"/>
    <n v="9.5084900000000001"/>
    <n v="4006.01"/>
    <n v="3252.1"/>
    <n v="8007"/>
    <n v="1027"/>
    <x v="2"/>
  </r>
  <r>
    <s v="istree_exp3_disable_multicounter/step10004.txt"/>
    <x v="0"/>
    <n v="64"/>
    <s v="reclaimer_debra"/>
    <s v="allocator_new"/>
    <s v="pool_none"/>
    <n v="30000"/>
    <n v="5"/>
    <n v="5"/>
    <n v="0"/>
    <n v="1"/>
    <n v="2000000"/>
    <n v="190"/>
    <n v="190"/>
    <n v="190"/>
    <n v="0"/>
    <s v="insertIfAbsent"/>
    <n v="1001043225151"/>
    <n v="1001028"/>
    <n v="1001043225151"/>
    <n v="1001028"/>
    <s v="success"/>
    <n v="6"/>
    <n v="83763"/>
    <n v="1139521"/>
    <n v="1223284"/>
    <n v="1001028"/>
    <n v="14.604100000000001"/>
    <n v="0.87846400000000002"/>
    <n v="1.8183100000000001"/>
    <n v="3.11117"/>
    <n v="24371272"/>
    <s v="5155 113989 3480054 3414222"/>
    <s v="221 110144 3477918 3414099"/>
    <n v="206899"/>
    <n v="7666"/>
    <n v="96296208496"/>
    <n v="5686393374679"/>
    <n v="998315951"/>
    <n v="0"/>
    <n v="110918301"/>
    <n v="998315951"/>
    <n v="1109234252"/>
    <n v="33277198"/>
    <n v="0"/>
    <n v="3697276"/>
    <n v="33277198"/>
    <n v="36974475"/>
    <n v="17.6144"/>
    <n v="4.06271"/>
    <n v="14315.7"/>
    <n v="13353.9"/>
    <n v="1303"/>
    <n v="327"/>
    <x v="3"/>
  </r>
  <r>
    <s v="istree_exp3_disable_multicounter/step10005.txt"/>
    <x v="0"/>
    <n v="64"/>
    <s v="reclaimer_debra"/>
    <s v="allocator_new"/>
    <s v="pool_none"/>
    <n v="30000"/>
    <n v="5"/>
    <n v="5"/>
    <n v="0"/>
    <n v="1"/>
    <n v="20000000"/>
    <n v="190"/>
    <n v="190"/>
    <n v="190"/>
    <n v="0"/>
    <s v="insertIfAbsent"/>
    <n v="100027429777145"/>
    <n v="10002033"/>
    <n v="100027429777145"/>
    <n v="10002033"/>
    <s v="success"/>
    <n v="7"/>
    <n v="1902447"/>
    <n v="12033422"/>
    <n v="13935869"/>
    <n v="10002033"/>
    <n v="7.3252300000000004"/>
    <n v="0.83118800000000004"/>
    <n v="1.7177199999999999"/>
    <n v="4.0548099999999998"/>
    <n v="329555384"/>
    <s v="401 34720 1984612 17021235 58609"/>
    <s v="22 34208 1984419 17021005 58609"/>
    <n v="57600"/>
    <n v="7840"/>
    <n v="151135634560"/>
    <n v="5686393576671"/>
    <n v="1020550049"/>
    <n v="0"/>
    <n v="113393316"/>
    <n v="1020550049"/>
    <n v="1133943365"/>
    <n v="34018334"/>
    <n v="0"/>
    <n v="3779777"/>
    <n v="34018334"/>
    <n v="37798112"/>
    <n v="22.284400000000002"/>
    <n v="9.3474299999999992"/>
    <n v="13856.8"/>
    <n v="12845.8"/>
    <n v="2553"/>
    <n v="358"/>
    <x v="4"/>
  </r>
  <r>
    <s v="istree_exp3_disable_multicounter/step10006.txt"/>
    <x v="0"/>
    <n v="64"/>
    <s v="reclaimer_debra"/>
    <s v="allocator_new"/>
    <s v="pool_none"/>
    <n v="30000"/>
    <n v="5"/>
    <n v="5"/>
    <n v="0"/>
    <n v="1"/>
    <n v="200000000"/>
    <n v="190"/>
    <n v="190"/>
    <n v="190"/>
    <n v="0"/>
    <s v="insertIfAbsent"/>
    <n v="9999522200870970"/>
    <n v="100000090"/>
    <n v="9999522200870970"/>
    <n v="100000090"/>
    <s v="success"/>
    <n v="7"/>
    <n v="14018455"/>
    <n v="116177443"/>
    <n v="130195898"/>
    <n v="100000090"/>
    <n v="9.2874599999999994"/>
    <n v="0.86075299999999999"/>
    <n v="1.76807"/>
    <n v="4.0622400000000001"/>
    <n v="2870446568"/>
    <s v="29 10080 1012190 8996897 1573116"/>
    <s v="2 10016 1012173 8996877 1573116"/>
    <n v="9321"/>
    <n v="7110"/>
    <n v="196086979067"/>
    <n v="5686624700631"/>
    <n v="1045991643"/>
    <n v="0"/>
    <n v="116212366"/>
    <n v="1045991643"/>
    <n v="1162204009"/>
    <n v="34866388"/>
    <n v="0"/>
    <n v="3873745"/>
    <n v="34866388"/>
    <n v="38740133"/>
    <n v="22.2867"/>
    <n v="10.826700000000001"/>
    <n v="13296.8"/>
    <n v="12390.4"/>
    <n v="12732"/>
    <n v="1077"/>
    <x v="5"/>
  </r>
  <r>
    <s v="istree_exp3_disable_multicounter/step10007.txt"/>
    <x v="0"/>
    <n v="64"/>
    <s v="reclaimer_debra"/>
    <s v="allocator_new"/>
    <s v="pool_none"/>
    <n v="30000"/>
    <n v="20"/>
    <n v="20"/>
    <n v="0"/>
    <n v="1"/>
    <n v="2000000"/>
    <n v="190"/>
    <n v="190"/>
    <n v="190"/>
    <n v="0"/>
    <s v="insertIfAbsent"/>
    <n v="998684503478"/>
    <n v="998604"/>
    <n v="998684503478"/>
    <n v="998604"/>
    <s v="success"/>
    <n v="6"/>
    <n v="33050"/>
    <n v="1030688"/>
    <n v="1063738"/>
    <n v="998604"/>
    <n v="32.185699999999997"/>
    <n v="0.96887100000000004"/>
    <n v="1.9387700000000001"/>
    <n v="3.0001000000000002"/>
    <n v="18870592"/>
    <s v="23315 194485 5690011 5574141"/>
    <s v="362 176908 5679757 5573636"/>
    <n v="515988"/>
    <n v="3212"/>
    <n v="203542367303"/>
    <n v="5686985494434"/>
    <n v="271561439"/>
    <n v="0"/>
    <n v="181030286"/>
    <n v="271561439"/>
    <n v="452591725"/>
    <n v="9052047"/>
    <n v="0"/>
    <n v="6034342"/>
    <n v="9052047"/>
    <n v="15086390"/>
    <n v="26.322700000000001"/>
    <n v="10.807"/>
    <n v="35066.199999999997"/>
    <n v="33180.400000000001"/>
    <n v="1324"/>
    <n v="328"/>
    <x v="6"/>
  </r>
  <r>
    <s v="istree_exp3_disable_multicounter/step10008.txt"/>
    <x v="0"/>
    <n v="64"/>
    <s v="reclaimer_debra"/>
    <s v="allocator_new"/>
    <s v="pool_none"/>
    <n v="30000"/>
    <n v="20"/>
    <n v="20"/>
    <n v="0"/>
    <n v="1"/>
    <n v="20000000"/>
    <n v="190"/>
    <n v="190"/>
    <n v="190"/>
    <n v="0"/>
    <s v="insertIfAbsent"/>
    <n v="100046257681322"/>
    <n v="10004318"/>
    <n v="100046257681322"/>
    <n v="10004318"/>
    <s v="success"/>
    <n v="7"/>
    <n v="1904772"/>
    <n v="12039507"/>
    <n v="13944279"/>
    <n v="10004318"/>
    <n v="7.3207100000000001"/>
    <n v="0.83095699999999995"/>
    <n v="1.7174499999999999"/>
    <n v="4.0552700000000002"/>
    <n v="329819648"/>
    <s v="1807 59067 3322438 28268523 96846"/>
    <s v="37 57125 3321316 28267267 96842"/>
    <n v="137522"/>
    <n v="3646"/>
    <n v="302940056302"/>
    <n v="5686592118182"/>
    <n v="282459032"/>
    <n v="0"/>
    <n v="188304224"/>
    <n v="282459032"/>
    <n v="470763256"/>
    <n v="9415301"/>
    <n v="0"/>
    <n v="6276807"/>
    <n v="9415301"/>
    <n v="15692108"/>
    <n v="32.412199999999999"/>
    <n v="16.649999999999999"/>
    <n v="33139.1"/>
    <n v="30744.6"/>
    <n v="2660"/>
    <n v="319"/>
    <x v="7"/>
  </r>
  <r>
    <s v="istree_exp3_disable_multicounter/step10009.txt"/>
    <x v="0"/>
    <n v="64"/>
    <s v="reclaimer_debra"/>
    <s v="allocator_new"/>
    <s v="pool_none"/>
    <n v="30000"/>
    <n v="20"/>
    <n v="20"/>
    <n v="0"/>
    <n v="1"/>
    <n v="200000000"/>
    <n v="190"/>
    <n v="190"/>
    <n v="190"/>
    <n v="0"/>
    <s v="insertIfAbsent"/>
    <n v="9999761359718360"/>
    <n v="100004034"/>
    <n v="9999761359718360"/>
    <n v="100004034"/>
    <s v="success"/>
    <n v="7"/>
    <n v="14770332"/>
    <n v="117892151"/>
    <n v="132662483"/>
    <n v="100004034"/>
    <n v="8.9816900000000004"/>
    <n v="0.84826699999999999"/>
    <n v="1.7538199999999999"/>
    <n v="4.0771800000000002"/>
    <n v="2953941840"/>
    <s v="131 15099 1664080 15902625 2643935"/>
    <s v="3 14900 1663982 15902544 2643935"/>
    <n v="22898"/>
    <n v="3150"/>
    <n v="335267906905"/>
    <n v="5686394248179"/>
    <n v="283850396"/>
    <n v="0"/>
    <n v="189255785"/>
    <n v="283850396"/>
    <n v="473106181"/>
    <n v="9461679"/>
    <n v="0"/>
    <n v="6308526"/>
    <n v="9461679"/>
    <n v="15770206"/>
    <n v="31.035900000000002"/>
    <n v="16.246099999999998"/>
    <n v="31812.3"/>
    <n v="30062.7"/>
    <n v="12804"/>
    <n v="1033"/>
    <x v="8"/>
  </r>
  <r>
    <s v="istree_exp3_disable_multicounter/step10010.txt"/>
    <x v="0"/>
    <n v="64"/>
    <s v="reclaimer_debra"/>
    <s v="allocator_new"/>
    <s v="pool_none"/>
    <n v="30000"/>
    <n v="0.5"/>
    <n v="0.5"/>
    <n v="0"/>
    <n v="1"/>
    <n v="2000000"/>
    <n v="190"/>
    <n v="190"/>
    <n v="190"/>
    <n v="0"/>
    <s v="insertIfAbsent"/>
    <n v="998762963496"/>
    <n v="999144"/>
    <n v="998762963496"/>
    <n v="999144"/>
    <s v="success"/>
    <n v="6"/>
    <n v="74928"/>
    <n v="1117081"/>
    <n v="1192009"/>
    <n v="999144"/>
    <n v="15.9087"/>
    <n v="0.894424"/>
    <n v="1.8382000000000001"/>
    <n v="3.08975"/>
    <n v="23330912"/>
    <s v="358 49025 1522423 1498655"/>
    <s v="97 48723 1522308 1498644"/>
    <n v="76744"/>
    <n v="30796"/>
    <n v="34745326351"/>
    <n v="5686393447090"/>
    <n v="4823175037"/>
    <n v="0"/>
    <n v="48712316"/>
    <n v="4823175037"/>
    <n v="4871887353"/>
    <n v="160772501"/>
    <n v="0"/>
    <n v="1623743"/>
    <n v="160772501"/>
    <n v="162396245"/>
    <n v="11.2227"/>
    <n v="0.61461399999999999"/>
    <n v="3260.18"/>
    <n v="2514.61"/>
    <n v="1278"/>
    <n v="312"/>
    <x v="0"/>
  </r>
  <r>
    <s v="istree_exp3_disable_multicounter/step10011.txt"/>
    <x v="0"/>
    <n v="64"/>
    <s v="reclaimer_debra"/>
    <s v="allocator_new"/>
    <s v="pool_none"/>
    <n v="30000"/>
    <n v="0.5"/>
    <n v="0.5"/>
    <n v="0"/>
    <n v="1"/>
    <n v="20000000"/>
    <n v="190"/>
    <n v="190"/>
    <n v="190"/>
    <n v="0"/>
    <s v="insertIfAbsent"/>
    <n v="99958604251909"/>
    <n v="9994676"/>
    <n v="99958604251909"/>
    <n v="9994676"/>
    <s v="success"/>
    <n v="7"/>
    <n v="1883077"/>
    <n v="11973721"/>
    <n v="13856798"/>
    <n v="9994676"/>
    <n v="7.3585900000000004"/>
    <n v="0.83471799999999996"/>
    <n v="1.7212799999999999"/>
    <n v="4.0516899999999998"/>
    <n v="327178392"/>
    <s v="31 12595 715096 6249644 20912"/>
    <s v="8 12553 715086 6249634 20912"/>
    <n v="16635"/>
    <n v="24724"/>
    <n v="63372236466"/>
    <n v="5686393782156"/>
    <n v="4160939635"/>
    <n v="0"/>
    <n v="42037097"/>
    <n v="4160939635"/>
    <n v="4202976732"/>
    <n v="138697987"/>
    <n v="0"/>
    <n v="1401236"/>
    <n v="138697987"/>
    <n v="140099224"/>
    <n v="16.723800000000001"/>
    <n v="6.6621600000000001"/>
    <n v="3748.89"/>
    <n v="2985.67"/>
    <n v="2472"/>
    <n v="394"/>
    <x v="1"/>
  </r>
  <r>
    <s v="istree_exp3_disable_multicounter/step10012.txt"/>
    <x v="0"/>
    <n v="64"/>
    <s v="reclaimer_debra"/>
    <s v="allocator_new"/>
    <s v="pool_none"/>
    <n v="30000"/>
    <n v="0.5"/>
    <n v="0.5"/>
    <n v="0"/>
    <n v="1"/>
    <n v="200000000"/>
    <n v="190"/>
    <n v="190"/>
    <n v="190"/>
    <n v="0"/>
    <s v="insertIfAbsent"/>
    <n v="9999626853483980"/>
    <n v="100000735"/>
    <n v="9999626853483980"/>
    <n v="100000735"/>
    <s v="success"/>
    <n v="7"/>
    <n v="14750185"/>
    <n v="117844592"/>
    <n v="132594777"/>
    <n v="100000735"/>
    <n v="8.9893599999999996"/>
    <n v="0.84858100000000003"/>
    <n v="1.7541800000000001"/>
    <n v="4.0766799999999996"/>
    <n v="2951732392"/>
    <s v="0 0 156069 3241907 567663"/>
    <s v="0 0 156067 3241907 567663"/>
    <n v="3"/>
    <n v="23302"/>
    <n v="11727728068"/>
    <n v="5686393442190"/>
    <n v="3919880931"/>
    <n v="0"/>
    <n v="39587236"/>
    <n v="3919880931"/>
    <n v="3959468167"/>
    <n v="130662697"/>
    <n v="0"/>
    <n v="1319574"/>
    <n v="130662697"/>
    <n v="131982272"/>
    <n v="19.6648"/>
    <n v="9.5022199999999994"/>
    <n v="4007.18"/>
    <n v="3253.54"/>
    <n v="8012"/>
    <n v="1054"/>
    <x v="2"/>
  </r>
  <r>
    <s v="istree_exp3_disable_multicounter/step10013.txt"/>
    <x v="0"/>
    <n v="64"/>
    <s v="reclaimer_debra"/>
    <s v="allocator_new"/>
    <s v="pool_none"/>
    <n v="30000"/>
    <n v="5"/>
    <n v="5"/>
    <n v="0"/>
    <n v="1"/>
    <n v="2000000"/>
    <n v="190"/>
    <n v="190"/>
    <n v="190"/>
    <n v="0"/>
    <s v="insertIfAbsent"/>
    <n v="999848185690"/>
    <n v="1000599"/>
    <n v="999848185690"/>
    <n v="1000599"/>
    <s v="success"/>
    <n v="6"/>
    <n v="64670"/>
    <n v="1096463"/>
    <n v="1161133"/>
    <n v="1000599"/>
    <n v="17.954699999999999"/>
    <n v="0.91256999999999999"/>
    <n v="1.86174"/>
    <n v="3.0664099999999999"/>
    <n v="22234128"/>
    <s v="5316 113718 3468740 3403414"/>
    <s v="221 109892 3466657 3403291"/>
    <n v="207275"/>
    <n v="7632"/>
    <n v="95660320229"/>
    <n v="5686393937281"/>
    <n v="995647503"/>
    <n v="0"/>
    <n v="110638233"/>
    <n v="995647503"/>
    <n v="1106285736"/>
    <n v="33188250"/>
    <n v="0"/>
    <n v="3687941"/>
    <n v="33188250"/>
    <n v="36876191"/>
    <n v="17.946400000000001"/>
    <n v="4.2211999999999996"/>
    <n v="14352.7"/>
    <n v="13377.9"/>
    <n v="1301"/>
    <n v="267"/>
    <x v="3"/>
  </r>
  <r>
    <s v="istree_exp3_disable_multicounter/step10014.txt"/>
    <x v="0"/>
    <n v="64"/>
    <s v="reclaimer_debra"/>
    <s v="allocator_new"/>
    <s v="pool_none"/>
    <n v="30000"/>
    <n v="5"/>
    <n v="5"/>
    <n v="0"/>
    <n v="1"/>
    <n v="20000000"/>
    <n v="190"/>
    <n v="190"/>
    <n v="190"/>
    <n v="0"/>
    <s v="insertIfAbsent"/>
    <n v="99944880863996"/>
    <n v="9995502"/>
    <n v="99944880863996"/>
    <n v="9995502"/>
    <s v="success"/>
    <n v="7"/>
    <n v="1906065"/>
    <n v="12030222"/>
    <n v="13936287"/>
    <n v="9995502"/>
    <n v="7.3115500000000004"/>
    <n v="0.83086599999999999"/>
    <n v="1.71723"/>
    <n v="4.0561199999999999"/>
    <n v="329756184"/>
    <s v="435 34730 1971851 16930987 57528"/>
    <s v="22 34209 1971662 16930761 57528"/>
    <n v="60266"/>
    <n v="7760"/>
    <n v="151187180605"/>
    <n v="5686393820509"/>
    <n v="1016209530"/>
    <n v="0"/>
    <n v="112905372"/>
    <n v="1016209530"/>
    <n v="1129114902"/>
    <n v="33873651"/>
    <n v="0"/>
    <n v="3763512"/>
    <n v="33873651"/>
    <n v="37637163"/>
    <n v="22.091000000000001"/>
    <n v="9.2784700000000004"/>
    <n v="13907.7"/>
    <n v="12904.6"/>
    <n v="2547"/>
    <n v="342"/>
    <x v="4"/>
  </r>
  <r>
    <s v="istree_exp3_disable_multicounter/step10015.txt"/>
    <x v="0"/>
    <n v="64"/>
    <s v="reclaimer_debra"/>
    <s v="allocator_new"/>
    <s v="pool_none"/>
    <n v="30000"/>
    <n v="5"/>
    <n v="5"/>
    <n v="0"/>
    <n v="1"/>
    <n v="200000000"/>
    <n v="190"/>
    <n v="190"/>
    <n v="190"/>
    <n v="0"/>
    <s v="insertIfAbsent"/>
    <n v="9999407863248290"/>
    <n v="99997736"/>
    <n v="9999407863248290"/>
    <n v="99997736"/>
    <s v="success"/>
    <n v="7"/>
    <n v="13989509"/>
    <n v="116120031"/>
    <n v="130109540"/>
    <n v="99997736"/>
    <n v="9.3005099999999992"/>
    <n v="0.86115799999999998"/>
    <n v="1.76857"/>
    <n v="4.0616099999999999"/>
    <n v="2867420712"/>
    <s v="32 10067 1010613 8976930 1569630"/>
    <s v="2 10002 1010595 8976918 1569629"/>
    <n v="10650"/>
    <n v="7226"/>
    <n v="194141162700"/>
    <n v="5686483306269"/>
    <n v="1043971490"/>
    <n v="0"/>
    <n v="115994683"/>
    <n v="1043971490"/>
    <n v="1159966173"/>
    <n v="34799049"/>
    <n v="0"/>
    <n v="3866489"/>
    <n v="34799049"/>
    <n v="38665539"/>
    <n v="22.210899999999999"/>
    <n v="10.8193"/>
    <n v="13326"/>
    <n v="12423.6"/>
    <n v="12743"/>
    <n v="1128"/>
    <x v="5"/>
  </r>
  <r>
    <s v="istree_exp3_disable_multicounter/step10016.txt"/>
    <x v="0"/>
    <n v="64"/>
    <s v="reclaimer_debra"/>
    <s v="allocator_new"/>
    <s v="pool_none"/>
    <n v="30000"/>
    <n v="20"/>
    <n v="20"/>
    <n v="0"/>
    <n v="1"/>
    <n v="2000000"/>
    <n v="190"/>
    <n v="190"/>
    <n v="190"/>
    <n v="0"/>
    <s v="insertIfAbsent"/>
    <n v="999801060971"/>
    <n v="999640"/>
    <n v="999801060971"/>
    <n v="999640"/>
    <s v="success"/>
    <n v="6"/>
    <n v="65478"/>
    <n v="1098037"/>
    <n v="1163515"/>
    <n v="999640"/>
    <n v="17.769600000000001"/>
    <n v="0.91038799999999998"/>
    <n v="1.8591599999999999"/>
    <n v="3.06833"/>
    <n v="22318368"/>
    <s v="23368 194603 5674602 5561574"/>
    <s v="361 177029 5664311 5561018"/>
    <n v="496761"/>
    <n v="3182"/>
    <n v="204506930216"/>
    <n v="5686394359496"/>
    <n v="271045538"/>
    <n v="0"/>
    <n v="180720150"/>
    <n v="271045538"/>
    <n v="451765688"/>
    <n v="9034851"/>
    <n v="0"/>
    <n v="6024005"/>
    <n v="9034851"/>
    <n v="15058856"/>
    <n v="26.5243"/>
    <n v="10.910299999999999"/>
    <n v="35138"/>
    <n v="33250.6"/>
    <n v="1326"/>
    <n v="296"/>
    <x v="6"/>
  </r>
  <r>
    <s v="istree_exp3_disable_multicounter/step10017.txt"/>
    <x v="0"/>
    <n v="64"/>
    <s v="reclaimer_debra"/>
    <s v="allocator_new"/>
    <s v="pool_none"/>
    <n v="30000"/>
    <n v="20"/>
    <n v="20"/>
    <n v="0"/>
    <n v="1"/>
    <n v="20000000"/>
    <n v="190"/>
    <n v="190"/>
    <n v="190"/>
    <n v="0"/>
    <s v="insertIfAbsent"/>
    <n v="100001661879098"/>
    <n v="9999761"/>
    <n v="100001661879098"/>
    <n v="9999761"/>
    <s v="success"/>
    <n v="7"/>
    <n v="1906285"/>
    <n v="12034812"/>
    <n v="13941097"/>
    <n v="9999761"/>
    <n v="7.3132299999999999"/>
    <n v="0.83090299999999995"/>
    <n v="1.71729"/>
    <n v="4.0559900000000004"/>
    <n v="329847272"/>
    <s v="1766 59175 3314110 28197362 96888"/>
    <s v="37 57266 3313051 28196129 96885"/>
    <n v="132922"/>
    <n v="3566"/>
    <n v="307040827919"/>
    <n v="5686411572881"/>
    <n v="281850044"/>
    <n v="0"/>
    <n v="187950650"/>
    <n v="281850044"/>
    <n v="469800694"/>
    <n v="9395001"/>
    <n v="0"/>
    <n v="6265021"/>
    <n v="9395001"/>
    <n v="15660023"/>
    <n v="32.049799999999998"/>
    <n v="16.4635"/>
    <n v="33184.9"/>
    <n v="30783.9"/>
    <n v="2658"/>
    <n v="376"/>
    <x v="7"/>
  </r>
  <r>
    <s v="istree_exp3_disable_multicounter/step10018.txt"/>
    <x v="0"/>
    <n v="64"/>
    <s v="reclaimer_debra"/>
    <s v="allocator_new"/>
    <s v="pool_none"/>
    <n v="30000"/>
    <n v="20"/>
    <n v="20"/>
    <n v="0"/>
    <n v="1"/>
    <n v="200000000"/>
    <n v="190"/>
    <n v="190"/>
    <n v="190"/>
    <n v="0"/>
    <s v="insertIfAbsent"/>
    <n v="9999317079312800"/>
    <n v="99995661"/>
    <n v="9999317079312800"/>
    <n v="99995661"/>
    <s v="success"/>
    <n v="7"/>
    <n v="14887341"/>
    <n v="118153019"/>
    <n v="133040360"/>
    <n v="99995661"/>
    <n v="8.9364799999999995"/>
    <n v="0.84632300000000005"/>
    <n v="1.75162"/>
    <n v="4.0803399999999996"/>
    <n v="2966677096"/>
    <s v="162 15085 1601766 15558252 2602596"/>
    <s v="3 14909 1601671 15558167 2602596"/>
    <n v="20873"/>
    <n v="3198"/>
    <n v="335058749157"/>
    <n v="5686517743477"/>
    <n v="279719292"/>
    <n v="0"/>
    <n v="186452306"/>
    <n v="279719292"/>
    <n v="466171598"/>
    <n v="9323976"/>
    <n v="0"/>
    <n v="6215076"/>
    <n v="9323976"/>
    <n v="15539053"/>
    <n v="30.136500000000002"/>
    <n v="15.851900000000001"/>
    <n v="32354.799999999999"/>
    <n v="30598.400000000001"/>
    <n v="12735"/>
    <n v="1050"/>
    <x v="8"/>
  </r>
  <r>
    <s v="istree_exp3_disable_multicounter/step10019.txt"/>
    <x v="0"/>
    <n v="64"/>
    <s v="reclaimer_debra"/>
    <s v="allocator_new"/>
    <s v="pool_none"/>
    <n v="30000"/>
    <n v="0.5"/>
    <n v="0.5"/>
    <n v="0"/>
    <n v="1"/>
    <n v="2000000"/>
    <n v="190"/>
    <n v="190"/>
    <n v="190"/>
    <n v="0"/>
    <s v="insertIfAbsent"/>
    <n v="998855550070"/>
    <n v="998716"/>
    <n v="998855550070"/>
    <n v="998716"/>
    <s v="success"/>
    <n v="6"/>
    <n v="54869"/>
    <n v="1075094"/>
    <n v="1129963"/>
    <n v="998716"/>
    <n v="20.593800000000002"/>
    <n v="0.92895700000000003"/>
    <n v="1.88385"/>
    <n v="3.0452599999999999"/>
    <n v="21167416"/>
    <s v="365 48870 1522811 1496384"/>
    <s v="97 48613 1522702 1496376"/>
    <n v="73751"/>
    <n v="30770"/>
    <n v="34910052318"/>
    <n v="5686393699722"/>
    <n v="4810402682"/>
    <n v="0"/>
    <n v="48592074"/>
    <n v="4810402682"/>
    <n v="4858994756"/>
    <n v="160346756"/>
    <n v="0"/>
    <n v="1619735"/>
    <n v="160346756"/>
    <n v="161966491"/>
    <n v="11.2859"/>
    <n v="0.63359299999999996"/>
    <n v="3268.99"/>
    <n v="2527.7399999999998"/>
    <n v="1273"/>
    <n v="293"/>
    <x v="0"/>
  </r>
  <r>
    <s v="istree_exp3_disable_multicounter/step10020.txt"/>
    <x v="0"/>
    <n v="64"/>
    <s v="reclaimer_debra"/>
    <s v="allocator_new"/>
    <s v="pool_none"/>
    <n v="30000"/>
    <n v="0.5"/>
    <n v="0.5"/>
    <n v="0"/>
    <n v="1"/>
    <n v="20000000"/>
    <n v="190"/>
    <n v="190"/>
    <n v="190"/>
    <n v="0"/>
    <s v="insertIfAbsent"/>
    <n v="99965221841701"/>
    <n v="9998507"/>
    <n v="99965221841701"/>
    <n v="9998507"/>
    <s v="success"/>
    <n v="7"/>
    <n v="1891919"/>
    <n v="11995772"/>
    <n v="13887691"/>
    <n v="9998507"/>
    <n v="7.3405300000000002"/>
    <n v="0.83350299999999999"/>
    <n v="1.7199500000000001"/>
    <n v="4.0534499999999998"/>
    <n v="328172888"/>
    <s v="24 12550 714959 6283649 21079"/>
    <s v="8 12497 714945 6283638 21079"/>
    <n v="13810"/>
    <n v="24706"/>
    <n v="63550746296"/>
    <n v="5686394028949"/>
    <n v="4180324107"/>
    <n v="0"/>
    <n v="42232962"/>
    <n v="4180324107"/>
    <n v="4222557069"/>
    <n v="139344136"/>
    <n v="0"/>
    <n v="1407765"/>
    <n v="139344136"/>
    <n v="140751902"/>
    <n v="16.832799999999999"/>
    <n v="6.6678899999999999"/>
    <n v="3731.81"/>
    <n v="2973.8"/>
    <n v="2472"/>
    <n v="374"/>
    <x v="1"/>
  </r>
  <r>
    <s v="istree_exp3_disable_multicounter/step10021.txt"/>
    <x v="0"/>
    <n v="64"/>
    <s v="reclaimer_debra"/>
    <s v="allocator_new"/>
    <s v="pool_none"/>
    <n v="30000"/>
    <n v="0.5"/>
    <n v="0.5"/>
    <n v="0"/>
    <n v="1"/>
    <n v="200000000"/>
    <n v="190"/>
    <n v="190"/>
    <n v="190"/>
    <n v="0"/>
    <s v="insertIfAbsent"/>
    <n v="9999947696782550"/>
    <n v="99997622"/>
    <n v="9999947696782550"/>
    <n v="99997622"/>
    <s v="success"/>
    <n v="7"/>
    <n v="14769642"/>
    <n v="117885930"/>
    <n v="132655572"/>
    <n v="99997622"/>
    <n v="8.9816400000000005"/>
    <n v="0.84825700000000004"/>
    <n v="1.7538100000000001"/>
    <n v="4.0771800000000002"/>
    <n v="2953813472"/>
    <s v="0 0 146881 3204158 560966"/>
    <s v="0 0 146881 3204158 560966"/>
    <n v="2"/>
    <n v="22950"/>
    <n v="11570912025"/>
    <n v="5686394156744"/>
    <n v="3885463226"/>
    <n v="0"/>
    <n v="39256056"/>
    <n v="3885463226"/>
    <n v="3924719282"/>
    <n v="129515440"/>
    <n v="0"/>
    <n v="1308535"/>
    <n v="129515440"/>
    <n v="130823976"/>
    <n v="19.6111"/>
    <n v="9.4992300000000007"/>
    <n v="4044.02"/>
    <n v="3295.27"/>
    <n v="8001"/>
    <n v="1051"/>
    <x v="2"/>
  </r>
  <r>
    <s v="istree_exp3_disable_multicounter/step10022.txt"/>
    <x v="0"/>
    <n v="64"/>
    <s v="reclaimer_debra"/>
    <s v="allocator_new"/>
    <s v="pool_none"/>
    <n v="30000"/>
    <n v="5"/>
    <n v="5"/>
    <n v="0"/>
    <n v="1"/>
    <n v="2000000"/>
    <n v="190"/>
    <n v="190"/>
    <n v="190"/>
    <n v="0"/>
    <s v="insertIfAbsent"/>
    <n v="1000805290649"/>
    <n v="1000372"/>
    <n v="1000805290649"/>
    <n v="1000372"/>
    <s v="success"/>
    <n v="6"/>
    <n v="71734"/>
    <n v="1111635"/>
    <n v="1183369"/>
    <n v="1000372"/>
    <n v="16.496600000000001"/>
    <n v="0.89990999999999999"/>
    <n v="1.8453599999999999"/>
    <n v="3.0823800000000001"/>
    <n v="23005168"/>
    <s v="5241 113913 3470494 3403507"/>
    <s v="221 110004 3468387 3403389"/>
    <n v="201682"/>
    <n v="7698"/>
    <n v="95451613894"/>
    <n v="5686394080058"/>
    <n v="996233790"/>
    <n v="0"/>
    <n v="110693806"/>
    <n v="996233790"/>
    <n v="1106927596"/>
    <n v="33207793"/>
    <n v="0"/>
    <n v="3689793"/>
    <n v="33207793"/>
    <n v="36897586"/>
    <n v="18.061800000000002"/>
    <n v="4.2397999999999998"/>
    <n v="14343.6"/>
    <n v="13377.6"/>
    <n v="1300"/>
    <n v="329"/>
    <x v="3"/>
  </r>
  <r>
    <s v="istree_exp3_disable_multicounter/step10023.txt"/>
    <x v="0"/>
    <n v="64"/>
    <s v="reclaimer_debra"/>
    <s v="allocator_new"/>
    <s v="pool_none"/>
    <n v="30000"/>
    <n v="5"/>
    <n v="5"/>
    <n v="0"/>
    <n v="1"/>
    <n v="20000000"/>
    <n v="190"/>
    <n v="190"/>
    <n v="190"/>
    <n v="0"/>
    <s v="insertIfAbsent"/>
    <n v="100011799645654"/>
    <n v="9999163"/>
    <n v="100011799645654"/>
    <n v="9999163"/>
    <s v="success"/>
    <n v="7"/>
    <n v="1906746"/>
    <n v="12035740"/>
    <n v="13942486"/>
    <n v="9999163"/>
    <n v="7.3121900000000002"/>
    <n v="0.830789"/>
    <n v="1.7171700000000001"/>
    <n v="4.0561699999999998"/>
    <n v="329896720"/>
    <s v="418 34899 1974760 16940577 57843"/>
    <s v="22 34377 1974528 16940321 57842"/>
    <n v="60142"/>
    <n v="7642"/>
    <n v="153908635865"/>
    <n v="5686394004377"/>
    <n v="1016951897"/>
    <n v="0"/>
    <n v="112995225"/>
    <n v="1016951897"/>
    <n v="1129947122"/>
    <n v="33898396"/>
    <n v="0"/>
    <n v="3766507"/>
    <n v="33898396"/>
    <n v="37664904"/>
    <n v="21.980799999999999"/>
    <n v="9.2295400000000001"/>
    <n v="13886.5"/>
    <n v="12879.6"/>
    <n v="2553"/>
    <n v="359"/>
    <x v="4"/>
  </r>
  <r>
    <s v="istree_exp3_disable_multicounter/step10024.txt"/>
    <x v="0"/>
    <n v="64"/>
    <s v="reclaimer_debra"/>
    <s v="allocator_new"/>
    <s v="pool_none"/>
    <n v="30000"/>
    <n v="5"/>
    <n v="5"/>
    <n v="0"/>
    <n v="1"/>
    <n v="200000000"/>
    <n v="190"/>
    <n v="190"/>
    <n v="190"/>
    <n v="0"/>
    <s v="insertIfAbsent"/>
    <n v="9999396397608010"/>
    <n v="99996610"/>
    <n v="9999396397608010"/>
    <n v="99996610"/>
    <s v="success"/>
    <n v="7"/>
    <n v="14240269"/>
    <n v="116663510"/>
    <n v="130903779"/>
    <n v="99996610"/>
    <n v="9.1925100000000004"/>
    <n v="0.85713700000000004"/>
    <n v="1.76389"/>
    <n v="4.06698"/>
    <n v="2894576360"/>
    <s v="26 10113 1011605 9174717 1608839"/>
    <s v="2 10039 1011590 9174704 1608839"/>
    <n v="10008"/>
    <n v="7194"/>
    <n v="196383279243"/>
    <n v="5686394102575"/>
    <n v="1065182868"/>
    <n v="0"/>
    <n v="118370477"/>
    <n v="1065182868"/>
    <n v="1183553345"/>
    <n v="35506095"/>
    <n v="0"/>
    <n v="3945682"/>
    <n v="35506095"/>
    <n v="39451778"/>
    <n v="22.095099999999999"/>
    <n v="10.7682"/>
    <n v="13049"/>
    <n v="12150.9"/>
    <n v="12790"/>
    <n v="1085"/>
    <x v="5"/>
  </r>
  <r>
    <s v="istree_exp3_disable_multicounter/step10025.txt"/>
    <x v="0"/>
    <n v="64"/>
    <s v="reclaimer_debra"/>
    <s v="allocator_new"/>
    <s v="pool_none"/>
    <n v="30000"/>
    <n v="20"/>
    <n v="20"/>
    <n v="0"/>
    <n v="1"/>
    <n v="2000000"/>
    <n v="190"/>
    <n v="190"/>
    <n v="190"/>
    <n v="0"/>
    <s v="insertIfAbsent"/>
    <n v="999148849698"/>
    <n v="998775"/>
    <n v="999148849698"/>
    <n v="998775"/>
    <s v="success"/>
    <n v="6"/>
    <n v="65091"/>
    <n v="1098620"/>
    <n v="1163711"/>
    <n v="998775"/>
    <n v="17.8782"/>
    <n v="0.90911799999999998"/>
    <n v="1.8582700000000001"/>
    <n v="3.0703900000000002"/>
    <n v="22333368"/>
    <s v="23401 194551 5691838 5573327"/>
    <s v="361 177124 5681687 5572795"/>
    <n v="492873"/>
    <n v="3174"/>
    <n v="204509985744"/>
    <n v="5686395635616"/>
    <n v="271586816"/>
    <n v="0"/>
    <n v="181055429"/>
    <n v="271586816"/>
    <n v="452642245"/>
    <n v="9052893"/>
    <n v="0"/>
    <n v="6035180"/>
    <n v="9052893"/>
    <n v="15088074"/>
    <n v="26.191400000000002"/>
    <n v="10.746700000000001"/>
    <n v="35062.9"/>
    <n v="33194.800000000003"/>
    <n v="1328"/>
    <n v="290"/>
    <x v="6"/>
  </r>
  <r>
    <s v="istree_exp3_disable_multicounter/step10026.txt"/>
    <x v="0"/>
    <n v="64"/>
    <s v="reclaimer_debra"/>
    <s v="allocator_new"/>
    <s v="pool_none"/>
    <n v="30000"/>
    <n v="20"/>
    <n v="20"/>
    <n v="0"/>
    <n v="1"/>
    <n v="20000000"/>
    <n v="190"/>
    <n v="190"/>
    <n v="190"/>
    <n v="0"/>
    <s v="insertIfAbsent"/>
    <n v="100036561853242"/>
    <n v="10001952"/>
    <n v="100036561853242"/>
    <n v="10001952"/>
    <s v="success"/>
    <n v="7"/>
    <n v="1892689"/>
    <n v="12001576"/>
    <n v="13894265"/>
    <n v="10001952"/>
    <n v="7.3410200000000003"/>
    <n v="0.83338699999999999"/>
    <n v="1.7198599999999999"/>
    <n v="4.0534800000000004"/>
    <n v="328321480"/>
    <s v="1799 58998 3306899 28066484 96122"/>
    <s v="37 57184 3305839 28065276 96119"/>
    <n v="139918"/>
    <n v="3534"/>
    <n v="301840629744"/>
    <n v="5686394604622"/>
    <n v="280958399"/>
    <n v="0"/>
    <n v="187297802"/>
    <n v="280958399"/>
    <n v="468256201"/>
    <n v="9365279"/>
    <n v="0"/>
    <n v="6243260"/>
    <n v="9365279"/>
    <n v="15608540"/>
    <n v="32.9818"/>
    <n v="16.8933"/>
    <n v="33352.9"/>
    <n v="30938.7"/>
    <n v="2672"/>
    <n v="344"/>
    <x v="7"/>
  </r>
  <r>
    <s v="istree_exp3_disable_multicounter/step10027.txt"/>
    <x v="0"/>
    <n v="64"/>
    <s v="reclaimer_debra"/>
    <s v="allocator_new"/>
    <s v="pool_none"/>
    <n v="30000"/>
    <n v="20"/>
    <n v="20"/>
    <n v="0"/>
    <n v="1"/>
    <n v="200000000"/>
    <n v="190"/>
    <n v="190"/>
    <n v="190"/>
    <n v="0"/>
    <s v="insertIfAbsent"/>
    <n v="9998593603463210"/>
    <n v="99993720"/>
    <n v="9998593603463210"/>
    <n v="99993720"/>
    <s v="success"/>
    <n v="7"/>
    <n v="14838193"/>
    <n v="118043220"/>
    <n v="132881413"/>
    <n v="99993720"/>
    <n v="8.9553600000000007"/>
    <n v="0.84709400000000001"/>
    <n v="1.7524999999999999"/>
    <n v="4.0790699999999998"/>
    <n v="2961343512"/>
    <s v="118 15131 1627462 15712303 2622052"/>
    <s v="3 14956 1627380 15712199 2622051"/>
    <n v="24526"/>
    <n v="3078"/>
    <n v="333902727980"/>
    <n v="5686662093651"/>
    <n v="281534581"/>
    <n v="0"/>
    <n v="187664906"/>
    <n v="281534581"/>
    <n v="469199487"/>
    <n v="9384486"/>
    <n v="0"/>
    <n v="6255496"/>
    <n v="9384486"/>
    <n v="15639982"/>
    <n v="31.372"/>
    <n v="16.391300000000001"/>
    <n v="31980"/>
    <n v="30217.1"/>
    <n v="12907"/>
    <n v="1115"/>
    <x v="8"/>
  </r>
  <r>
    <s v="istree_exp3_disable_multicounter/step10028.txt"/>
    <x v="1"/>
    <n v="72"/>
    <s v="reclaimer_debra"/>
    <s v="allocator_new"/>
    <s v="pool_none"/>
    <n v="30000"/>
    <n v="0.5"/>
    <n v="0.5"/>
    <n v="0"/>
    <n v="1"/>
    <n v="2000000"/>
    <n v="190"/>
    <n v="190"/>
    <n v="190"/>
    <n v="0"/>
    <s v="insertIfAbsent"/>
    <n v="999014389109"/>
    <n v="999351"/>
    <n v="999014389109"/>
    <n v="999351"/>
    <s v="success"/>
    <n v="6"/>
    <n v="56995"/>
    <n v="1080213"/>
    <n v="1137208"/>
    <n v="999351"/>
    <n v="19.9528"/>
    <n v="0.92514300000000005"/>
    <n v="1.8787799999999999"/>
    <n v="3.0504899999999999"/>
    <n v="21870096"/>
    <s v="303 612835 297911 2449051"/>
    <s v="261 612241 297712 2449011"/>
    <n v="320614"/>
    <n v="90472"/>
    <n v="118714151301"/>
    <n v="5686394409902"/>
    <n v="12920323761"/>
    <n v="0"/>
    <n v="130515089"/>
    <n v="12920323761"/>
    <n v="13050838850"/>
    <n v="430677458"/>
    <n v="0"/>
    <n v="4350502"/>
    <n v="430677458"/>
    <n v="435027961"/>
    <n v="8.6334999999999997"/>
    <n v="0.41508699999999998"/>
    <n v="1194.26"/>
    <n v="455.97199999999998"/>
    <n v="1425"/>
    <n v="340"/>
    <x v="0"/>
  </r>
  <r>
    <s v="istree_exp3_disable_multicounter/step10029.txt"/>
    <x v="1"/>
    <n v="72"/>
    <s v="reclaimer_debra"/>
    <s v="allocator_new"/>
    <s v="pool_none"/>
    <n v="30000"/>
    <n v="0.5"/>
    <n v="0.5"/>
    <n v="0"/>
    <n v="1"/>
    <n v="20000000"/>
    <n v="190"/>
    <n v="190"/>
    <n v="190"/>
    <n v="0"/>
    <s v="insertIfAbsent"/>
    <n v="99969551650659"/>
    <n v="9999088"/>
    <n v="99969551650659"/>
    <n v="9999088"/>
    <s v="success"/>
    <n v="7"/>
    <n v="1690649"/>
    <n v="11572780"/>
    <n v="13263429"/>
    <n v="9999088"/>
    <n v="7.8451700000000004"/>
    <n v="0.86401799999999995"/>
    <n v="1.7538800000000001"/>
    <n v="4.0129700000000001"/>
    <n v="320416448"/>
    <s v="15 47443 398905 10045461 25678"/>
    <s v="15 47442 398886 10045427 25678"/>
    <n v="36577"/>
    <n v="46228"/>
    <n v="94217561088"/>
    <n v="5686394029370"/>
    <n v="7452081108"/>
    <n v="0"/>
    <n v="75280448"/>
    <n v="7452081108"/>
    <n v="7527361556"/>
    <n v="248402703"/>
    <n v="0"/>
    <n v="2509348"/>
    <n v="248402703"/>
    <n v="250912051"/>
    <n v="16.3264"/>
    <n v="6.6547999999999998"/>
    <n v="2079.35"/>
    <n v="1304.18"/>
    <n v="2774"/>
    <n v="378"/>
    <x v="1"/>
  </r>
  <r>
    <s v="istree_exp3_disable_multicounter/step10030.txt"/>
    <x v="1"/>
    <n v="72"/>
    <s v="reclaimer_debra"/>
    <s v="allocator_new"/>
    <s v="pool_none"/>
    <n v="30000"/>
    <n v="0.5"/>
    <n v="0.5"/>
    <n v="0"/>
    <n v="1"/>
    <n v="200000000"/>
    <n v="190"/>
    <n v="190"/>
    <n v="190"/>
    <n v="0"/>
    <s v="insertIfAbsent"/>
    <n v="1.00004264139947E+16"/>
    <n v="100004365"/>
    <n v="1.00004264139947E+16"/>
    <n v="100004365"/>
    <s v="success"/>
    <n v="7"/>
    <n v="12548544"/>
    <n v="113116914"/>
    <n v="125665458"/>
    <n v="100004365"/>
    <n v="10.0143"/>
    <n v="0.88407999999999998"/>
    <n v="1.7958000000000001"/>
    <n v="4.0313400000000001"/>
    <n v="2814400608"/>
    <s v="1 10000 344271 3942163 709595"/>
    <s v="1 10000 344270 3942161 709595"/>
    <n v="4490"/>
    <n v="32622"/>
    <n v="118319637397"/>
    <n v="5686443639640"/>
    <n v="5619052738"/>
    <n v="0"/>
    <n v="56754299"/>
    <n v="5619052738"/>
    <n v="5675807037"/>
    <n v="187301757"/>
    <n v="0"/>
    <n v="1891809"/>
    <n v="187301757"/>
    <n v="189193567"/>
    <n v="19.493500000000001"/>
    <n v="9.5854800000000004"/>
    <n v="2736.63"/>
    <n v="1980.35"/>
    <n v="13360"/>
    <n v="1048"/>
    <x v="2"/>
  </r>
  <r>
    <s v="istree_exp3_disable_multicounter/step10031.txt"/>
    <x v="1"/>
    <n v="72"/>
    <s v="reclaimer_debra"/>
    <s v="allocator_new"/>
    <s v="pool_none"/>
    <n v="30000"/>
    <n v="5"/>
    <n v="5"/>
    <n v="0"/>
    <n v="1"/>
    <n v="2000000"/>
    <n v="190"/>
    <n v="190"/>
    <n v="190"/>
    <n v="0"/>
    <s v="insertIfAbsent"/>
    <n v="999810965369"/>
    <n v="1000030"/>
    <n v="999810965369"/>
    <n v="1000030"/>
    <s v="success"/>
    <n v="6"/>
    <n v="33092"/>
    <n v="1032160"/>
    <n v="1065252"/>
    <n v="1000030"/>
    <n v="32.190600000000003"/>
    <n v="0.96887100000000004"/>
    <n v="1.9387700000000001"/>
    <n v="3.0001099999999998"/>
    <n v="19161904"/>
    <s v="2759 3452776 1678187 13781632"/>
    <s v="1470 3431849 1671416 13780298"/>
    <n v="8113482"/>
    <n v="50210"/>
    <n v="883254768485"/>
    <n v="5686923689130"/>
    <n v="6607122746"/>
    <n v="0"/>
    <n v="734135646"/>
    <n v="6607122746"/>
    <n v="7341258392"/>
    <n v="220237424"/>
    <n v="0"/>
    <n v="24471188"/>
    <n v="220237424"/>
    <n v="244708613"/>
    <n v="12.327"/>
    <n v="3.1604299999999999"/>
    <n v="2149.9899999999998"/>
    <n v="1314.07"/>
    <n v="1596"/>
    <n v="296"/>
    <x v="3"/>
  </r>
  <r>
    <s v="istree_exp3_disable_multicounter/step10032.txt"/>
    <x v="1"/>
    <n v="72"/>
    <s v="reclaimer_debra"/>
    <s v="allocator_new"/>
    <s v="pool_none"/>
    <n v="30000"/>
    <n v="5"/>
    <n v="5"/>
    <n v="0"/>
    <n v="1"/>
    <n v="20000000"/>
    <n v="190"/>
    <n v="190"/>
    <n v="190"/>
    <n v="0"/>
    <s v="insertIfAbsent"/>
    <n v="100027104028365"/>
    <n v="10001975"/>
    <n v="100027104028365"/>
    <n v="10001975"/>
    <s v="success"/>
    <n v="7"/>
    <n v="1741255"/>
    <n v="11684346"/>
    <n v="13425601"/>
    <n v="10001975"/>
    <n v="7.7103000000000002"/>
    <n v="0.85601499999999997"/>
    <n v="1.74499"/>
    <n v="4.0237499999999997"/>
    <n v="326252288"/>
    <s v="199 347886 2933620 73512186 183221"/>
    <s v="109 347833 2932413 73510847 183221"/>
    <n v="831063"/>
    <n v="35974"/>
    <n v="553606796455"/>
    <n v="5686397458938"/>
    <n v="4942467779"/>
    <n v="0"/>
    <n v="549113389"/>
    <n v="4942467779"/>
    <n v="5491581168"/>
    <n v="164748925"/>
    <n v="0"/>
    <n v="18303779"/>
    <n v="164748925"/>
    <n v="183052705"/>
    <n v="19.270600000000002"/>
    <n v="8.5564300000000006"/>
    <n v="2830.81"/>
    <n v="1896.77"/>
    <n v="2869"/>
    <n v="377"/>
    <x v="4"/>
  </r>
  <r>
    <s v="istree_exp3_disable_multicounter/step10033.txt"/>
    <x v="1"/>
    <n v="72"/>
    <s v="reclaimer_debra"/>
    <s v="allocator_new"/>
    <s v="pool_none"/>
    <n v="30000"/>
    <n v="5"/>
    <n v="5"/>
    <n v="0"/>
    <n v="1"/>
    <n v="200000000"/>
    <n v="190"/>
    <n v="190"/>
    <n v="190"/>
    <n v="0"/>
    <s v="insertIfAbsent"/>
    <n v="9999511487861830"/>
    <n v="99991436"/>
    <n v="9999511487861830"/>
    <n v="99991436"/>
    <s v="success"/>
    <n v="7"/>
    <n v="14846246"/>
    <n v="118015236"/>
    <n v="132861482"/>
    <n v="99991436"/>
    <n v="8.9491599999999991"/>
    <n v="0.84727600000000003"/>
    <n v="1.7525999999999999"/>
    <n v="4.0800999999999998"/>
    <n v="3079825488"/>
    <s v="16 79984 2758881 32781290 5702132"/>
    <s v="8 79980 2758750 32781199 5702123"/>
    <n v="130588"/>
    <n v="18902"/>
    <n v="571535238731"/>
    <n v="5686679224702"/>
    <n v="3846491785"/>
    <n v="0"/>
    <n v="427400490"/>
    <n v="3846491785"/>
    <n v="4273892275"/>
    <n v="128216392"/>
    <n v="0"/>
    <n v="14246683"/>
    <n v="128216392"/>
    <n v="142463075"/>
    <n v="22.2257"/>
    <n v="11.283899999999999"/>
    <n v="3434.21"/>
    <n v="2550.8200000000002"/>
    <n v="14278"/>
    <n v="1149"/>
    <x v="5"/>
  </r>
  <r>
    <s v="istree_exp3_disable_multicounter/step10034.txt"/>
    <x v="1"/>
    <n v="72"/>
    <s v="reclaimer_debra"/>
    <s v="allocator_new"/>
    <s v="pool_none"/>
    <n v="30000"/>
    <n v="20"/>
    <n v="20"/>
    <n v="0"/>
    <n v="1"/>
    <n v="2000000"/>
    <n v="190"/>
    <n v="190"/>
    <n v="190"/>
    <n v="0"/>
    <s v="insertIfAbsent"/>
    <n v="999980147825"/>
    <n v="1000223"/>
    <n v="999980147825"/>
    <n v="1000223"/>
    <s v="success"/>
    <n v="7"/>
    <n v="55079"/>
    <n v="1077010"/>
    <n v="1132089"/>
    <n v="1000223"/>
    <n v="20.553899999999999"/>
    <n v="0.92870399999999997"/>
    <n v="1.8835200000000001"/>
    <n v="3.0462199999999999"/>
    <n v="21661488"/>
    <s v="6797 5465850 2655560 21794541"/>
    <s v="2324 5406658 2636534 21790444"/>
    <n v="24666543"/>
    <n v="20956"/>
    <n v="1784577559348"/>
    <n v="5686395799543"/>
    <n v="1741672930"/>
    <n v="0"/>
    <n v="1161116634"/>
    <n v="1741672930"/>
    <n v="2902789564"/>
    <n v="58055764"/>
    <n v="0"/>
    <n v="38703887"/>
    <n v="58055764"/>
    <n v="96759652"/>
    <n v="25.0367"/>
    <n v="11.957000000000001"/>
    <n v="5461.65"/>
    <n v="4158.1499999999996"/>
    <n v="1755"/>
    <n v="409"/>
    <x v="6"/>
  </r>
  <r>
    <s v="istree_exp3_disable_multicounter/step10035.txt"/>
    <x v="1"/>
    <n v="72"/>
    <s v="reclaimer_debra"/>
    <s v="allocator_new"/>
    <s v="pool_none"/>
    <n v="30000"/>
    <n v="20"/>
    <n v="20"/>
    <n v="0"/>
    <n v="1"/>
    <n v="20000000"/>
    <n v="190"/>
    <n v="190"/>
    <n v="190"/>
    <n v="0"/>
    <s v="insertIfAbsent"/>
    <n v="99999743801815"/>
    <n v="10001457"/>
    <n v="99999743801815"/>
    <n v="10001457"/>
    <s v="success"/>
    <n v="7"/>
    <n v="1829427"/>
    <n v="11868126"/>
    <n v="13697553"/>
    <n v="10001457"/>
    <n v="7.4873500000000002"/>
    <n v="0.84271600000000002"/>
    <n v="1.7301599999999999"/>
    <n v="4.0415400000000004"/>
    <n v="336251712"/>
    <s v="891 734036 6188658 155249611 390622"/>
    <s v="231 733775 6183215 155242279 390620"/>
    <n v="2947187"/>
    <n v="22152"/>
    <n v="1161903013707"/>
    <n v="5686394028378"/>
    <n v="1739704111"/>
    <n v="0"/>
    <n v="1159801177"/>
    <n v="1739704111"/>
    <n v="2899505288"/>
    <n v="57990137"/>
    <n v="0"/>
    <n v="38660039"/>
    <n v="57990137"/>
    <n v="96650176"/>
    <n v="28.689800000000002"/>
    <n v="15.300800000000001"/>
    <n v="5298.88"/>
    <n v="3615.09"/>
    <n v="2940"/>
    <n v="399"/>
    <x v="7"/>
  </r>
  <r>
    <s v="istree_exp3_disable_multicounter/step10036.txt"/>
    <x v="1"/>
    <n v="72"/>
    <s v="reclaimer_debra"/>
    <s v="allocator_new"/>
    <s v="pool_none"/>
    <n v="30000"/>
    <n v="20"/>
    <n v="20"/>
    <n v="0"/>
    <n v="1"/>
    <n v="200000000"/>
    <n v="190"/>
    <n v="190"/>
    <n v="190"/>
    <n v="0"/>
    <s v="insertIfAbsent"/>
    <n v="9999681723733780"/>
    <n v="99986403"/>
    <n v="9999681723733780"/>
    <n v="99986403"/>
    <s v="success"/>
    <n v="7"/>
    <n v="11010055"/>
    <n v="109986502"/>
    <n v="120996557"/>
    <n v="99986403"/>
    <n v="10.989599999999999"/>
    <n v="0.90907899999999997"/>
    <n v="1.82636"/>
    <n v="4"/>
    <n v="2640588416"/>
    <s v="77 199967 6885598 77724991 13316332"/>
    <s v="20 199947 6884967 77724523 13316304"/>
    <n v="514179"/>
    <n v="12706"/>
    <n v="1139180489040"/>
    <n v="5697545917484"/>
    <n v="1500073001"/>
    <n v="0"/>
    <n v="999974060"/>
    <n v="1500073001"/>
    <n v="2500047061"/>
    <n v="50002433"/>
    <n v="0"/>
    <n v="33332468"/>
    <n v="50002433"/>
    <n v="83334902"/>
    <n v="31.552900000000001"/>
    <n v="17.653500000000001"/>
    <n v="5710.64"/>
    <n v="4219.5600000000004"/>
    <n v="14424"/>
    <n v="1073"/>
    <x v="8"/>
  </r>
  <r>
    <s v="istree_exp3_disable_multicounter/step10037.txt"/>
    <x v="1"/>
    <n v="72"/>
    <s v="reclaimer_debra"/>
    <s v="allocator_new"/>
    <s v="pool_none"/>
    <n v="30000"/>
    <n v="0.5"/>
    <n v="0.5"/>
    <n v="0"/>
    <n v="1"/>
    <n v="2000000"/>
    <n v="190"/>
    <n v="190"/>
    <n v="190"/>
    <n v="0"/>
    <s v="insertIfAbsent"/>
    <n v="999556455351"/>
    <n v="999678"/>
    <n v="999556455351"/>
    <n v="999678"/>
    <s v="success"/>
    <n v="6"/>
    <n v="54666"/>
    <n v="1075677"/>
    <n v="1130343"/>
    <n v="999678"/>
    <n v="20.677299999999999"/>
    <n v="0.92934799999999995"/>
    <n v="1.8844000000000001"/>
    <n v="3.0456099999999999"/>
    <n v="21608784"/>
    <s v="288 610645 296989 2442395"/>
    <s v="260 610077 296797 2442348"/>
    <n v="311819"/>
    <n v="89596"/>
    <n v="118860225544"/>
    <n v="5686394288954"/>
    <n v="12876652340"/>
    <n v="0"/>
    <n v="130058695"/>
    <n v="12876652340"/>
    <n v="13006711035"/>
    <n v="429221744"/>
    <n v="0"/>
    <n v="4335289"/>
    <n v="429221744"/>
    <n v="433557034"/>
    <n v="8.6456300000000006"/>
    <n v="0.41452699999999998"/>
    <n v="1198.83"/>
    <n v="459.10599999999999"/>
    <n v="1426"/>
    <n v="202"/>
    <x v="0"/>
  </r>
  <r>
    <s v="istree_exp3_disable_multicounter/step10038.txt"/>
    <x v="1"/>
    <n v="72"/>
    <s v="reclaimer_debra"/>
    <s v="allocator_new"/>
    <s v="pool_none"/>
    <n v="30000"/>
    <n v="0.5"/>
    <n v="0.5"/>
    <n v="0"/>
    <n v="1"/>
    <n v="20000000"/>
    <n v="190"/>
    <n v="190"/>
    <n v="190"/>
    <n v="0"/>
    <s v="insertIfAbsent"/>
    <n v="99975535297943"/>
    <n v="9997391"/>
    <n v="99975535297943"/>
    <n v="9997391"/>
    <s v="success"/>
    <n v="7"/>
    <n v="1687792"/>
    <n v="11564372"/>
    <n v="13252164"/>
    <n v="9997391"/>
    <n v="7.8517799999999998"/>
    <n v="0.86449900000000002"/>
    <n v="1.7544"/>
    <n v="4.0125099999999998"/>
    <n v="320053360"/>
    <s v="15 47448 400546 10046031 25069"/>
    <s v="15 47445 400517 10046003 25069"/>
    <n v="36379"/>
    <n v="46478"/>
    <n v="93132242858"/>
    <n v="5686394289461"/>
    <n v="7452852002"/>
    <n v="0"/>
    <n v="75279564"/>
    <n v="7452852002"/>
    <n v="7528131566"/>
    <n v="248428400"/>
    <n v="0"/>
    <n v="2509318"/>
    <n v="248428400"/>
    <n v="250937718"/>
    <n v="16.355799999999999"/>
    <n v="6.6514300000000004"/>
    <n v="2079.42"/>
    <n v="1303.44"/>
    <n v="2773"/>
    <n v="402"/>
    <x v="1"/>
  </r>
  <r>
    <s v="istree_exp3_disable_multicounter/step10039.txt"/>
    <x v="1"/>
    <n v="72"/>
    <s v="reclaimer_debra"/>
    <s v="allocator_new"/>
    <s v="pool_none"/>
    <n v="30000"/>
    <n v="0.5"/>
    <n v="0.5"/>
    <n v="0"/>
    <n v="1"/>
    <n v="200000000"/>
    <n v="190"/>
    <n v="190"/>
    <n v="190"/>
    <n v="0"/>
    <s v="insertIfAbsent"/>
    <n v="1.00002737035908E+16"/>
    <n v="99998250"/>
    <n v="1.00002737035908E+16"/>
    <n v="99998250"/>
    <s v="success"/>
    <n v="7"/>
    <n v="12593449"/>
    <n v="113200665"/>
    <n v="125794114"/>
    <n v="99998250"/>
    <n v="9.9888499999999993"/>
    <n v="0.88337200000000005"/>
    <n v="1.79494"/>
    <n v="4.0322899999999997"/>
    <n v="2819360208"/>
    <s v="1 10001 343644 3946890 713559"/>
    <s v="1 10001 343638 3946890 713559"/>
    <n v="4744"/>
    <n v="33054"/>
    <n v="119136728166"/>
    <n v="5686470345133"/>
    <n v="5639147465"/>
    <n v="0"/>
    <n v="56983584"/>
    <n v="5639147465"/>
    <n v="5696131049"/>
    <n v="187971582"/>
    <n v="0"/>
    <n v="1899452"/>
    <n v="187971582"/>
    <n v="189871034"/>
    <n v="19.479900000000001"/>
    <n v="9.5780100000000008"/>
    <n v="2726.47"/>
    <n v="1971.98"/>
    <n v="13338"/>
    <n v="1121"/>
    <x v="2"/>
  </r>
  <r>
    <s v="istree_exp3_disable_multicounter/step10040.txt"/>
    <x v="1"/>
    <n v="72"/>
    <s v="reclaimer_debra"/>
    <s v="allocator_new"/>
    <s v="pool_none"/>
    <n v="30000"/>
    <n v="5"/>
    <n v="5"/>
    <n v="0"/>
    <n v="1"/>
    <n v="2000000"/>
    <n v="190"/>
    <n v="190"/>
    <n v="190"/>
    <n v="0"/>
    <s v="insertIfAbsent"/>
    <n v="1000732239561"/>
    <n v="1000444"/>
    <n v="1000732239561"/>
    <n v="1000444"/>
    <s v="success"/>
    <n v="6"/>
    <n v="53736"/>
    <n v="1074637"/>
    <n v="1128373"/>
    <n v="1000444"/>
    <n v="20.9985"/>
    <n v="0.93096000000000001"/>
    <n v="1.88663"/>
    <n v="3.0432100000000002"/>
    <n v="21513184"/>
    <s v="2804 3453301 1677287 13793067"/>
    <s v="1470 3432245 1670559 13791684"/>
    <n v="8098707"/>
    <n v="50388"/>
    <n v="879712487700"/>
    <n v="5686397117936"/>
    <n v="6611666456"/>
    <n v="0"/>
    <n v="734611514"/>
    <n v="6611666456"/>
    <n v="7346277970"/>
    <n v="220388881"/>
    <n v="0"/>
    <n v="24487050"/>
    <n v="220388881"/>
    <n v="244875932"/>
    <n v="12.338100000000001"/>
    <n v="3.15571"/>
    <n v="2147.4699999999998"/>
    <n v="1309.3399999999999"/>
    <n v="1604"/>
    <n v="212"/>
    <x v="3"/>
  </r>
  <r>
    <s v="istree_exp3_disable_multicounter/step10041.txt"/>
    <x v="1"/>
    <n v="72"/>
    <s v="reclaimer_debra"/>
    <s v="allocator_new"/>
    <s v="pool_none"/>
    <n v="30000"/>
    <n v="5"/>
    <n v="5"/>
    <n v="0"/>
    <n v="1"/>
    <n v="20000000"/>
    <n v="190"/>
    <n v="190"/>
    <n v="190"/>
    <n v="0"/>
    <s v="insertIfAbsent"/>
    <n v="99974700070924"/>
    <n v="9998688"/>
    <n v="99974700070924"/>
    <n v="9998688"/>
    <s v="success"/>
    <n v="7"/>
    <n v="1680463"/>
    <n v="11550943"/>
    <n v="13231406"/>
    <n v="9998688"/>
    <n v="7.8736699999999997"/>
    <n v="0.86561699999999997"/>
    <n v="1.7556799999999999"/>
    <n v="4.0109399999999997"/>
    <n v="319252160"/>
    <s v="169 347948 2932562 73607313 184707"/>
    <s v="110 347896 2931372 73606013 184704"/>
    <n v="843905"/>
    <n v="35940"/>
    <n v="555354807687"/>
    <n v="5686394077436"/>
    <n v="4951459273"/>
    <n v="0"/>
    <n v="550115434"/>
    <n v="4951459273"/>
    <n v="5501574707"/>
    <n v="165048642"/>
    <n v="0"/>
    <n v="18337181"/>
    <n v="165048642"/>
    <n v="183385823"/>
    <n v="19.293800000000001"/>
    <n v="8.5637899999999991"/>
    <n v="2823.88"/>
    <n v="1892.89"/>
    <n v="2872"/>
    <n v="364"/>
    <x v="4"/>
  </r>
  <r>
    <s v="istree_exp3_disable_multicounter/step10042.txt"/>
    <x v="1"/>
    <n v="72"/>
    <s v="reclaimer_debra"/>
    <s v="allocator_new"/>
    <s v="pool_none"/>
    <n v="30000"/>
    <n v="5"/>
    <n v="5"/>
    <n v="0"/>
    <n v="1"/>
    <n v="200000000"/>
    <n v="190"/>
    <n v="190"/>
    <n v="190"/>
    <n v="0"/>
    <s v="insertIfAbsent"/>
    <n v="1.00006919966432E+16"/>
    <n v="100005511"/>
    <n v="1.00006919966432E+16"/>
    <n v="100005511"/>
    <s v="success"/>
    <n v="7"/>
    <n v="14736955"/>
    <n v="117769545"/>
    <n v="132506500"/>
    <n v="100005511"/>
    <n v="8.9914400000000008"/>
    <n v="0.849163"/>
    <n v="1.7547200000000001"/>
    <n v="4.0777000000000001"/>
    <n v="3066873312"/>
    <s v="11 79977 2756478 32482589 5664193"/>
    <s v="8 79974 2756353 32482508 5664185"/>
    <n v="131679"/>
    <n v="18958"/>
    <n v="570641708071"/>
    <n v="5687063840505"/>
    <n v="3825123952"/>
    <n v="0"/>
    <n v="425001641"/>
    <n v="3825123952"/>
    <n v="4250125593"/>
    <n v="127504131"/>
    <n v="0"/>
    <n v="14166721"/>
    <n v="127504131"/>
    <n v="141670853"/>
    <n v="22.242599999999999"/>
    <n v="11.289899999999999"/>
    <n v="3452.17"/>
    <n v="2561.98"/>
    <n v="14273"/>
    <n v="1096"/>
    <x v="5"/>
  </r>
  <r>
    <s v="istree_exp3_disable_multicounter/step10043.txt"/>
    <x v="1"/>
    <n v="72"/>
    <s v="reclaimer_debra"/>
    <s v="allocator_new"/>
    <s v="pool_none"/>
    <n v="30000"/>
    <n v="20"/>
    <n v="20"/>
    <n v="0"/>
    <n v="1"/>
    <n v="2000000"/>
    <n v="190"/>
    <n v="190"/>
    <n v="190"/>
    <n v="0"/>
    <s v="insertIfAbsent"/>
    <n v="1000170723742"/>
    <n v="1000101"/>
    <n v="1000170723742"/>
    <n v="1000101"/>
    <s v="success"/>
    <n v="6"/>
    <n v="35224"/>
    <n v="1036544"/>
    <n v="1071768"/>
    <n v="1000101"/>
    <n v="30.427199999999999"/>
    <n v="0.96484199999999998"/>
    <n v="1.93313"/>
    <n v="3.0043899999999999"/>
    <n v="19402800"/>
    <s v="7067 5456271 2650801 21761106"/>
    <s v="2321 5397843 2631675 21757103"/>
    <n v="24624663"/>
    <n v="20932"/>
    <n v="1779510323882"/>
    <n v="5686394461238"/>
    <n v="1739125875"/>
    <n v="0"/>
    <n v="1159365586"/>
    <n v="1739125875"/>
    <n v="2898491461"/>
    <n v="57970862"/>
    <n v="0"/>
    <n v="38645519"/>
    <n v="57970862"/>
    <n v="96616382"/>
    <n v="25.0078"/>
    <n v="11.9619"/>
    <n v="5468.21"/>
    <n v="4163.07"/>
    <n v="1749"/>
    <n v="173"/>
    <x v="6"/>
  </r>
  <r>
    <s v="istree_exp3_disable_multicounter/step10044.txt"/>
    <x v="1"/>
    <n v="72"/>
    <s v="reclaimer_debra"/>
    <s v="allocator_new"/>
    <s v="pool_none"/>
    <n v="30000"/>
    <n v="20"/>
    <n v="20"/>
    <n v="0"/>
    <n v="1"/>
    <n v="20000000"/>
    <n v="190"/>
    <n v="190"/>
    <n v="190"/>
    <n v="0"/>
    <s v="insertIfAbsent"/>
    <n v="100009179852255"/>
    <n v="10001078"/>
    <n v="100009179852255"/>
    <n v="10001078"/>
    <s v="success"/>
    <n v="7"/>
    <n v="1736924"/>
    <n v="11677048"/>
    <n v="13413972"/>
    <n v="10001078"/>
    <n v="7.7228300000000001"/>
    <n v="0.85647300000000004"/>
    <n v="1.7455700000000001"/>
    <n v="4.0226899999999999"/>
    <n v="325795952"/>
    <s v="871 733492 6184785 155135454 389940"/>
    <s v="231 733252 6179669 155128011 389934"/>
    <n v="2930228"/>
    <n v="21888"/>
    <n v="1161754929787"/>
    <n v="5686402679995"/>
    <n v="1738309596"/>
    <n v="0"/>
    <n v="1158849985"/>
    <n v="1738309596"/>
    <n v="2897159581"/>
    <n v="57943653"/>
    <n v="0"/>
    <n v="38628332"/>
    <n v="57943653"/>
    <n v="96571986"/>
    <n v="28.627600000000001"/>
    <n v="15.322699999999999"/>
    <n v="5297.2"/>
    <n v="3609.97"/>
    <n v="2949"/>
    <n v="384"/>
    <x v="7"/>
  </r>
  <r>
    <s v="istree_exp3_disable_multicounter/step10045.txt"/>
    <x v="1"/>
    <n v="72"/>
    <s v="reclaimer_debra"/>
    <s v="allocator_new"/>
    <s v="pool_none"/>
    <n v="30000"/>
    <n v="20"/>
    <n v="20"/>
    <n v="0"/>
    <n v="1"/>
    <n v="200000000"/>
    <n v="190"/>
    <n v="190"/>
    <n v="190"/>
    <n v="0"/>
    <s v="insertIfAbsent"/>
    <n v="9998778930122230"/>
    <n v="99991696"/>
    <n v="9998778930122230"/>
    <n v="99991696"/>
    <s v="success"/>
    <n v="7"/>
    <n v="11010053"/>
    <n v="109991804"/>
    <n v="121001857"/>
    <n v="99991696"/>
    <n v="10.9901"/>
    <n v="0.90908299999999997"/>
    <n v="1.82636"/>
    <n v="4"/>
    <n v="2640673088"/>
    <s v="83 199971 6884513 77722154 13317429"/>
    <s v="20 199956 6883874 77721680 13317399"/>
    <n v="509442"/>
    <n v="12596"/>
    <n v="1154056819447"/>
    <n v="5714019870956"/>
    <n v="1499954165"/>
    <n v="0"/>
    <n v="999981949"/>
    <n v="1499954165"/>
    <n v="2499936114"/>
    <n v="49998472"/>
    <n v="0"/>
    <n v="33332731"/>
    <n v="49998472"/>
    <n v="83331203"/>
    <n v="31.5639"/>
    <n v="17.663"/>
    <n v="5705.76"/>
    <n v="4214.66"/>
    <n v="14479"/>
    <n v="1211"/>
    <x v="8"/>
  </r>
  <r>
    <s v="istree_exp3_disable_multicounter/step10046.txt"/>
    <x v="1"/>
    <n v="72"/>
    <s v="reclaimer_debra"/>
    <s v="allocator_new"/>
    <s v="pool_none"/>
    <n v="30000"/>
    <n v="0.5"/>
    <n v="0.5"/>
    <n v="0"/>
    <n v="1"/>
    <n v="2000000"/>
    <n v="190"/>
    <n v="190"/>
    <n v="190"/>
    <n v="0"/>
    <s v="insertIfAbsent"/>
    <n v="998915848699"/>
    <n v="999574"/>
    <n v="998915848699"/>
    <n v="999574"/>
    <s v="success"/>
    <n v="6"/>
    <n v="57717"/>
    <n v="1081523"/>
    <n v="1139240"/>
    <n v="999574"/>
    <n v="19.738399999999999"/>
    <n v="0.92422800000000005"/>
    <n v="1.8774"/>
    <n v="3.0518200000000002"/>
    <n v="21947600"/>
    <s v="293 608008 295627 2430091"/>
    <s v="259 607423 295424 2430048"/>
    <n v="314915"/>
    <n v="88708"/>
    <n v="117309877809"/>
    <n v="5686394489041"/>
    <n v="12821188563"/>
    <n v="0"/>
    <n v="129516064"/>
    <n v="12821188563"/>
    <n v="12950704627"/>
    <n v="427372952"/>
    <n v="0"/>
    <n v="4317202"/>
    <n v="427372952"/>
    <n v="431690154"/>
    <n v="8.6324199999999998"/>
    <n v="0.41528999999999999"/>
    <n v="1203.72"/>
    <n v="460.62299999999999"/>
    <n v="1424"/>
    <n v="353"/>
    <x v="0"/>
  </r>
  <r>
    <s v="istree_exp3_disable_multicounter/step10047.txt"/>
    <x v="1"/>
    <n v="72"/>
    <s v="reclaimer_debra"/>
    <s v="allocator_new"/>
    <s v="pool_none"/>
    <n v="30000"/>
    <n v="0.5"/>
    <n v="0.5"/>
    <n v="0"/>
    <n v="1"/>
    <n v="20000000"/>
    <n v="190"/>
    <n v="190"/>
    <n v="190"/>
    <n v="0"/>
    <s v="insertIfAbsent"/>
    <n v="99950983306273"/>
    <n v="9995845"/>
    <n v="99950983306273"/>
    <n v="9995845"/>
    <s v="success"/>
    <n v="7"/>
    <n v="1679661"/>
    <n v="11547109"/>
    <n v="13226770"/>
    <n v="9995845"/>
    <n v="7.8746700000000001"/>
    <n v="0.86565800000000004"/>
    <n v="1.75573"/>
    <n v="4.0108800000000002"/>
    <n v="319126640"/>
    <s v="19 47445 401574 10042542 25154"/>
    <s v="15 47443 401550 10042511 25154"/>
    <n v="34242"/>
    <n v="45986"/>
    <n v="125471246027"/>
    <n v="5686394308887"/>
    <n v="7448506104"/>
    <n v="0"/>
    <n v="75229214"/>
    <n v="7448506104"/>
    <n v="7523735318"/>
    <n v="248283536"/>
    <n v="0"/>
    <n v="2507640"/>
    <n v="248283536"/>
    <n v="250791177"/>
    <n v="16.3675"/>
    <n v="6.6539099999999998"/>
    <n v="2068.84"/>
    <n v="1299.8399999999999"/>
    <n v="2773"/>
    <n v="372"/>
    <x v="1"/>
  </r>
  <r>
    <s v="istree_exp3_disable_multicounter/step10048.txt"/>
    <x v="1"/>
    <n v="72"/>
    <s v="reclaimer_debra"/>
    <s v="allocator_new"/>
    <s v="pool_none"/>
    <n v="30000"/>
    <n v="0.5"/>
    <n v="0.5"/>
    <n v="0"/>
    <n v="1"/>
    <n v="200000000"/>
    <n v="190"/>
    <n v="190"/>
    <n v="190"/>
    <n v="0"/>
    <s v="insertIfAbsent"/>
    <n v="9998908389379750"/>
    <n v="99988811"/>
    <n v="9998908389379750"/>
    <n v="99988811"/>
    <s v="success"/>
    <n v="7"/>
    <n v="12623423"/>
    <n v="113255034"/>
    <n v="125878457"/>
    <n v="99988811"/>
    <n v="9.9718199999999992"/>
    <n v="0.88286399999999998"/>
    <n v="1.79433"/>
    <n v="4.0329199999999998"/>
    <n v="2822656528"/>
    <s v="1 9998 344394 3952561 714344"/>
    <s v="1 9998 344391 3952560 714344"/>
    <n v="4765"/>
    <n v="32922"/>
    <n v="117357800667"/>
    <n v="5686394135720"/>
    <n v="5655313880"/>
    <n v="0"/>
    <n v="57125215"/>
    <n v="5655313880"/>
    <n v="5712439095"/>
    <n v="188510462"/>
    <n v="0"/>
    <n v="1904173"/>
    <n v="188510462"/>
    <n v="190414636"/>
    <n v="19.474"/>
    <n v="9.5708000000000002"/>
    <n v="2720.56"/>
    <n v="1973.39"/>
    <n v="13374"/>
    <n v="1138"/>
    <x v="2"/>
  </r>
  <r>
    <s v="istree_exp3_disable_multicounter/step10049.txt"/>
    <x v="1"/>
    <n v="72"/>
    <s v="reclaimer_debra"/>
    <s v="allocator_new"/>
    <s v="pool_none"/>
    <n v="30000"/>
    <n v="5"/>
    <n v="5"/>
    <n v="0"/>
    <n v="1"/>
    <n v="2000000"/>
    <n v="190"/>
    <n v="190"/>
    <n v="190"/>
    <n v="0"/>
    <s v="insertIfAbsent"/>
    <n v="1000659889533"/>
    <n v="1000452"/>
    <n v="1000659889533"/>
    <n v="1000452"/>
    <s v="success"/>
    <n v="6"/>
    <n v="54633"/>
    <n v="1076360"/>
    <n v="1130993"/>
    <n v="1000452"/>
    <n v="20.701599999999999"/>
    <n v="0.929477"/>
    <n v="1.8845799999999999"/>
    <n v="3.04515"/>
    <n v="21613904"/>
    <s v="2760 3451272 1678798 13780843"/>
    <s v="1469 3430263 1671957 13779478"/>
    <n v="8084239"/>
    <n v="50300"/>
    <n v="881374050566"/>
    <n v="5686395307332"/>
    <n v="6606599795"/>
    <n v="0"/>
    <n v="734088202"/>
    <n v="6606599795"/>
    <n v="7340687997"/>
    <n v="220219993"/>
    <n v="0"/>
    <n v="24469606"/>
    <n v="220219993"/>
    <n v="244689599"/>
    <n v="12.3414"/>
    <n v="3.1532399999999998"/>
    <n v="2150.13"/>
    <n v="1313.25"/>
    <n v="1605"/>
    <n v="224"/>
    <x v="3"/>
  </r>
  <r>
    <s v="istree_exp3_disable_multicounter/step10050.txt"/>
    <x v="1"/>
    <n v="72"/>
    <s v="reclaimer_debra"/>
    <s v="allocator_new"/>
    <s v="pool_none"/>
    <n v="30000"/>
    <n v="5"/>
    <n v="5"/>
    <n v="0"/>
    <n v="1"/>
    <n v="20000000"/>
    <n v="190"/>
    <n v="190"/>
    <n v="190"/>
    <n v="0"/>
    <s v="insertIfAbsent"/>
    <n v="99980909124694"/>
    <n v="9999102"/>
    <n v="99980909124694"/>
    <n v="9999102"/>
    <s v="success"/>
    <n v="7"/>
    <n v="1775458"/>
    <n v="11760932"/>
    <n v="13536390"/>
    <n v="9999102"/>
    <n v="7.6241700000000003"/>
    <n v="0.85019599999999995"/>
    <n v="1.73868"/>
    <n v="4.0300700000000003"/>
    <n v="330231776"/>
    <s v="188 346648 2931262 73487856 184479"/>
    <s v="109 346572 2930048 73486507 184478"/>
    <n v="835903"/>
    <n v="35954"/>
    <n v="551805803295"/>
    <n v="5686375369186"/>
    <n v="4938192821"/>
    <n v="0"/>
    <n v="548697906"/>
    <n v="4938192821"/>
    <n v="5486890727"/>
    <n v="164606427"/>
    <n v="0"/>
    <n v="18289930"/>
    <n v="164606427"/>
    <n v="182896357"/>
    <n v="19.261299999999999"/>
    <n v="8.5583899999999993"/>
    <n v="2831.13"/>
    <n v="1893.67"/>
    <n v="2872"/>
    <n v="407"/>
    <x v="4"/>
  </r>
  <r>
    <s v="istree_exp3_disable_multicounter/step10051.txt"/>
    <x v="1"/>
    <n v="72"/>
    <s v="reclaimer_debra"/>
    <s v="allocator_new"/>
    <s v="pool_none"/>
    <n v="30000"/>
    <n v="5"/>
    <n v="5"/>
    <n v="0"/>
    <n v="1"/>
    <n v="200000000"/>
    <n v="190"/>
    <n v="190"/>
    <n v="190"/>
    <n v="0"/>
    <s v="insertIfAbsent"/>
    <n v="9998767763673020"/>
    <n v="99995735"/>
    <n v="9998767763673020"/>
    <n v="99995735"/>
    <s v="success"/>
    <n v="7"/>
    <n v="14849987"/>
    <n v="118027036"/>
    <n v="132877023"/>
    <n v="99995735"/>
    <n v="8.9479600000000001"/>
    <n v="0.84722699999999995"/>
    <n v="1.75254"/>
    <n v="4.0801999999999996"/>
    <n v="3080389456"/>
    <s v="12 79980 2760707 32789417 5705950"/>
    <s v="8 79977 2760566 32789346 5705944"/>
    <n v="128221"/>
    <n v="19080"/>
    <n v="569832710253"/>
    <n v="5686401129462"/>
    <n v="3847559197"/>
    <n v="0"/>
    <n v="427488652"/>
    <n v="3847559197"/>
    <n v="4275047849"/>
    <n v="128251973"/>
    <n v="0"/>
    <n v="14249621"/>
    <n v="128251973"/>
    <n v="142501594"/>
    <n v="22.250800000000002"/>
    <n v="11.278499999999999"/>
    <n v="3433.99"/>
    <n v="2550.98"/>
    <n v="14266"/>
    <n v="1076"/>
    <x v="5"/>
  </r>
  <r>
    <s v="istree_exp3_disable_multicounter/step10052.txt"/>
    <x v="1"/>
    <n v="72"/>
    <s v="reclaimer_debra"/>
    <s v="allocator_new"/>
    <s v="pool_none"/>
    <n v="30000"/>
    <n v="20"/>
    <n v="20"/>
    <n v="0"/>
    <n v="1"/>
    <n v="2000000"/>
    <n v="190"/>
    <n v="190"/>
    <n v="190"/>
    <n v="0"/>
    <s v="insertIfAbsent"/>
    <n v="999816125481"/>
    <n v="999491"/>
    <n v="999816125481"/>
    <n v="999491"/>
    <s v="success"/>
    <n v="6"/>
    <n v="54983"/>
    <n v="1076269"/>
    <n v="1131252"/>
    <n v="999491"/>
    <n v="20.5746"/>
    <n v="0.92866300000000002"/>
    <n v="1.8835299999999999"/>
    <n v="3.04603"/>
    <n v="21640912"/>
    <s v="7011 5461262 2657866 21783996"/>
    <s v="2323 5402558 2639220 21779966"/>
    <n v="24614577"/>
    <n v="20936"/>
    <n v="1780866237710"/>
    <n v="5686354852069"/>
    <n v="1741009015"/>
    <n v="0"/>
    <n v="1160570264"/>
    <n v="1741009015"/>
    <n v="2901579279"/>
    <n v="58033633"/>
    <n v="0"/>
    <n v="38685675"/>
    <n v="58033633"/>
    <n v="96719309"/>
    <n v="25.0123"/>
    <n v="11.9649"/>
    <n v="5464.88"/>
    <n v="4159.3100000000004"/>
    <n v="1752"/>
    <n v="294"/>
    <x v="6"/>
  </r>
  <r>
    <s v="istree_exp3_disable_multicounter/step10053.txt"/>
    <x v="1"/>
    <n v="72"/>
    <s v="reclaimer_debra"/>
    <s v="allocator_new"/>
    <s v="pool_none"/>
    <n v="30000"/>
    <n v="20"/>
    <n v="20"/>
    <n v="0"/>
    <n v="1"/>
    <n v="20000000"/>
    <n v="190"/>
    <n v="190"/>
    <n v="190"/>
    <n v="0"/>
    <s v="insertIfAbsent"/>
    <n v="100014116048572"/>
    <n v="10002303"/>
    <n v="100014116048572"/>
    <n v="10002303"/>
    <s v="success"/>
    <n v="7"/>
    <n v="1676646"/>
    <n v="11546400"/>
    <n v="13223046"/>
    <n v="10002303"/>
    <n v="7.8866100000000001"/>
    <n v="0.86626999999999998"/>
    <n v="1.7564299999999999"/>
    <n v="4.0101699999999996"/>
    <n v="318874128"/>
    <s v="931 734045 6186961 155255380 389605"/>
    <s v="232 733782 6181659 155248087 389596"/>
    <n v="2951393"/>
    <n v="22120"/>
    <n v="1161630881250"/>
    <n v="5686354668176"/>
    <n v="1740150430"/>
    <n v="0"/>
    <n v="1160081159"/>
    <n v="1740150430"/>
    <n v="2900231589"/>
    <n v="58005014"/>
    <n v="0"/>
    <n v="38669371"/>
    <n v="58005014"/>
    <n v="96674386"/>
    <n v="28.685600000000001"/>
    <n v="15.3109"/>
    <n v="5296.44"/>
    <n v="3610.05"/>
    <n v="2945"/>
    <n v="356"/>
    <x v="7"/>
  </r>
  <r>
    <s v="istree_exp3_disable_multicounter/step10054.txt"/>
    <x v="1"/>
    <n v="72"/>
    <s v="reclaimer_debra"/>
    <s v="allocator_new"/>
    <s v="pool_none"/>
    <n v="30000"/>
    <n v="20"/>
    <n v="20"/>
    <n v="0"/>
    <n v="1"/>
    <n v="200000000"/>
    <n v="190"/>
    <n v="190"/>
    <n v="190"/>
    <n v="0"/>
    <s v="insertIfAbsent"/>
    <n v="1.00003283328422E+16"/>
    <n v="100001424"/>
    <n v="1.00003283328422E+16"/>
    <n v="100001424"/>
    <s v="success"/>
    <n v="7"/>
    <n v="11011150"/>
    <n v="110002521"/>
    <n v="121013671"/>
    <n v="100001424"/>
    <n v="10.9901"/>
    <n v="0.90908299999999997"/>
    <n v="1.82636"/>
    <n v="4"/>
    <n v="2640932320"/>
    <s v="98 199990 6870930 77752033 13324936"/>
    <s v="20 199961 6870326 77751572 13324910"/>
    <n v="516497"/>
    <n v="12730"/>
    <n v="1146159633604"/>
    <n v="5704923043698"/>
    <n v="1500012601"/>
    <n v="0"/>
    <n v="1000042053"/>
    <n v="1500012601"/>
    <n v="2500054654"/>
    <n v="50000420"/>
    <n v="0"/>
    <n v="33334735"/>
    <n v="50000420"/>
    <n v="83335155"/>
    <n v="31.586300000000001"/>
    <n v="17.651499999999999"/>
    <n v="5717.26"/>
    <n v="4223.51"/>
    <n v="14413"/>
    <n v="1092"/>
    <x v="8"/>
  </r>
  <r>
    <s v="istree_exp3_disable_multicounter/step10001.txt"/>
    <x v="0"/>
    <n v="64"/>
    <s v="reclaimer_debra"/>
    <s v="allocator_new"/>
    <s v="pool_none"/>
    <n v="30000"/>
    <n v="0.5"/>
    <n v="0.5"/>
    <n v="0"/>
    <n v="1"/>
    <n v="2000000"/>
    <n v="190"/>
    <n v="190"/>
    <n v="190"/>
    <n v="0"/>
    <s v="insertIfAbsent"/>
    <n v="1000153106207"/>
    <n v="1000133"/>
    <n v="1000153106207"/>
    <n v="1000133"/>
    <s v="success"/>
    <n v="6"/>
    <n v="61988"/>
    <n v="1091197"/>
    <n v="1153185"/>
    <n v="1000133"/>
    <n v="18.603400000000001"/>
    <n v="0.916547"/>
    <n v="1.8672800000000001"/>
    <n v="3.0606100000000001"/>
    <n v="21951520"/>
    <s v="319 48871 1521957 1494283"/>
    <s v="97 48589 1521873 1494271"/>
    <n v="74551"/>
    <n v="31212"/>
    <n v="34476275614"/>
    <n v="5686372731845"/>
    <n v="4812021427"/>
    <n v="0"/>
    <n v="48610015"/>
    <n v="4812021427"/>
    <n v="4860631442"/>
    <n v="160400714"/>
    <n v="0"/>
    <n v="1620333"/>
    <n v="160400714"/>
    <n v="162021048"/>
    <n v="11.168699999999999"/>
    <n v="0.610734"/>
    <n v="3267.84"/>
    <n v="2517.7600000000002"/>
    <n v="1280"/>
    <n v="274"/>
    <x v="0"/>
  </r>
  <r>
    <s v="istree_exp3_disable_multicounter/step10002.txt"/>
    <x v="0"/>
    <n v="64"/>
    <s v="reclaimer_debra"/>
    <s v="allocator_new"/>
    <s v="pool_none"/>
    <n v="30000"/>
    <n v="0.5"/>
    <n v="0.5"/>
    <n v="0"/>
    <n v="1"/>
    <n v="20000000"/>
    <n v="190"/>
    <n v="190"/>
    <n v="190"/>
    <n v="0"/>
    <s v="insertIfAbsent"/>
    <n v="100010972792757"/>
    <n v="10000510"/>
    <n v="100010972792757"/>
    <n v="10000510"/>
    <s v="success"/>
    <n v="7"/>
    <n v="1892266"/>
    <n v="11999314"/>
    <n v="13891580"/>
    <n v="10000510"/>
    <n v="7.34124"/>
    <n v="0.83342300000000002"/>
    <n v="1.7199"/>
    <n v="4.0534100000000004"/>
    <n v="328253648"/>
    <s v="26 12573 715314 6287180 20989"/>
    <s v="8 12530 715303 6287165 20989"/>
    <n v="15045"/>
    <n v="24770"/>
    <n v="63146950699"/>
    <n v="5686373822410"/>
    <n v="4182526577"/>
    <n v="0"/>
    <n v="42252241"/>
    <n v="4182526577"/>
    <n v="4224778818"/>
    <n v="139417552"/>
    <n v="0"/>
    <n v="1408408"/>
    <n v="139417552"/>
    <n v="140825960"/>
    <n v="16.869499999999999"/>
    <n v="6.6715499999999999"/>
    <n v="3730.19"/>
    <n v="2957.79"/>
    <n v="2468"/>
    <n v="381"/>
    <x v="1"/>
  </r>
  <r>
    <s v="istree_exp3_disable_multicounter/step10003.txt"/>
    <x v="0"/>
    <n v="64"/>
    <s v="reclaimer_debra"/>
    <s v="allocator_new"/>
    <s v="pool_none"/>
    <n v="30000"/>
    <n v="0.5"/>
    <n v="0.5"/>
    <n v="0"/>
    <n v="1"/>
    <n v="200000000"/>
    <n v="190"/>
    <n v="190"/>
    <n v="190"/>
    <n v="0"/>
    <s v="insertIfAbsent"/>
    <n v="9999914657377230"/>
    <n v="100001998"/>
    <n v="9999914657377230"/>
    <n v="100001998"/>
    <s v="success"/>
    <n v="7"/>
    <n v="14729953"/>
    <n v="117794739"/>
    <n v="132524692"/>
    <n v="100001998"/>
    <n v="8.99695"/>
    <n v="0.84895100000000001"/>
    <n v="1.7545900000000001"/>
    <n v="4.0761399999999997"/>
    <n v="2949448664"/>
    <s v="0 0 166050 3288729 571232"/>
    <s v="0 0 166050 3288729 571232"/>
    <n v="5"/>
    <n v="23742"/>
    <n v="12138306538"/>
    <n v="5686374747500"/>
    <n v="3956423576"/>
    <n v="0"/>
    <n v="39965520"/>
    <n v="3956423576"/>
    <n v="3996389096"/>
    <n v="131880785"/>
    <n v="0"/>
    <n v="1332184"/>
    <n v="131880785"/>
    <n v="133212969"/>
    <n v="19.637899999999998"/>
    <n v="9.5074699999999996"/>
    <n v="3970.93"/>
    <n v="3229.06"/>
    <n v="8023"/>
    <n v="1145"/>
    <x v="2"/>
  </r>
  <r>
    <s v="istree_exp3_disable_multicounter/step10004.txt"/>
    <x v="0"/>
    <n v="64"/>
    <s v="reclaimer_debra"/>
    <s v="allocator_new"/>
    <s v="pool_none"/>
    <n v="30000"/>
    <n v="5"/>
    <n v="5"/>
    <n v="0"/>
    <n v="1"/>
    <n v="2000000"/>
    <n v="190"/>
    <n v="190"/>
    <n v="190"/>
    <n v="0"/>
    <s v="insertIfAbsent"/>
    <n v="999576895925"/>
    <n v="999765"/>
    <n v="999576895925"/>
    <n v="999765"/>
    <s v="success"/>
    <n v="6"/>
    <n v="64093"/>
    <n v="1095010"/>
    <n v="1159103"/>
    <n v="999765"/>
    <n v="18.084700000000002"/>
    <n v="0.91301900000000002"/>
    <n v="1.86253"/>
    <n v="3.0651799999999998"/>
    <n v="22167688"/>
    <s v="5323 114202 3486722 3418661"/>
    <s v="222 110273 3484577 3418528"/>
    <n v="221127"/>
    <n v="7694"/>
    <n v="96435374538"/>
    <n v="5686375050727"/>
    <n v="1000579484"/>
    <n v="0"/>
    <n v="111172157"/>
    <n v="1000579484"/>
    <n v="1111751641"/>
    <n v="33352649"/>
    <n v="0"/>
    <n v="3705738"/>
    <n v="33352649"/>
    <n v="37058388"/>
    <n v="17.736999999999998"/>
    <n v="4.1356200000000003"/>
    <n v="14283.2"/>
    <n v="13317.8"/>
    <n v="1298"/>
    <n v="282"/>
    <x v="3"/>
  </r>
  <r>
    <s v="istree_exp3_disable_multicounter/step10005.txt"/>
    <x v="0"/>
    <n v="64"/>
    <s v="reclaimer_debra"/>
    <s v="allocator_new"/>
    <s v="pool_none"/>
    <n v="30000"/>
    <n v="5"/>
    <n v="5"/>
    <n v="0"/>
    <n v="1"/>
    <n v="20000000"/>
    <n v="190"/>
    <n v="190"/>
    <n v="190"/>
    <n v="0"/>
    <s v="insertIfAbsent"/>
    <n v="99988074948758"/>
    <n v="9999290"/>
    <n v="99988074948758"/>
    <n v="9999290"/>
    <s v="success"/>
    <n v="7"/>
    <n v="1906663"/>
    <n v="12036739"/>
    <n v="13943402"/>
    <n v="9999290"/>
    <n v="7.3129900000000001"/>
    <n v="0.830731"/>
    <n v="1.71713"/>
    <n v="4.0559799999999999"/>
    <n v="329909048"/>
    <s v="433 34719 1979365 16975168 57723"/>
    <s v="22 34227 1979145 16974929 57723"/>
    <n v="57384"/>
    <n v="7782"/>
    <n v="150135323931"/>
    <n v="5686374155199"/>
    <n v="1018205979"/>
    <n v="0"/>
    <n v="113157590"/>
    <n v="1018205979"/>
    <n v="1131363569"/>
    <n v="33940199"/>
    <n v="0"/>
    <n v="3771919"/>
    <n v="33940199"/>
    <n v="37712118"/>
    <n v="21.767600000000002"/>
    <n v="9.1628799999999995"/>
    <n v="13888.7"/>
    <n v="12883.3"/>
    <n v="2541"/>
    <n v="362"/>
    <x v="4"/>
  </r>
  <r>
    <s v="istree_exp3_disable_multicounter/step10006.txt"/>
    <x v="0"/>
    <n v="64"/>
    <s v="reclaimer_debra"/>
    <s v="allocator_new"/>
    <s v="pool_none"/>
    <n v="30000"/>
    <n v="5"/>
    <n v="5"/>
    <n v="0"/>
    <n v="1"/>
    <n v="200000000"/>
    <n v="190"/>
    <n v="190"/>
    <n v="190"/>
    <n v="0"/>
    <s v="insertIfAbsent"/>
    <n v="9999480938076500"/>
    <n v="99999666"/>
    <n v="9999480938076500"/>
    <n v="99999666"/>
    <s v="success"/>
    <n v="7"/>
    <n v="14410521"/>
    <n v="117034462"/>
    <n v="131444983"/>
    <n v="99999666"/>
    <n v="9.1214600000000008"/>
    <n v="0.85444600000000004"/>
    <n v="1.7607699999999999"/>
    <n v="4.07064"/>
    <n v="2913042168"/>
    <s v="25 10046 1011593 9347749 1641034"/>
    <s v="2 9980 1011569 9347732 1641034"/>
    <n v="11284"/>
    <n v="7560"/>
    <n v="195886220316"/>
    <n v="5686376295373"/>
    <n v="1082259435"/>
    <n v="0"/>
    <n v="120236160"/>
    <n v="1082259435"/>
    <n v="1202495595"/>
    <n v="36075314"/>
    <n v="0"/>
    <n v="4007872"/>
    <n v="36075314"/>
    <n v="40083186"/>
    <n v="21.993099999999998"/>
    <n v="10.7325"/>
    <n v="12841.2"/>
    <n v="11947.9"/>
    <n v="12751"/>
    <n v="1060"/>
    <x v="5"/>
  </r>
  <r>
    <s v="istree_exp3_disable_multicounter/step10007.txt"/>
    <x v="0"/>
    <n v="64"/>
    <s v="reclaimer_debra"/>
    <s v="allocator_new"/>
    <s v="pool_none"/>
    <n v="30000"/>
    <n v="20"/>
    <n v="20"/>
    <n v="0"/>
    <n v="1"/>
    <n v="2000000"/>
    <n v="190"/>
    <n v="190"/>
    <n v="190"/>
    <n v="0"/>
    <s v="insertIfAbsent"/>
    <n v="1000934071738"/>
    <n v="1000694"/>
    <n v="1000934071738"/>
    <n v="1000694"/>
    <s v="success"/>
    <n v="6"/>
    <n v="66235"/>
    <n v="1100440"/>
    <n v="1166675"/>
    <n v="1000694"/>
    <n v="17.6142"/>
    <n v="0.909358"/>
    <n v="1.8577300000000001"/>
    <n v="3.07"/>
    <n v="22414920"/>
    <s v="23415 194714 5689828 5577551"/>
    <s v="362 176954 5679584 5577053"/>
    <n v="498193"/>
    <n v="3168"/>
    <n v="204330609332"/>
    <n v="5686377863388"/>
    <n v="271724019"/>
    <n v="0"/>
    <n v="181182922"/>
    <n v="271724019"/>
    <n v="452906941"/>
    <n v="9057467"/>
    <n v="0"/>
    <n v="6039430"/>
    <n v="9057467"/>
    <n v="15096898"/>
    <n v="26.401800000000001"/>
    <n v="10.835800000000001"/>
    <n v="35045.599999999999"/>
    <n v="33196.199999999997"/>
    <n v="1328"/>
    <n v="303"/>
    <x v="6"/>
  </r>
  <r>
    <s v="istree_exp3_disable_multicounter/step10008.txt"/>
    <x v="0"/>
    <n v="64"/>
    <s v="reclaimer_debra"/>
    <s v="allocator_new"/>
    <s v="pool_none"/>
    <n v="30000"/>
    <n v="20"/>
    <n v="20"/>
    <n v="0"/>
    <n v="1"/>
    <n v="20000000"/>
    <n v="190"/>
    <n v="190"/>
    <n v="190"/>
    <n v="0"/>
    <s v="insertIfAbsent"/>
    <n v="100048930423061"/>
    <n v="10002485"/>
    <n v="100048930423061"/>
    <n v="10002485"/>
    <s v="success"/>
    <n v="7"/>
    <n v="1799880"/>
    <n v="11801276"/>
    <n v="13601156"/>
    <n v="10002485"/>
    <n v="7.5567000000000002"/>
    <n v="0.84757700000000002"/>
    <n v="1.7354099999999999"/>
    <n v="4.0348300000000004"/>
    <n v="318414416"/>
    <s v="1790 59189 3305609 27852783 95257"/>
    <s v="37 57299 3304544 27851629 95256"/>
    <n v="139744"/>
    <n v="3502"/>
    <n v="304114957580"/>
    <n v="5686378999052"/>
    <n v="279032478"/>
    <n v="0"/>
    <n v="186035083"/>
    <n v="279032478"/>
    <n v="465067561"/>
    <n v="9301082"/>
    <n v="0"/>
    <n v="6201169"/>
    <n v="9301082"/>
    <n v="15502252"/>
    <n v="32.8127"/>
    <n v="16.844999999999999"/>
    <n v="33539.300000000003"/>
    <n v="31118"/>
    <n v="2680"/>
    <n v="355"/>
    <x v="7"/>
  </r>
  <r>
    <s v="istree_exp3_disable_multicounter/step10009.txt"/>
    <x v="0"/>
    <n v="64"/>
    <s v="reclaimer_debra"/>
    <s v="allocator_new"/>
    <s v="pool_none"/>
    <n v="30000"/>
    <n v="20"/>
    <n v="20"/>
    <n v="0"/>
    <n v="1"/>
    <n v="200000000"/>
    <n v="190"/>
    <n v="190"/>
    <n v="190"/>
    <n v="0"/>
    <s v="insertIfAbsent"/>
    <n v="1.00003132153151E+16"/>
    <n v="99999670"/>
    <n v="1.00003132153151E+16"/>
    <n v="99999670"/>
    <s v="success"/>
    <n v="7"/>
    <n v="14829530"/>
    <n v="118020512"/>
    <n v="132850042"/>
    <n v="99999670"/>
    <n v="8.9584799999999998"/>
    <n v="0.84730799999999995"/>
    <n v="1.7527299999999999"/>
    <n v="4.0787899999999997"/>
    <n v="2960340336"/>
    <s v="87 15009 1633737 15747877 2627128"/>
    <s v="3 14859 1633651 15747787 2627127"/>
    <n v="21758"/>
    <n v="3048"/>
    <n v="328956037755"/>
    <n v="5686428648345"/>
    <n v="281949052"/>
    <n v="0"/>
    <n v="187980491"/>
    <n v="281949052"/>
    <n v="469929543"/>
    <n v="9398301"/>
    <n v="0"/>
    <n v="6266016"/>
    <n v="9398301"/>
    <n v="15664318"/>
    <n v="30.648"/>
    <n v="16.104700000000001"/>
    <n v="31844.2"/>
    <n v="30101.200000000001"/>
    <n v="12926"/>
    <n v="1160"/>
    <x v="8"/>
  </r>
  <r>
    <s v="istree_exp3_disable_multicounter/step10010.txt"/>
    <x v="0"/>
    <n v="64"/>
    <s v="reclaimer_debra"/>
    <s v="allocator_new"/>
    <s v="pool_none"/>
    <n v="30000"/>
    <n v="0.5"/>
    <n v="0.5"/>
    <n v="0"/>
    <n v="1"/>
    <n v="2000000"/>
    <n v="190"/>
    <n v="190"/>
    <n v="190"/>
    <n v="0"/>
    <s v="insertIfAbsent"/>
    <n v="1001489920234"/>
    <n v="1000648"/>
    <n v="1001489920234"/>
    <n v="1000648"/>
    <s v="success"/>
    <n v="6"/>
    <n v="69750"/>
    <n v="1107881"/>
    <n v="1177631"/>
    <n v="1000648"/>
    <n v="16.883600000000001"/>
    <n v="0.90320900000000004"/>
    <n v="1.84971"/>
    <n v="3.0777399999999999"/>
    <n v="22795696"/>
    <s v="371 49041 1522555 1495185"/>
    <s v="97 48739 1522445 1495179"/>
    <n v="75356"/>
    <n v="31054"/>
    <n v="34776771274"/>
    <n v="5686378818135"/>
    <n v="4818627704"/>
    <n v="0"/>
    <n v="48682656"/>
    <n v="4818627704"/>
    <n v="4867310360"/>
    <n v="160620923"/>
    <n v="0"/>
    <n v="1622755"/>
    <n v="160620923"/>
    <n v="162243678"/>
    <n v="11.328799999999999"/>
    <n v="0.64051899999999995"/>
    <n v="3263.35"/>
    <n v="2508.65"/>
    <n v="1277"/>
    <n v="357"/>
    <x v="0"/>
  </r>
  <r>
    <s v="istree_exp3_disable_multicounter/step10011.txt"/>
    <x v="0"/>
    <n v="64"/>
    <s v="reclaimer_debra"/>
    <s v="allocator_new"/>
    <s v="pool_none"/>
    <n v="30000"/>
    <n v="0.5"/>
    <n v="0.5"/>
    <n v="0"/>
    <n v="1"/>
    <n v="20000000"/>
    <n v="190"/>
    <n v="190"/>
    <n v="190"/>
    <n v="0"/>
    <s v="insertIfAbsent"/>
    <n v="99959238532695"/>
    <n v="9996551"/>
    <n v="99959238532695"/>
    <n v="9996551"/>
    <s v="success"/>
    <n v="7"/>
    <n v="1888749"/>
    <n v="11987357"/>
    <n v="13876106"/>
    <n v="9996551"/>
    <n v="7.3467200000000004"/>
    <n v="0.83392500000000003"/>
    <n v="1.72041"/>
    <n v="4.05281"/>
    <n v="327807640"/>
    <s v="21 12539 715553 6271427 20991"/>
    <s v="8 12494 715543 6271421 20991"/>
    <n v="15845"/>
    <n v="24912"/>
    <n v="62153476625"/>
    <n v="5686379275582"/>
    <n v="4173770174"/>
    <n v="0"/>
    <n v="42158669"/>
    <n v="4173770174"/>
    <n v="4215928843"/>
    <n v="139125672"/>
    <n v="0"/>
    <n v="1405288"/>
    <n v="139125672"/>
    <n v="140530961"/>
    <n v="16.972000000000001"/>
    <n v="6.6773300000000004"/>
    <n v="3738.57"/>
    <n v="2972.24"/>
    <n v="2476"/>
    <n v="318"/>
    <x v="1"/>
  </r>
  <r>
    <s v="istree_exp3_disable_multicounter/step10012.txt"/>
    <x v="0"/>
    <n v="64"/>
    <s v="reclaimer_debra"/>
    <s v="allocator_new"/>
    <s v="pool_none"/>
    <n v="30000"/>
    <n v="0.5"/>
    <n v="0.5"/>
    <n v="0"/>
    <n v="1"/>
    <n v="200000000"/>
    <n v="190"/>
    <n v="190"/>
    <n v="190"/>
    <n v="0"/>
    <s v="insertIfAbsent"/>
    <n v="9999767632111370"/>
    <n v="100000331"/>
    <n v="9999767632111370"/>
    <n v="100000331"/>
    <s v="success"/>
    <n v="7"/>
    <n v="14723330"/>
    <n v="117784057"/>
    <n v="132507387"/>
    <n v="100000331"/>
    <n v="8.9998199999999997"/>
    <n v="0.84901400000000005"/>
    <n v="1.75468"/>
    <n v="4.0759699999999999"/>
    <n v="2948796256"/>
    <s v="0 0 169087 3302803 572754"/>
    <s v="0 0 169087 3302803 572754"/>
    <n v="3"/>
    <n v="23964"/>
    <n v="12079965154"/>
    <n v="5686380184576"/>
    <n v="3967613741"/>
    <n v="0"/>
    <n v="40087152"/>
    <n v="3967613741"/>
    <n v="4007700893"/>
    <n v="132253791"/>
    <n v="0"/>
    <n v="1336238"/>
    <n v="132253791"/>
    <n v="133590029"/>
    <n v="19.6218"/>
    <n v="9.5011299999999999"/>
    <n v="3959.57"/>
    <n v="3218.41"/>
    <n v="8025"/>
    <n v="1107"/>
    <x v="2"/>
  </r>
  <r>
    <s v="istree_exp3_disable_multicounter/step10013.txt"/>
    <x v="0"/>
    <n v="64"/>
    <s v="reclaimer_debra"/>
    <s v="allocator_new"/>
    <s v="pool_none"/>
    <n v="30000"/>
    <n v="5"/>
    <n v="5"/>
    <n v="0"/>
    <n v="1"/>
    <n v="2000000"/>
    <n v="190"/>
    <n v="190"/>
    <n v="190"/>
    <n v="0"/>
    <s v="insertIfAbsent"/>
    <n v="999492850581"/>
    <n v="999608"/>
    <n v="999492850581"/>
    <n v="999608"/>
    <s v="success"/>
    <n v="6"/>
    <n v="82080"/>
    <n v="1133152"/>
    <n v="1215232"/>
    <n v="999608"/>
    <n v="14.8055"/>
    <n v="0.88214800000000004"/>
    <n v="1.82257"/>
    <n v="3.1063999999999998"/>
    <n v="24129744"/>
    <s v="5220 114135 3487736 3423657"/>
    <s v="222 110414 3485661 3423531"/>
    <n v="222571"/>
    <n v="7708"/>
    <n v="96595421745"/>
    <n v="5686380307481"/>
    <n v="1001237599"/>
    <n v="0"/>
    <n v="111257788"/>
    <n v="1001237599"/>
    <n v="1112495387"/>
    <n v="33374586"/>
    <n v="0"/>
    <n v="3708592"/>
    <n v="33374586"/>
    <n v="37083179"/>
    <n v="17.7255"/>
    <n v="4.1072699999999998"/>
    <n v="14273.3"/>
    <n v="13312.9"/>
    <n v="1302"/>
    <n v="301"/>
    <x v="3"/>
  </r>
  <r>
    <s v="istree_exp3_disable_multicounter/step10014.txt"/>
    <x v="0"/>
    <n v="64"/>
    <s v="reclaimer_debra"/>
    <s v="allocator_new"/>
    <s v="pool_none"/>
    <n v="30000"/>
    <n v="5"/>
    <n v="5"/>
    <n v="0"/>
    <n v="1"/>
    <n v="20000000"/>
    <n v="190"/>
    <n v="190"/>
    <n v="190"/>
    <n v="0"/>
    <s v="insertIfAbsent"/>
    <n v="99997921741564"/>
    <n v="9996994"/>
    <n v="99997921741564"/>
    <n v="9996994"/>
    <s v="success"/>
    <n v="7"/>
    <n v="1881505"/>
    <n v="11992118"/>
    <n v="13873623"/>
    <n v="9996994"/>
    <n v="7.3736800000000002"/>
    <n v="0.83362999999999998"/>
    <n v="1.72058"/>
    <n v="4.0495200000000002"/>
    <n v="327389576"/>
    <s v="416 34746 2009873 17131396 58747"/>
    <s v="22 34246 2009668 17131164 58745"/>
    <n v="58505"/>
    <n v="7892"/>
    <n v="151667225842"/>
    <n v="5686460907962"/>
    <n v="1026502562"/>
    <n v="0"/>
    <n v="114051512"/>
    <n v="1026502562"/>
    <n v="1140554074"/>
    <n v="34216752"/>
    <n v="0"/>
    <n v="3801717"/>
    <n v="34216752"/>
    <n v="38018469"/>
    <n v="21.889199999999999"/>
    <n v="9.1926000000000005"/>
    <n v="13771.4"/>
    <n v="12767.4"/>
    <n v="2539"/>
    <n v="353"/>
    <x v="4"/>
  </r>
  <r>
    <s v="istree_exp3_disable_multicounter/step10015.txt"/>
    <x v="0"/>
    <n v="64"/>
    <s v="reclaimer_debra"/>
    <s v="allocator_new"/>
    <s v="pool_none"/>
    <n v="30000"/>
    <n v="5"/>
    <n v="5"/>
    <n v="0"/>
    <n v="1"/>
    <n v="200000000"/>
    <n v="190"/>
    <n v="190"/>
    <n v="190"/>
    <n v="0"/>
    <s v="insertIfAbsent"/>
    <n v="1.00004471884192E+16"/>
    <n v="100005073"/>
    <n v="1.00004471884192E+16"/>
    <n v="100005073"/>
    <s v="success"/>
    <n v="7"/>
    <n v="14170970"/>
    <n v="116513246"/>
    <n v="130684216"/>
    <n v="100005073"/>
    <n v="9.2219700000000007"/>
    <n v="0.85831500000000005"/>
    <n v="1.7652399999999999"/>
    <n v="4.06548"/>
    <n v="2887052512"/>
    <s v="43 10016 1010732 9111423 1595965"/>
    <s v="2 9944 1010720 9111401 1595965"/>
    <n v="10122"/>
    <n v="7514"/>
    <n v="194400423381"/>
    <n v="5686942763311"/>
    <n v="1058985626"/>
    <n v="0"/>
    <n v="117648809"/>
    <n v="1058985626"/>
    <n v="1176634435"/>
    <n v="35299520"/>
    <n v="0"/>
    <n v="3921626"/>
    <n v="35299520"/>
    <n v="39221147"/>
    <n v="22.258800000000001"/>
    <n v="10.8026"/>
    <n v="13131.3"/>
    <n v="12232.1"/>
    <n v="12727"/>
    <n v="1152"/>
    <x v="5"/>
  </r>
  <r>
    <s v="istree_exp3_disable_multicounter/step10016.txt"/>
    <x v="0"/>
    <n v="64"/>
    <s v="reclaimer_debra"/>
    <s v="allocator_new"/>
    <s v="pool_none"/>
    <n v="30000"/>
    <n v="20"/>
    <n v="20"/>
    <n v="0"/>
    <n v="1"/>
    <n v="2000000"/>
    <n v="190"/>
    <n v="190"/>
    <n v="190"/>
    <n v="0"/>
    <s v="insertIfAbsent"/>
    <n v="1000451603955"/>
    <n v="1000389"/>
    <n v="1000451603955"/>
    <n v="1000389"/>
    <s v="success"/>
    <n v="6"/>
    <n v="58937"/>
    <n v="1085047"/>
    <n v="1143984"/>
    <n v="1000389"/>
    <n v="19.410299999999999"/>
    <n v="0.92197799999999996"/>
    <n v="1.8744799999999999"/>
    <n v="3.0539299999999998"/>
    <n v="21627720"/>
    <s v="23247 193454 5660888 5539628"/>
    <s v="360 176024 5650829 5539141"/>
    <n v="502847"/>
    <n v="3178"/>
    <n v="203675144020"/>
    <n v="5686382026701"/>
    <n v="270290966"/>
    <n v="0"/>
    <n v="180191206"/>
    <n v="270290966"/>
    <n v="450482172"/>
    <n v="9009698"/>
    <n v="0"/>
    <n v="6006373"/>
    <n v="9009698"/>
    <n v="15016072"/>
    <n v="26.3339"/>
    <n v="10.824"/>
    <n v="35233.300000000003"/>
    <n v="33349.5"/>
    <n v="1328"/>
    <n v="252"/>
    <x v="6"/>
  </r>
  <r>
    <s v="istree_exp3_disable_multicounter/step10017.txt"/>
    <x v="0"/>
    <n v="64"/>
    <s v="reclaimer_debra"/>
    <s v="allocator_new"/>
    <s v="pool_none"/>
    <n v="30000"/>
    <n v="20"/>
    <n v="20"/>
    <n v="0"/>
    <n v="1"/>
    <n v="20000000"/>
    <n v="190"/>
    <n v="190"/>
    <n v="190"/>
    <n v="0"/>
    <s v="insertIfAbsent"/>
    <n v="99994297506556"/>
    <n v="9999755"/>
    <n v="99994297506556"/>
    <n v="9999755"/>
    <s v="success"/>
    <n v="7"/>
    <n v="1873865"/>
    <n v="11957119"/>
    <n v="13830984"/>
    <n v="9999755"/>
    <n v="7.3809899999999997"/>
    <n v="0.83630099999999996"/>
    <n v="1.7230000000000001"/>
    <n v="4.0497100000000001"/>
    <n v="326246888"/>
    <s v="1829 59002 3307329 27989731 95977"/>
    <s v="37 57131 3306285 27988503 95976"/>
    <n v="138198"/>
    <n v="3520"/>
    <n v="303241634619"/>
    <n v="5686385533614"/>
    <n v="280301286"/>
    <n v="0"/>
    <n v="186875574"/>
    <n v="280301286"/>
    <n v="467176860"/>
    <n v="9343376"/>
    <n v="0"/>
    <n v="6229185"/>
    <n v="9343376"/>
    <n v="15572562"/>
    <n v="32.582999999999998"/>
    <n v="16.717700000000001"/>
    <n v="33396"/>
    <n v="30979.8"/>
    <n v="2658"/>
    <n v="405"/>
    <x v="7"/>
  </r>
  <r>
    <s v="istree_exp3_disable_multicounter/step10018.txt"/>
    <x v="0"/>
    <n v="64"/>
    <s v="reclaimer_debra"/>
    <s v="allocator_new"/>
    <s v="pool_none"/>
    <n v="30000"/>
    <n v="20"/>
    <n v="20"/>
    <n v="0"/>
    <n v="1"/>
    <n v="200000000"/>
    <n v="190"/>
    <n v="190"/>
    <n v="190"/>
    <n v="0"/>
    <s v="insertIfAbsent"/>
    <n v="9999460760685720"/>
    <n v="100000094"/>
    <n v="9999460760685720"/>
    <n v="100000094"/>
    <s v="success"/>
    <n v="7"/>
    <n v="14741709"/>
    <n v="117827871"/>
    <n v="132569580"/>
    <n v="100000094"/>
    <n v="8.99282"/>
    <n v="0.84869600000000001"/>
    <n v="1.7543200000000001"/>
    <n v="4.07646"/>
    <n v="2950813960"/>
    <s v="94 15011 1677041 15961675 2648354"/>
    <s v="3 14859 1676945 15961569 2648353"/>
    <n v="23068"/>
    <n v="3158"/>
    <n v="321629439847"/>
    <n v="5686481986932"/>
    <n v="284589503"/>
    <n v="0"/>
    <n v="189751862"/>
    <n v="284589503"/>
    <n v="474341365"/>
    <n v="9486316"/>
    <n v="0"/>
    <n v="6325062"/>
    <n v="9486316"/>
    <n v="15811378"/>
    <n v="29.580300000000001"/>
    <n v="15.5962"/>
    <n v="31755.200000000001"/>
    <n v="30006.400000000001"/>
    <n v="12832"/>
    <n v="1058"/>
    <x v="8"/>
  </r>
  <r>
    <s v="istree_exp3_disable_multicounter/step10019.txt"/>
    <x v="0"/>
    <n v="64"/>
    <s v="reclaimer_debra"/>
    <s v="allocator_new"/>
    <s v="pool_none"/>
    <n v="30000"/>
    <n v="0.5"/>
    <n v="0.5"/>
    <n v="0"/>
    <n v="1"/>
    <n v="2000000"/>
    <n v="190"/>
    <n v="190"/>
    <n v="190"/>
    <n v="0"/>
    <s v="insertIfAbsent"/>
    <n v="1000815132123"/>
    <n v="1000108"/>
    <n v="1000815132123"/>
    <n v="1000108"/>
    <s v="success"/>
    <n v="6"/>
    <n v="60205"/>
    <n v="1089535"/>
    <n v="1149740"/>
    <n v="1000108"/>
    <n v="19.097100000000001"/>
    <n v="0.91792200000000002"/>
    <n v="1.8698600000000001"/>
    <n v="3.05932"/>
    <n v="21823240"/>
    <s v="320 48861 1522935 1493054"/>
    <s v="96 48608 1522843 1493047"/>
    <n v="67218"/>
    <n v="30484"/>
    <n v="34307602407"/>
    <n v="5686382759614"/>
    <n v="4801569486"/>
    <n v="0"/>
    <n v="48502087"/>
    <n v="4801569486"/>
    <n v="4850071573"/>
    <n v="160052316"/>
    <n v="0"/>
    <n v="1616736"/>
    <n v="160052316"/>
    <n v="161669052"/>
    <n v="11.3491"/>
    <n v="0.63749100000000003"/>
    <n v="3274.76"/>
    <n v="2524.81"/>
    <n v="1278"/>
    <n v="317"/>
    <x v="0"/>
  </r>
  <r>
    <s v="istree_exp3_disable_multicounter/step10020.txt"/>
    <x v="0"/>
    <n v="64"/>
    <s v="reclaimer_debra"/>
    <s v="allocator_new"/>
    <s v="pool_none"/>
    <n v="30000"/>
    <n v="0.5"/>
    <n v="0.5"/>
    <n v="0"/>
    <n v="1"/>
    <n v="20000000"/>
    <n v="190"/>
    <n v="190"/>
    <n v="190"/>
    <n v="0"/>
    <s v="insertIfAbsent"/>
    <n v="100000568139328"/>
    <n v="10001274"/>
    <n v="100000568139328"/>
    <n v="10001274"/>
    <s v="success"/>
    <n v="7"/>
    <n v="1897797"/>
    <n v="12012125"/>
    <n v="13909922"/>
    <n v="10001274"/>
    <n v="7.32951"/>
    <n v="0.83259799999999995"/>
    <n v="1.7190000000000001"/>
    <n v="4.0545099999999996"/>
    <n v="328860872"/>
    <s v="26 12632 717302 6313725 21115"/>
    <s v="8 12576 717293 6313719 21115"/>
    <n v="16621"/>
    <n v="25028"/>
    <n v="63492760889"/>
    <n v="5686382947479"/>
    <n v="4197488102"/>
    <n v="0"/>
    <n v="42397264"/>
    <n v="4197488102"/>
    <n v="4239885366"/>
    <n v="139916270"/>
    <n v="0"/>
    <n v="1413242"/>
    <n v="139916270"/>
    <n v="141329512"/>
    <n v="16.884"/>
    <n v="6.6646599999999996"/>
    <n v="3716.37"/>
    <n v="2957.38"/>
    <n v="2477"/>
    <n v="369"/>
    <x v="1"/>
  </r>
  <r>
    <s v="istree_exp3_disable_multicounter/step10021.txt"/>
    <x v="0"/>
    <n v="64"/>
    <s v="reclaimer_debra"/>
    <s v="allocator_new"/>
    <s v="pool_none"/>
    <n v="30000"/>
    <n v="0.5"/>
    <n v="0.5"/>
    <n v="0"/>
    <n v="1"/>
    <n v="200000000"/>
    <n v="190"/>
    <n v="190"/>
    <n v="190"/>
    <n v="0"/>
    <s v="insertIfAbsent"/>
    <n v="1.00000718819139E+16"/>
    <n v="100001895"/>
    <n v="1.00000718819139E+16"/>
    <n v="100001895"/>
    <s v="success"/>
    <n v="7"/>
    <n v="14769366"/>
    <n v="117888756"/>
    <n v="132658122"/>
    <n v="100001895"/>
    <n v="8.9819800000000001"/>
    <n v="0.84827300000000005"/>
    <n v="1.75383"/>
    <n v="4.0771800000000002"/>
    <n v="2953836096"/>
    <s v="0 0 146877 3203326 561955"/>
    <s v="0 0 146876 3203326 561955"/>
    <n v="4"/>
    <n v="23502"/>
    <n v="11484498557"/>
    <n v="5686383518996"/>
    <n v="3886534718"/>
    <n v="0"/>
    <n v="39254662"/>
    <n v="3886534718"/>
    <n v="3925789380"/>
    <n v="129551157"/>
    <n v="0"/>
    <n v="1308488"/>
    <n v="129551157"/>
    <n v="130859646"/>
    <n v="19.6614"/>
    <n v="9.50441"/>
    <n v="4042.47"/>
    <n v="3284.53"/>
    <n v="8003"/>
    <n v="1113"/>
    <x v="2"/>
  </r>
  <r>
    <s v="istree_exp3_disable_multicounter/step10022.txt"/>
    <x v="0"/>
    <n v="64"/>
    <s v="reclaimer_debra"/>
    <s v="allocator_new"/>
    <s v="pool_none"/>
    <n v="30000"/>
    <n v="5"/>
    <n v="5"/>
    <n v="0"/>
    <n v="1"/>
    <n v="2000000"/>
    <n v="190"/>
    <n v="190"/>
    <n v="190"/>
    <n v="0"/>
    <s v="insertIfAbsent"/>
    <n v="999750650529"/>
    <n v="1000510"/>
    <n v="999750650529"/>
    <n v="1000510"/>
    <s v="success"/>
    <n v="6"/>
    <n v="84136"/>
    <n v="1139407"/>
    <n v="1223543"/>
    <n v="1000510"/>
    <n v="14.542400000000001"/>
    <n v="0.87809700000000002"/>
    <n v="1.81772"/>
    <n v="3.1121799999999999"/>
    <n v="24399472"/>
    <s v="5334 113775 3478223 3412409"/>
    <s v="221 109899 3476172 3412296"/>
    <n v="208378"/>
    <n v="7780"/>
    <n v="95619346910"/>
    <n v="5686383541698"/>
    <n v="998017160"/>
    <n v="0"/>
    <n v="110888692"/>
    <n v="998017160"/>
    <n v="1108905852"/>
    <n v="33267238"/>
    <n v="0"/>
    <n v="3696289"/>
    <n v="33267238"/>
    <n v="36963528"/>
    <n v="17.713799999999999"/>
    <n v="4.11111"/>
    <n v="14316.6"/>
    <n v="13353.9"/>
    <n v="1303"/>
    <n v="329"/>
    <x v="3"/>
  </r>
  <r>
    <s v="istree_exp3_disable_multicounter/step10023.txt"/>
    <x v="0"/>
    <n v="64"/>
    <s v="reclaimer_debra"/>
    <s v="allocator_new"/>
    <s v="pool_none"/>
    <n v="30000"/>
    <n v="5"/>
    <n v="5"/>
    <n v="0"/>
    <n v="1"/>
    <n v="20000000"/>
    <n v="190"/>
    <n v="190"/>
    <n v="190"/>
    <n v="0"/>
    <s v="insertIfAbsent"/>
    <n v="99989204075236"/>
    <n v="10000473"/>
    <n v="99989204075236"/>
    <n v="10000473"/>
    <s v="success"/>
    <n v="7"/>
    <n v="1897948"/>
    <n v="12023361"/>
    <n v="13921309"/>
    <n v="10000473"/>
    <n v="7.3349299999999999"/>
    <n v="0.83175399999999999"/>
    <n v="1.7183600000000001"/>
    <n v="4.0535100000000002"/>
    <n v="329071968"/>
    <s v="429 34813 1991881 17056520 58350"/>
    <s v="22 34298 1991661 17056280 58350"/>
    <n v="56668"/>
    <n v="7804"/>
    <n v="152627340260"/>
    <n v="5686383725460"/>
    <n v="1022708878"/>
    <n v="0"/>
    <n v="113637496"/>
    <n v="1022708878"/>
    <n v="1136346374"/>
    <n v="34090295"/>
    <n v="0"/>
    <n v="3787916"/>
    <n v="34090295"/>
    <n v="37878212"/>
    <n v="22.574200000000001"/>
    <n v="9.4598700000000004"/>
    <n v="13816.3"/>
    <n v="12804.7"/>
    <n v="2551"/>
    <n v="346"/>
    <x v="4"/>
  </r>
  <r>
    <s v="istree_exp3_disable_multicounter/step10024.txt"/>
    <x v="0"/>
    <n v="64"/>
    <s v="reclaimer_debra"/>
    <s v="allocator_new"/>
    <s v="pool_none"/>
    <n v="30000"/>
    <n v="5"/>
    <n v="5"/>
    <n v="0"/>
    <n v="1"/>
    <n v="200000000"/>
    <n v="190"/>
    <n v="190"/>
    <n v="190"/>
    <n v="0"/>
    <s v="insertIfAbsent"/>
    <n v="9999308505357130"/>
    <n v="99996037"/>
    <n v="9999308505357130"/>
    <n v="99996037"/>
    <s v="success"/>
    <n v="7"/>
    <n v="13846991"/>
    <n v="115809655"/>
    <n v="129656646"/>
    <n v="99996037"/>
    <n v="9.3635199999999994"/>
    <n v="0.863452"/>
    <n v="1.7712399999999999"/>
    <n v="4.0586000000000002"/>
    <n v="2851985176"/>
    <s v="37 10054 1012459 8894322 1550145"/>
    <s v="2 9990 1012444 8894302 1550145"/>
    <n v="9860"/>
    <n v="7266"/>
    <n v="198479680820"/>
    <n v="5686751873517"/>
    <n v="1033058694"/>
    <n v="0"/>
    <n v="114788235"/>
    <n v="1033058694"/>
    <n v="1147846929"/>
    <n v="34435289"/>
    <n v="0"/>
    <n v="3826274"/>
    <n v="34435289"/>
    <n v="38261564"/>
    <n v="22.216000000000001"/>
    <n v="10.821400000000001"/>
    <n v="13460.1"/>
    <n v="12559.4"/>
    <n v="12797"/>
    <n v="1137"/>
    <x v="5"/>
  </r>
  <r>
    <s v="istree_exp3_disable_multicounter/step10025.txt"/>
    <x v="0"/>
    <n v="64"/>
    <s v="reclaimer_debra"/>
    <s v="allocator_new"/>
    <s v="pool_none"/>
    <n v="30000"/>
    <n v="20"/>
    <n v="20"/>
    <n v="0"/>
    <n v="1"/>
    <n v="2000000"/>
    <n v="190"/>
    <n v="190"/>
    <n v="190"/>
    <n v="0"/>
    <s v="insertIfAbsent"/>
    <n v="1001543258918"/>
    <n v="1001438"/>
    <n v="1001543258918"/>
    <n v="1001438"/>
    <s v="success"/>
    <n v="6"/>
    <n v="50573"/>
    <n v="1068830"/>
    <n v="1119403"/>
    <n v="1001438"/>
    <n v="22.134399999999999"/>
    <n v="0.936948"/>
    <n v="1.89462"/>
    <n v="3.0359699999999998"/>
    <n v="20752552"/>
    <s v="23292 194552 5675841 5557252"/>
    <s v="361 177140 5665735 5556710"/>
    <n v="497343"/>
    <n v="3156"/>
    <n v="204687794225"/>
    <n v="5686384400591"/>
    <n v="271021953"/>
    <n v="0"/>
    <n v="180656208"/>
    <n v="271021953"/>
    <n v="451678161"/>
    <n v="9034065"/>
    <n v="0"/>
    <n v="6021873"/>
    <n v="9034065"/>
    <n v="15055938"/>
    <n v="26.356100000000001"/>
    <n v="10.8324"/>
    <n v="35135.4"/>
    <n v="33241.599999999999"/>
    <n v="1327"/>
    <n v="321"/>
    <x v="6"/>
  </r>
  <r>
    <s v="istree_exp3_disable_multicounter/step10026.txt"/>
    <x v="0"/>
    <n v="64"/>
    <s v="reclaimer_debra"/>
    <s v="allocator_new"/>
    <s v="pool_none"/>
    <n v="30000"/>
    <n v="20"/>
    <n v="20"/>
    <n v="0"/>
    <n v="1"/>
    <n v="20000000"/>
    <n v="190"/>
    <n v="190"/>
    <n v="190"/>
    <n v="0"/>
    <s v="insertIfAbsent"/>
    <n v="100048407958416"/>
    <n v="10004056"/>
    <n v="100048407958416"/>
    <n v="10004056"/>
    <s v="success"/>
    <n v="7"/>
    <n v="1906708"/>
    <n v="12036699"/>
    <n v="13943407"/>
    <n v="10004056"/>
    <n v="7.3128200000000003"/>
    <n v="0.83113000000000004"/>
    <n v="1.7174799999999999"/>
    <n v="4.05619"/>
    <n v="329904064"/>
    <s v="1779 58927 3310991 28162223 97468"/>
    <s v="37 57007 3309887 28161080 97466"/>
    <n v="134833"/>
    <n v="3540"/>
    <n v="304375137176"/>
    <n v="5686385533332"/>
    <n v="281664830"/>
    <n v="0"/>
    <n v="187751085"/>
    <n v="281664830"/>
    <n v="469415915"/>
    <n v="9388827"/>
    <n v="0"/>
    <n v="6258369"/>
    <n v="9388827"/>
    <n v="15647197"/>
    <n v="32.719000000000001"/>
    <n v="16.8246"/>
    <n v="33227.199999999997"/>
    <n v="30814.1"/>
    <n v="2670"/>
    <n v="374"/>
    <x v="7"/>
  </r>
  <r>
    <s v="istree_exp3_disable_multicounter/step10027.txt"/>
    <x v="0"/>
    <n v="64"/>
    <s v="reclaimer_debra"/>
    <s v="allocator_new"/>
    <s v="pool_none"/>
    <n v="30000"/>
    <n v="20"/>
    <n v="20"/>
    <n v="0"/>
    <n v="1"/>
    <n v="200000000"/>
    <n v="190"/>
    <n v="190"/>
    <n v="190"/>
    <n v="0"/>
    <s v="insertIfAbsent"/>
    <n v="1.00005265008122E+16"/>
    <n v="100004735"/>
    <n v="1.00005265008122E+16"/>
    <n v="100004735"/>
    <s v="success"/>
    <n v="7"/>
    <n v="14630660"/>
    <n v="117564319"/>
    <n v="132194979"/>
    <n v="100004735"/>
    <n v="9.0354799999999997"/>
    <n v="0.85063800000000001"/>
    <n v="1.7564900000000001"/>
    <n v="4.0735000000000001"/>
    <n v="2938456832"/>
    <s v="136 15126 1732918 16186143 2677388"/>
    <s v="3 14934 1732834 16186044 2677385"/>
    <n v="23415"/>
    <n v="2924"/>
    <n v="321271045428"/>
    <n v="5686384263100"/>
    <n v="287499416"/>
    <n v="0"/>
    <n v="191668511"/>
    <n v="287499416"/>
    <n v="479167927"/>
    <n v="9583313"/>
    <n v="0"/>
    <n v="6388950"/>
    <n v="9583313"/>
    <n v="15972264"/>
    <n v="31.942799999999998"/>
    <n v="16.607299999999999"/>
    <n v="31548.9"/>
    <n v="29797.7"/>
    <n v="12772"/>
    <n v="1046"/>
    <x v="8"/>
  </r>
  <r>
    <s v="istree_exp3_disable_multicounter/step10028.txt"/>
    <x v="1"/>
    <n v="72"/>
    <s v="reclaimer_debra"/>
    <s v="allocator_new"/>
    <s v="pool_none"/>
    <n v="30000"/>
    <n v="0.5"/>
    <n v="0.5"/>
    <n v="0"/>
    <n v="1"/>
    <n v="2000000"/>
    <n v="190"/>
    <n v="190"/>
    <n v="190"/>
    <n v="0"/>
    <s v="insertIfAbsent"/>
    <n v="1000284750247"/>
    <n v="1000229"/>
    <n v="1000284750247"/>
    <n v="1000229"/>
    <s v="success"/>
    <n v="6"/>
    <n v="53163"/>
    <n v="1072845"/>
    <n v="1126008"/>
    <n v="1000229"/>
    <n v="21.180299999999999"/>
    <n v="0.932315"/>
    <n v="1.8883000000000001"/>
    <n v="3.0421299999999998"/>
    <n v="21438208"/>
    <s v="295 608670 295208 2431208"/>
    <s v="259 608085 295024 2431179"/>
    <n v="315933"/>
    <n v="89004"/>
    <n v="117963885759"/>
    <n v="5686384448373"/>
    <n v="12830199674"/>
    <n v="0"/>
    <n v="129586724"/>
    <n v="12830199674"/>
    <n v="12959786398"/>
    <n v="427673322"/>
    <n v="0"/>
    <n v="4319557"/>
    <n v="427673322"/>
    <n v="431992879"/>
    <n v="8.6284399999999994"/>
    <n v="0.413937"/>
    <n v="1202.21"/>
    <n v="461.42500000000001"/>
    <n v="1424"/>
    <n v="219"/>
    <x v="0"/>
  </r>
  <r>
    <s v="istree_exp3_disable_multicounter/step10029.txt"/>
    <x v="1"/>
    <n v="72"/>
    <s v="reclaimer_debra"/>
    <s v="allocator_new"/>
    <s v="pool_none"/>
    <n v="30000"/>
    <n v="0.5"/>
    <n v="0.5"/>
    <n v="0"/>
    <n v="1"/>
    <n v="20000000"/>
    <n v="190"/>
    <n v="190"/>
    <n v="190"/>
    <n v="0"/>
    <s v="insertIfAbsent"/>
    <n v="99969353523089"/>
    <n v="9998942"/>
    <n v="99969353523089"/>
    <n v="9998942"/>
    <s v="success"/>
    <n v="7"/>
    <n v="1663972"/>
    <n v="11517681"/>
    <n v="13181653"/>
    <n v="9998942"/>
    <n v="7.9218000000000002"/>
    <n v="0.86813799999999997"/>
    <n v="1.7585500000000001"/>
    <n v="4.0076400000000003"/>
    <n v="317400672"/>
    <s v="18 47448 400955 10039545 25173"/>
    <s v="15 47446 400936 10039508 25173"/>
    <n v="36790"/>
    <n v="45700"/>
    <n v="95712922632"/>
    <n v="5686385244008"/>
    <n v="7440091040"/>
    <n v="0"/>
    <n v="75152790"/>
    <n v="7440091040"/>
    <n v="7515243830"/>
    <n v="248003034"/>
    <n v="0"/>
    <n v="2505093"/>
    <n v="248003034"/>
    <n v="250508127"/>
    <n v="16.357299999999999"/>
    <n v="6.6557599999999999"/>
    <n v="2082.21"/>
    <n v="1309.8"/>
    <n v="2770"/>
    <n v="387"/>
    <x v="1"/>
  </r>
  <r>
    <s v="istree_exp3_disable_multicounter/step10030.txt"/>
    <x v="1"/>
    <n v="72"/>
    <s v="reclaimer_debra"/>
    <s v="allocator_new"/>
    <s v="pool_none"/>
    <n v="30000"/>
    <n v="0.5"/>
    <n v="0.5"/>
    <n v="0"/>
    <n v="1"/>
    <n v="200000000"/>
    <n v="190"/>
    <n v="190"/>
    <n v="190"/>
    <n v="0"/>
    <s v="insertIfAbsent"/>
    <n v="9999288194136730"/>
    <n v="99997681"/>
    <n v="9999288194136730"/>
    <n v="99997681"/>
    <s v="success"/>
    <n v="7"/>
    <n v="12559555"/>
    <n v="113131288"/>
    <n v="125690843"/>
    <n v="99997681"/>
    <n v="10.0076"/>
    <n v="0.88390800000000003"/>
    <n v="1.79558"/>
    <n v="4.0315700000000003"/>
    <n v="2815510464"/>
    <s v="2 9997 343894 3941464 710555"/>
    <s v="1 9997 343894 3941464 710555"/>
    <n v="4171"/>
    <n v="32504"/>
    <n v="119791479470"/>
    <n v="5686434545914"/>
    <n v="5625222435"/>
    <n v="0"/>
    <n v="56818597"/>
    <n v="5625222435"/>
    <n v="5682041032"/>
    <n v="187507414"/>
    <n v="0"/>
    <n v="1893953"/>
    <n v="187507414"/>
    <n v="189401367"/>
    <n v="19.454799999999999"/>
    <n v="9.5846599999999995"/>
    <n v="2733.43"/>
    <n v="1979.16"/>
    <n v="13353"/>
    <n v="1079"/>
    <x v="2"/>
  </r>
  <r>
    <s v="istree_exp3_disable_multicounter/step10031.txt"/>
    <x v="1"/>
    <n v="72"/>
    <s v="reclaimer_debra"/>
    <s v="allocator_new"/>
    <s v="pool_none"/>
    <n v="30000"/>
    <n v="5"/>
    <n v="5"/>
    <n v="0"/>
    <n v="1"/>
    <n v="2000000"/>
    <n v="190"/>
    <n v="190"/>
    <n v="190"/>
    <n v="0"/>
    <s v="insertIfAbsent"/>
    <n v="999177149883"/>
    <n v="999051"/>
    <n v="999177149883"/>
    <n v="999051"/>
    <s v="success"/>
    <n v="6"/>
    <n v="54993"/>
    <n v="1075993"/>
    <n v="1130986"/>
    <n v="999051"/>
    <n v="20.565999999999999"/>
    <n v="0.92849199999999998"/>
    <n v="1.8833500000000001"/>
    <n v="3.0460400000000001"/>
    <n v="21636928"/>
    <s v="2780 3452793 1680057 13789681"/>
    <s v="1470 3431822 1673344 13788302"/>
    <n v="8095348"/>
    <n v="50130"/>
    <n v="883849119403"/>
    <n v="5686386609768"/>
    <n v="6610113456"/>
    <n v="0"/>
    <n v="734469936"/>
    <n v="6610113456"/>
    <n v="7344583392"/>
    <n v="220337115"/>
    <n v="0"/>
    <n v="24482331"/>
    <n v="220337115"/>
    <n v="244819446"/>
    <n v="12.365600000000001"/>
    <n v="3.1585299999999998"/>
    <n v="2147.36"/>
    <n v="1313.48"/>
    <n v="1621"/>
    <n v="379"/>
    <x v="3"/>
  </r>
  <r>
    <s v="istree_exp3_disable_multicounter/step10032.txt"/>
    <x v="1"/>
    <n v="72"/>
    <s v="reclaimer_debra"/>
    <s v="allocator_new"/>
    <s v="pool_none"/>
    <n v="30000"/>
    <n v="5"/>
    <n v="5"/>
    <n v="0"/>
    <n v="1"/>
    <n v="20000000"/>
    <n v="190"/>
    <n v="190"/>
    <n v="190"/>
    <n v="0"/>
    <s v="insertIfAbsent"/>
    <n v="100017988455965"/>
    <n v="9999448"/>
    <n v="100017988455965"/>
    <n v="9999448"/>
    <s v="success"/>
    <n v="7"/>
    <n v="1777488"/>
    <n v="11752493"/>
    <n v="13529981"/>
    <n v="9999448"/>
    <n v="7.6118600000000001"/>
    <n v="0.85083600000000004"/>
    <n v="1.7390600000000001"/>
    <n v="4.0303500000000003"/>
    <n v="330240672"/>
    <s v="206 347977 2931165 73671078 185520"/>
    <s v="110 347932 2929983 73669703 185518"/>
    <n v="839830"/>
    <n v="35800"/>
    <n v="554596732618"/>
    <n v="5686385217725"/>
    <n v="4957236191"/>
    <n v="0"/>
    <n v="550824787"/>
    <n v="4957236191"/>
    <n v="5508060978"/>
    <n v="165241206"/>
    <n v="0"/>
    <n v="18360826"/>
    <n v="165241206"/>
    <n v="183602032"/>
    <n v="19.2441"/>
    <n v="8.5628100000000007"/>
    <n v="2820.79"/>
    <n v="1894.25"/>
    <n v="2869"/>
    <n v="383"/>
    <x v="4"/>
  </r>
  <r>
    <s v="istree_exp3_disable_multicounter/step10033.txt"/>
    <x v="1"/>
    <n v="72"/>
    <s v="reclaimer_debra"/>
    <s v="allocator_new"/>
    <s v="pool_none"/>
    <n v="30000"/>
    <n v="5"/>
    <n v="5"/>
    <n v="0"/>
    <n v="1"/>
    <n v="200000000"/>
    <n v="190"/>
    <n v="190"/>
    <n v="190"/>
    <n v="0"/>
    <s v="insertIfAbsent"/>
    <n v="9999626699984640"/>
    <n v="100000647"/>
    <n v="9999626699984640"/>
    <n v="100000647"/>
    <s v="success"/>
    <n v="7"/>
    <n v="14859966"/>
    <n v="118060389"/>
    <n v="132920355"/>
    <n v="100000647"/>
    <n v="8.9448600000000003"/>
    <n v="0.84702999999999995"/>
    <n v="1.75234"/>
    <n v="4.0803799999999999"/>
    <n v="3081693136"/>
    <s v="11 79994 2760593 32826086 5713917"/>
    <s v="8 79987 2760452 32826009 5713906"/>
    <n v="131746"/>
    <n v="19052"/>
    <n v="570717630430"/>
    <n v="5686632609211"/>
    <n v="3849678782"/>
    <n v="0"/>
    <n v="427777649"/>
    <n v="3849678782"/>
    <n v="4277456431"/>
    <n v="128322626"/>
    <n v="0"/>
    <n v="14259254"/>
    <n v="128322626"/>
    <n v="142581881"/>
    <n v="22.2029"/>
    <n v="11.2865"/>
    <n v="3433.98"/>
    <n v="2552.56"/>
    <n v="14270"/>
    <n v="1149"/>
    <x v="5"/>
  </r>
  <r>
    <s v="istree_exp3_disable_multicounter/step10034.txt"/>
    <x v="1"/>
    <n v="72"/>
    <s v="reclaimer_debra"/>
    <s v="allocator_new"/>
    <s v="pool_none"/>
    <n v="30000"/>
    <n v="20"/>
    <n v="20"/>
    <n v="0"/>
    <n v="1"/>
    <n v="2000000"/>
    <n v="190"/>
    <n v="190"/>
    <n v="190"/>
    <n v="0"/>
    <s v="insertIfAbsent"/>
    <n v="1000862106862"/>
    <n v="1000455"/>
    <n v="1000862106862"/>
    <n v="1000455"/>
    <s v="success"/>
    <n v="6"/>
    <n v="54071"/>
    <n v="1075160"/>
    <n v="1129231"/>
    <n v="1000455"/>
    <n v="20.8842"/>
    <n v="0.93051700000000004"/>
    <n v="1.8859600000000001"/>
    <n v="3.0440399999999999"/>
    <n v="21549840"/>
    <s v="6927 5457402 2654495 21761201"/>
    <s v="2321 5398778 2635209 21757084"/>
    <n v="24588188"/>
    <n v="20940"/>
    <n v="1785073504800"/>
    <n v="5686387675965"/>
    <n v="1739774551"/>
    <n v="0"/>
    <n v="1159795347"/>
    <n v="1739774551"/>
    <n v="2899569898"/>
    <n v="57992485"/>
    <n v="0"/>
    <n v="38659844"/>
    <n v="57992485"/>
    <n v="96652329"/>
    <n v="25.030799999999999"/>
    <n v="11.9498"/>
    <n v="5469.77"/>
    <n v="4166.6000000000004"/>
    <n v="1758"/>
    <n v="356"/>
    <x v="6"/>
  </r>
  <r>
    <s v="istree_exp3_disable_multicounter/step10035.txt"/>
    <x v="1"/>
    <n v="72"/>
    <s v="reclaimer_debra"/>
    <s v="allocator_new"/>
    <s v="pool_none"/>
    <n v="30000"/>
    <n v="20"/>
    <n v="20"/>
    <n v="0"/>
    <n v="1"/>
    <n v="20000000"/>
    <n v="190"/>
    <n v="190"/>
    <n v="190"/>
    <n v="0"/>
    <s v="insertIfAbsent"/>
    <n v="99949978079096"/>
    <n v="9997206"/>
    <n v="99949978079096"/>
    <n v="9997206"/>
    <s v="success"/>
    <n v="7"/>
    <n v="1704537"/>
    <n v="11598412"/>
    <n v="13302949"/>
    <n v="9997206"/>
    <n v="7.8044399999999996"/>
    <n v="0.86194599999999999"/>
    <n v="1.7515000000000001"/>
    <n v="4.01586"/>
    <n v="321937680"/>
    <s v="839 734001 6187210 155261991 389482"/>
    <s v="232 733762 6182056 155254595 389472"/>
    <n v="2939248"/>
    <n v="22018"/>
    <n v="1162796130121"/>
    <n v="5686538843628"/>
    <n v="1740364941"/>
    <n v="0"/>
    <n v="1160181679"/>
    <n v="1740364941"/>
    <n v="2900546620"/>
    <n v="58012164"/>
    <n v="0"/>
    <n v="38672722"/>
    <n v="58012164"/>
    <n v="96684887"/>
    <n v="28.6554"/>
    <n v="15.3133"/>
    <n v="5298.35"/>
    <n v="3613.82"/>
    <n v="2938"/>
    <n v="390"/>
    <x v="7"/>
  </r>
  <r>
    <s v="istree_exp3_disable_multicounter/step10036.txt"/>
    <x v="1"/>
    <n v="72"/>
    <s v="reclaimer_debra"/>
    <s v="allocator_new"/>
    <s v="pool_none"/>
    <n v="30000"/>
    <n v="20"/>
    <n v="20"/>
    <n v="0"/>
    <n v="1"/>
    <n v="200000000"/>
    <n v="190"/>
    <n v="190"/>
    <n v="190"/>
    <n v="0"/>
    <s v="insertIfAbsent"/>
    <n v="9998417224710940"/>
    <n v="99991700"/>
    <n v="9998417224710940"/>
    <n v="99991700"/>
    <s v="success"/>
    <n v="7"/>
    <n v="11653555"/>
    <n v="111284343"/>
    <n v="122937898"/>
    <n v="99991700"/>
    <n v="10.5494"/>
    <n v="0.89852399999999999"/>
    <n v="1.81335"/>
    <n v="4.0129900000000003"/>
    <n v="2712956128"/>
    <s v="64 199979 6884311 77739228 13328930"/>
    <s v="20 199956 6883703 77738756 13328900"/>
    <n v="518197"/>
    <n v="12726"/>
    <n v="1141379068891"/>
    <n v="5686892112458"/>
    <n v="1504015826"/>
    <n v="0"/>
    <n v="1002692786"/>
    <n v="1504015826"/>
    <n v="2506708612"/>
    <n v="50133860"/>
    <n v="0"/>
    <n v="33423092"/>
    <n v="50133860"/>
    <n v="83556953"/>
    <n v="31.607299999999999"/>
    <n v="17.659500000000001"/>
    <n v="5687.69"/>
    <n v="4211.6000000000004"/>
    <n v="14420"/>
    <n v="1107"/>
    <x v="8"/>
  </r>
  <r>
    <s v="istree_exp3_disable_multicounter/step10037.txt"/>
    <x v="1"/>
    <n v="72"/>
    <s v="reclaimer_debra"/>
    <s v="allocator_new"/>
    <s v="pool_none"/>
    <n v="30000"/>
    <n v="0.5"/>
    <n v="0.5"/>
    <n v="0"/>
    <n v="1"/>
    <n v="2000000"/>
    <n v="190"/>
    <n v="190"/>
    <n v="190"/>
    <n v="0"/>
    <s v="insertIfAbsent"/>
    <n v="1000459076577"/>
    <n v="999566"/>
    <n v="1000459076577"/>
    <n v="999566"/>
    <s v="success"/>
    <n v="6"/>
    <n v="55352"/>
    <n v="1076449"/>
    <n v="1131801"/>
    <n v="999566"/>
    <n v="20.447299999999998"/>
    <n v="0.92857699999999999"/>
    <n v="1.8831599999999999"/>
    <n v="3.04677"/>
    <n v="21673760"/>
    <s v="296 611430 296761 2440923"/>
    <s v="260 610844 296571 2440882"/>
    <n v="320433"/>
    <n v="89930"/>
    <n v="118009083094"/>
    <n v="5686385841124"/>
    <n v="12888441911"/>
    <n v="0"/>
    <n v="130164249"/>
    <n v="12888441911"/>
    <n v="13018606160"/>
    <n v="429614730"/>
    <n v="0"/>
    <n v="4338808"/>
    <n v="429614730"/>
    <n v="433953538"/>
    <n v="8.6439800000000009"/>
    <n v="0.41709499999999999"/>
    <n v="1198.57"/>
    <n v="464.21199999999999"/>
    <n v="1425"/>
    <n v="343"/>
    <x v="0"/>
  </r>
  <r>
    <s v="istree_exp3_disable_multicounter/step10038.txt"/>
    <x v="1"/>
    <n v="72"/>
    <s v="reclaimer_debra"/>
    <s v="allocator_new"/>
    <s v="pool_none"/>
    <n v="30000"/>
    <n v="0.5"/>
    <n v="0.5"/>
    <n v="0"/>
    <n v="1"/>
    <n v="20000000"/>
    <n v="190"/>
    <n v="190"/>
    <n v="190"/>
    <n v="0"/>
    <s v="insertIfAbsent"/>
    <n v="99999898449582"/>
    <n v="9998638"/>
    <n v="99999898449582"/>
    <n v="9998638"/>
    <s v="success"/>
    <n v="7"/>
    <n v="1667951"/>
    <n v="11525688"/>
    <n v="13193639"/>
    <n v="9998638"/>
    <n v="7.9100900000000003"/>
    <n v="0.86750899999999997"/>
    <n v="1.7578400000000001"/>
    <n v="4.00854"/>
    <n v="317847136"/>
    <s v="17 47444 399142 10041981 25226"/>
    <s v="15 47443 399119 10041949 25226"/>
    <n v="39241"/>
    <n v="46376"/>
    <n v="95045923448"/>
    <n v="5686386389624"/>
    <n v="7440327903"/>
    <n v="0"/>
    <n v="75163539"/>
    <n v="7440327903"/>
    <n v="7515491442"/>
    <n v="248010930"/>
    <n v="0"/>
    <n v="2505451"/>
    <n v="248010930"/>
    <n v="250516381"/>
    <n v="16.311299999999999"/>
    <n v="6.6559400000000002"/>
    <n v="2082.25"/>
    <n v="1304.8599999999999"/>
    <n v="2771"/>
    <n v="402"/>
    <x v="1"/>
  </r>
  <r>
    <s v="istree_exp3_disable_multicounter/step10039.txt"/>
    <x v="1"/>
    <n v="72"/>
    <s v="reclaimer_debra"/>
    <s v="allocator_new"/>
    <s v="pool_none"/>
    <n v="30000"/>
    <n v="0.5"/>
    <n v="0.5"/>
    <n v="0"/>
    <n v="1"/>
    <n v="200000000"/>
    <n v="190"/>
    <n v="190"/>
    <n v="190"/>
    <n v="0"/>
    <s v="insertIfAbsent"/>
    <n v="9999888594507530"/>
    <n v="100006202"/>
    <n v="9999888594507530"/>
    <n v="100006202"/>
    <s v="success"/>
    <n v="7"/>
    <n v="12612890"/>
    <n v="113245661"/>
    <n v="125858551"/>
    <n v="100006202"/>
    <n v="9.9785699999999995"/>
    <n v="0.88309099999999996"/>
    <n v="1.7945899999999999"/>
    <n v="4.0326700000000004"/>
    <n v="2821650400"/>
    <s v="1 9999 344886 3949724 714570"/>
    <s v="1 9999 344885 3949719 714570"/>
    <n v="4164"/>
    <n v="33046"/>
    <n v="117859913897"/>
    <n v="5686435420195"/>
    <n v="5650137014"/>
    <n v="0"/>
    <n v="57068349"/>
    <n v="5650137014"/>
    <n v="5707205363"/>
    <n v="188337900"/>
    <n v="0"/>
    <n v="1902278"/>
    <n v="188337900"/>
    <n v="190240178"/>
    <n v="19.4163"/>
    <n v="9.5708599999999997"/>
    <n v="2721.93"/>
    <n v="1968.61"/>
    <n v="13340"/>
    <n v="1114"/>
    <x v="2"/>
  </r>
  <r>
    <s v="istree_exp3_disable_multicounter/step10040.txt"/>
    <x v="1"/>
    <n v="72"/>
    <s v="reclaimer_debra"/>
    <s v="allocator_new"/>
    <s v="pool_none"/>
    <n v="30000"/>
    <n v="5"/>
    <n v="5"/>
    <n v="0"/>
    <n v="1"/>
    <n v="2000000"/>
    <n v="190"/>
    <n v="190"/>
    <n v="190"/>
    <n v="0"/>
    <s v="insertIfAbsent"/>
    <n v="1001193433563"/>
    <n v="1000892"/>
    <n v="1001193433563"/>
    <n v="1000892"/>
    <s v="success"/>
    <n v="6"/>
    <n v="33079"/>
    <n v="1033019"/>
    <n v="1066098"/>
    <n v="1000892"/>
    <n v="32.2288"/>
    <n v="0.96889999999999998"/>
    <n v="1.9388399999999999"/>
    <n v="3.0000900000000001"/>
    <n v="19174608"/>
    <s v="2833 3440338 1673356 13729353"/>
    <s v="1465 3419600 1666635 13728036"/>
    <n v="8009296"/>
    <n v="50060"/>
    <n v="877288380424"/>
    <n v="5686413499064"/>
    <n v="6584015402"/>
    <n v="0"/>
    <n v="731582908"/>
    <n v="6584015402"/>
    <n v="7315598310"/>
    <n v="219467180"/>
    <n v="0"/>
    <n v="24386096"/>
    <n v="219467180"/>
    <n v="243853277"/>
    <n v="12.352600000000001"/>
    <n v="3.1603500000000002"/>
    <n v="2157.23"/>
    <n v="1313.19"/>
    <n v="1601"/>
    <n v="326"/>
    <x v="3"/>
  </r>
  <r>
    <s v="istree_exp3_disable_multicounter/step10041.txt"/>
    <x v="1"/>
    <n v="72"/>
    <s v="reclaimer_debra"/>
    <s v="allocator_new"/>
    <s v="pool_none"/>
    <n v="30000"/>
    <n v="5"/>
    <n v="5"/>
    <n v="0"/>
    <n v="1"/>
    <n v="20000000"/>
    <n v="190"/>
    <n v="190"/>
    <n v="190"/>
    <n v="0"/>
    <s v="insertIfAbsent"/>
    <n v="100036838523441"/>
    <n v="10001773"/>
    <n v="100036838523441"/>
    <n v="10001773"/>
    <s v="success"/>
    <n v="7"/>
    <n v="1661454"/>
    <n v="11515312"/>
    <n v="13176766"/>
    <n v="10001773"/>
    <n v="7.93086"/>
    <n v="0.86856299999999997"/>
    <n v="1.75905"/>
    <n v="4.0071300000000001"/>
    <n v="317161312"/>
    <s v="187 347990 2936042 73615527 185210"/>
    <s v="110 347929 2934796 73614210 185210"/>
    <n v="842409"/>
    <n v="36086"/>
    <n v="555539708546"/>
    <n v="5686398553082"/>
    <n v="4951469164"/>
    <n v="0"/>
    <n v="550146430"/>
    <n v="4951469164"/>
    <n v="5501615594"/>
    <n v="165048972"/>
    <n v="0"/>
    <n v="18338214"/>
    <n v="165048972"/>
    <n v="183387186"/>
    <n v="19.247299999999999"/>
    <n v="8.5650999999999993"/>
    <n v="2821.86"/>
    <n v="1891.8"/>
    <n v="2873"/>
    <n v="399"/>
    <x v="4"/>
  </r>
  <r>
    <s v="istree_exp3_disable_multicounter/step10042.txt"/>
    <x v="1"/>
    <n v="72"/>
    <s v="reclaimer_debra"/>
    <s v="allocator_new"/>
    <s v="pool_none"/>
    <n v="30000"/>
    <n v="5"/>
    <n v="5"/>
    <n v="0"/>
    <n v="1"/>
    <n v="200000000"/>
    <n v="190"/>
    <n v="190"/>
    <n v="190"/>
    <n v="0"/>
    <s v="insertIfAbsent"/>
    <n v="1.00000763171644E+16"/>
    <n v="99998747"/>
    <n v="1.00000763171644E+16"/>
    <n v="99998747"/>
    <s v="success"/>
    <n v="7"/>
    <n v="14889819"/>
    <n v="118120362"/>
    <n v="133010181"/>
    <n v="99998747"/>
    <n v="8.9329599999999996"/>
    <n v="0.84658299999999997"/>
    <n v="1.7518100000000001"/>
    <n v="4.0810399999999998"/>
    <n v="3085129184"/>
    <s v="11 79994 2762409 32927072 5719089"/>
    <s v="8 79991 2762282 32926997 5719084"/>
    <n v="130652"/>
    <n v="19188"/>
    <n v="567550168973"/>
    <n v="5686569846918"/>
    <n v="3857404846"/>
    <n v="0"/>
    <n v="428606163"/>
    <n v="3857404846"/>
    <n v="4286011009"/>
    <n v="128580161"/>
    <n v="0"/>
    <n v="14286872"/>
    <n v="128580161"/>
    <n v="142867033"/>
    <n v="22.2029"/>
    <n v="11.273899999999999"/>
    <n v="3426.42"/>
    <n v="2550.15"/>
    <n v="14278"/>
    <n v="1043"/>
    <x v="5"/>
  </r>
  <r>
    <s v="istree_exp3_disable_multicounter/step10043.txt"/>
    <x v="1"/>
    <n v="72"/>
    <s v="reclaimer_debra"/>
    <s v="allocator_new"/>
    <s v="pool_none"/>
    <n v="30000"/>
    <n v="20"/>
    <n v="20"/>
    <n v="0"/>
    <n v="1"/>
    <n v="2000000"/>
    <n v="190"/>
    <n v="190"/>
    <n v="190"/>
    <n v="0"/>
    <s v="insertIfAbsent"/>
    <n v="999110031434"/>
    <n v="998768"/>
    <n v="999110031434"/>
    <n v="998768"/>
    <s v="success"/>
    <n v="6"/>
    <n v="54781"/>
    <n v="1074809"/>
    <n v="1129590"/>
    <n v="998768"/>
    <n v="20.620100000000001"/>
    <n v="0.92925199999999997"/>
    <n v="1.88419"/>
    <n v="3.0455999999999999"/>
    <n v="21601760"/>
    <s v="7029 5462139 2650623 21770522"/>
    <s v="2322 5403210 2631577 21766497"/>
    <n v="24554171"/>
    <n v="20956"/>
    <n v="1781223677283"/>
    <n v="5686388345679"/>
    <n v="1740235264"/>
    <n v="0"/>
    <n v="1160190122"/>
    <n v="1740235264"/>
    <n v="2900425386"/>
    <n v="58007842"/>
    <n v="0"/>
    <n v="38673004"/>
    <n v="58007842"/>
    <n v="96680846"/>
    <n v="25.014299999999999"/>
    <n v="11.956899999999999"/>
    <n v="5466.72"/>
    <n v="4160.7299999999996"/>
    <n v="1752"/>
    <n v="234"/>
    <x v="6"/>
  </r>
  <r>
    <s v="istree_exp3_disable_multicounter/step10044.txt"/>
    <x v="1"/>
    <n v="72"/>
    <s v="reclaimer_debra"/>
    <s v="allocator_new"/>
    <s v="pool_none"/>
    <n v="30000"/>
    <n v="20"/>
    <n v="20"/>
    <n v="0"/>
    <n v="1"/>
    <n v="20000000"/>
    <n v="190"/>
    <n v="190"/>
    <n v="190"/>
    <n v="0"/>
    <s v="insertIfAbsent"/>
    <n v="100017107834633"/>
    <n v="9999452"/>
    <n v="100017107834633"/>
    <n v="9999452"/>
    <s v="success"/>
    <n v="7"/>
    <n v="1625825"/>
    <n v="11441866"/>
    <n v="13067691"/>
    <n v="9999452"/>
    <n v="8.0375800000000002"/>
    <n v="0.87393500000000002"/>
    <n v="1.7652000000000001"/>
    <n v="4.0000099999999996"/>
    <n v="313135840"/>
    <s v="856 734051 6192557 155255292 390480"/>
    <s v="232 733803 6187214 155247788 390469"/>
    <n v="2934187"/>
    <n v="22076"/>
    <n v="1163360406731"/>
    <n v="5688170544617"/>
    <n v="1739824642"/>
    <n v="0"/>
    <n v="1159894014"/>
    <n v="1739824642"/>
    <n v="2899718656"/>
    <n v="57994154"/>
    <n v="0"/>
    <n v="38663133"/>
    <n v="57994154"/>
    <n v="96657288"/>
    <n v="28.654399999999999"/>
    <n v="15.313800000000001"/>
    <n v="5304.17"/>
    <n v="3615.74"/>
    <n v="2941"/>
    <n v="423"/>
    <x v="7"/>
  </r>
  <r>
    <s v="istree_exp3_disable_multicounter/step10045.txt"/>
    <x v="1"/>
    <n v="72"/>
    <s v="reclaimer_debra"/>
    <s v="allocator_new"/>
    <s v="pool_none"/>
    <n v="30000"/>
    <n v="20"/>
    <n v="20"/>
    <n v="0"/>
    <n v="1"/>
    <n v="200000000"/>
    <n v="190"/>
    <n v="190"/>
    <n v="190"/>
    <n v="0"/>
    <s v="insertIfAbsent"/>
    <n v="9999324761765420"/>
    <n v="99992642"/>
    <n v="9999324761765420"/>
    <n v="99992642"/>
    <s v="success"/>
    <n v="7"/>
    <n v="12028928"/>
    <n v="112045033"/>
    <n v="124073961"/>
    <n v="99992642"/>
    <n v="10.3146"/>
    <n v="0.89243300000000003"/>
    <n v="1.8059099999999999"/>
    <n v="4.0206499999999998"/>
    <n v="2755328480"/>
    <s v="68 199977 6886473 77744983 13339149"/>
    <s v="20 199955 6885855 77744522 13339117"/>
    <n v="512594"/>
    <n v="12772"/>
    <n v="1135121827884"/>
    <n v="5686949652599"/>
    <n v="1506378113"/>
    <n v="0"/>
    <n v="1004248829"/>
    <n v="1506378113"/>
    <n v="2510626942"/>
    <n v="50212603"/>
    <n v="0"/>
    <n v="33474960"/>
    <n v="50212603"/>
    <n v="83687564"/>
    <n v="31.5078"/>
    <n v="17.622599999999998"/>
    <n v="5674.29"/>
    <n v="4198.3"/>
    <n v="14388"/>
    <n v="1133"/>
    <x v="8"/>
  </r>
  <r>
    <s v="istree_exp3_disable_multicounter/step10046.txt"/>
    <x v="1"/>
    <n v="72"/>
    <s v="reclaimer_debra"/>
    <s v="allocator_new"/>
    <s v="pool_none"/>
    <n v="30000"/>
    <n v="0.5"/>
    <n v="0.5"/>
    <n v="0"/>
    <n v="1"/>
    <n v="2000000"/>
    <n v="190"/>
    <n v="190"/>
    <n v="190"/>
    <n v="0"/>
    <s v="insertIfAbsent"/>
    <n v="999024926746"/>
    <n v="998673"/>
    <n v="999024926746"/>
    <n v="998673"/>
    <s v="success"/>
    <n v="6"/>
    <n v="54634"/>
    <n v="1074625"/>
    <n v="1129259"/>
    <n v="998673"/>
    <n v="20.669499999999999"/>
    <n v="0.92932199999999998"/>
    <n v="1.88436"/>
    <n v="3.0452400000000002"/>
    <n v="21586176"/>
    <s v="295 609658 296478 2437277"/>
    <s v="259 609037 296255 2437230"/>
    <n v="312124"/>
    <n v="89700"/>
    <n v="118331925176"/>
    <n v="5686386379957"/>
    <n v="12855954850"/>
    <n v="0"/>
    <n v="129846220"/>
    <n v="12855954850"/>
    <n v="12985801070"/>
    <n v="428531828"/>
    <n v="0"/>
    <n v="4328207"/>
    <n v="428531828"/>
    <n v="432860035"/>
    <n v="8.6643000000000008"/>
    <n v="0.415742"/>
    <n v="1201.5899999999999"/>
    <n v="459.20600000000002"/>
    <n v="1425"/>
    <n v="439"/>
    <x v="0"/>
  </r>
  <r>
    <s v="istree_exp3_disable_multicounter/step10047.txt"/>
    <x v="1"/>
    <n v="72"/>
    <s v="reclaimer_debra"/>
    <s v="allocator_new"/>
    <s v="pool_none"/>
    <n v="30000"/>
    <n v="0.5"/>
    <n v="0.5"/>
    <n v="0"/>
    <n v="1"/>
    <n v="20000000"/>
    <n v="190"/>
    <n v="190"/>
    <n v="190"/>
    <n v="0"/>
    <s v="insertIfAbsent"/>
    <n v="100017375333092"/>
    <n v="10002346"/>
    <n v="100017375333092"/>
    <n v="10002346"/>
    <s v="success"/>
    <n v="7"/>
    <n v="1716302"/>
    <n v="11626996"/>
    <n v="13343298"/>
    <n v="10002346"/>
    <n v="7.7744499999999999"/>
    <n v="0.86026899999999995"/>
    <n v="1.74962"/>
    <n v="4.0180999999999996"/>
    <n v="323336272"/>
    <s v="16 47445 401336 10052221 25474"/>
    <s v="15 47445 401316 10052188 25474"/>
    <n v="38541"/>
    <n v="45566"/>
    <n v="97865868761"/>
    <n v="5686386909253"/>
    <n v="7465862096"/>
    <n v="0"/>
    <n v="75425349"/>
    <n v="7465862096"/>
    <n v="7541287445"/>
    <n v="248862069"/>
    <n v="0"/>
    <n v="2514178"/>
    <n v="248862069"/>
    <n v="251376248"/>
    <n v="16.392099999999999"/>
    <n v="6.6518600000000001"/>
    <n v="2074.1799999999998"/>
    <n v="1302.5999999999999"/>
    <n v="2771"/>
    <n v="386"/>
    <x v="1"/>
  </r>
  <r>
    <s v="istree_exp3_disable_multicounter/step10048.txt"/>
    <x v="1"/>
    <n v="72"/>
    <s v="reclaimer_debra"/>
    <s v="allocator_new"/>
    <s v="pool_none"/>
    <n v="30000"/>
    <n v="0.5"/>
    <n v="0.5"/>
    <n v="0"/>
    <n v="1"/>
    <n v="200000000"/>
    <n v="190"/>
    <n v="190"/>
    <n v="190"/>
    <n v="0"/>
    <s v="insertIfAbsent"/>
    <n v="1.00004008016568E+16"/>
    <n v="99998589"/>
    <n v="1.00004008016568E+16"/>
    <n v="99998589"/>
    <s v="success"/>
    <n v="7"/>
    <n v="12593131"/>
    <n v="113201041"/>
    <n v="125794172"/>
    <n v="99998589"/>
    <n v="9.9891100000000002"/>
    <n v="0.88337200000000005"/>
    <n v="1.79494"/>
    <n v="4.0322699999999996"/>
    <n v="2819344768"/>
    <s v="1 10000 344375 3947007 712926"/>
    <s v="1 10000 344373 3947005 712926"/>
    <n v="4472"/>
    <n v="32876"/>
    <n v="117444434831"/>
    <n v="5686386559499"/>
    <n v="5641463688"/>
    <n v="0"/>
    <n v="56983148"/>
    <n v="5641463688"/>
    <n v="5698446836"/>
    <n v="188048789"/>
    <n v="0"/>
    <n v="1899438"/>
    <n v="188048789"/>
    <n v="189948227"/>
    <n v="19.508099999999999"/>
    <n v="9.5819799999999997"/>
    <n v="2725.79"/>
    <n v="1969.93"/>
    <n v="13340"/>
    <n v="1059"/>
    <x v="2"/>
  </r>
  <r>
    <s v="istree_exp3_disable_multicounter/step10049.txt"/>
    <x v="1"/>
    <n v="72"/>
    <s v="reclaimer_debra"/>
    <s v="allocator_new"/>
    <s v="pool_none"/>
    <n v="30000"/>
    <n v="5"/>
    <n v="5"/>
    <n v="0"/>
    <n v="1"/>
    <n v="2000000"/>
    <n v="190"/>
    <n v="190"/>
    <n v="190"/>
    <n v="0"/>
    <s v="insertIfAbsent"/>
    <n v="998923030868"/>
    <n v="998936"/>
    <n v="998923030868"/>
    <n v="998936"/>
    <s v="success"/>
    <n v="6"/>
    <n v="55088"/>
    <n v="1076040"/>
    <n v="1131128"/>
    <n v="998936"/>
    <n v="20.533100000000001"/>
    <n v="0.92834499999999998"/>
    <n v="1.88313"/>
    <n v="3.0462699999999998"/>
    <n v="21646464"/>
    <s v="2773 3446874 1674211 13763112"/>
    <s v="1467 3425903 1667454 13761770"/>
    <n v="8053467"/>
    <n v="49836"/>
    <n v="880568791690"/>
    <n v="5686387369666"/>
    <n v="6597014740"/>
    <n v="0"/>
    <n v="733007565"/>
    <n v="6597014740"/>
    <n v="7330022305"/>
    <n v="219900491"/>
    <n v="0"/>
    <n v="24433585"/>
    <n v="219900491"/>
    <n v="244334076"/>
    <n v="12.371"/>
    <n v="3.1550099999999999"/>
    <n v="2152.02"/>
    <n v="1315.16"/>
    <n v="1610"/>
    <n v="365"/>
    <x v="3"/>
  </r>
  <r>
    <s v="istree_exp3_disable_multicounter/step10050.txt"/>
    <x v="1"/>
    <n v="72"/>
    <s v="reclaimer_debra"/>
    <s v="allocator_new"/>
    <s v="pool_none"/>
    <n v="30000"/>
    <n v="5"/>
    <n v="5"/>
    <n v="0"/>
    <n v="1"/>
    <n v="20000000"/>
    <n v="190"/>
    <n v="190"/>
    <n v="190"/>
    <n v="0"/>
    <s v="insertIfAbsent"/>
    <n v="99977721159029"/>
    <n v="9998583"/>
    <n v="99977721159029"/>
    <n v="9998583"/>
    <s v="success"/>
    <n v="7"/>
    <n v="1792939"/>
    <n v="11787550"/>
    <n v="13580489"/>
    <n v="9998583"/>
    <n v="7.5744300000000004"/>
    <n v="0.84823199999999999"/>
    <n v="1.7362500000000001"/>
    <n v="4.0342799999999999"/>
    <n v="332039760"/>
    <s v="201 347987 2935006 73552690 184636"/>
    <s v="109 347912 2933828 73551382 184632"/>
    <n v="838387"/>
    <n v="36092"/>
    <n v="552140945817"/>
    <n v="5686386711750"/>
    <n v="4945860864"/>
    <n v="0"/>
    <n v="549566970"/>
    <n v="4945860864"/>
    <n v="5495427834"/>
    <n v="164862028"/>
    <n v="0"/>
    <n v="18318899"/>
    <n v="164862028"/>
    <n v="183180927"/>
    <n v="19.2407"/>
    <n v="8.5551700000000004"/>
    <n v="2827.34"/>
    <n v="1893.51"/>
    <n v="2870"/>
    <n v="443"/>
    <x v="4"/>
  </r>
  <r>
    <s v="istree_exp3_disable_multicounter/step10051.txt"/>
    <x v="1"/>
    <n v="72"/>
    <s v="reclaimer_debra"/>
    <s v="allocator_new"/>
    <s v="pool_none"/>
    <n v="30000"/>
    <n v="5"/>
    <n v="5"/>
    <n v="0"/>
    <n v="1"/>
    <n v="200000000"/>
    <n v="190"/>
    <n v="190"/>
    <n v="190"/>
    <n v="0"/>
    <s v="insertIfAbsent"/>
    <n v="1.00001089189206E+16"/>
    <n v="100003262"/>
    <n v="1.00001089189206E+16"/>
    <n v="100003262"/>
    <s v="success"/>
    <n v="7"/>
    <n v="14846813"/>
    <n v="118018787"/>
    <n v="132865600"/>
    <n v="100003262"/>
    <n v="8.9490999999999996"/>
    <n v="0.84735000000000005"/>
    <n v="1.7526600000000001"/>
    <n v="4.0800999999999998"/>
    <n v="3079915344"/>
    <s v="10 79979 2756360 32763462 5702860"/>
    <s v="8 79974 2756235 32763371 5702846"/>
    <n v="131493"/>
    <n v="19106"/>
    <n v="570926884296"/>
    <n v="5686587056308"/>
    <n v="3845622441"/>
    <n v="0"/>
    <n v="427317711"/>
    <n v="3845622441"/>
    <n v="4272940152"/>
    <n v="128187414"/>
    <n v="0"/>
    <n v="14243923"/>
    <n v="128187414"/>
    <n v="142431338"/>
    <n v="22.206"/>
    <n v="11.2841"/>
    <n v="3436.22"/>
    <n v="2552.17"/>
    <n v="14269"/>
    <n v="1163"/>
    <x v="5"/>
  </r>
  <r>
    <s v="istree_exp3_disable_multicounter/step10052.txt"/>
    <x v="1"/>
    <n v="72"/>
    <s v="reclaimer_debra"/>
    <s v="allocator_new"/>
    <s v="pool_none"/>
    <n v="30000"/>
    <n v="20"/>
    <n v="20"/>
    <n v="0"/>
    <n v="1"/>
    <n v="2000000"/>
    <n v="190"/>
    <n v="190"/>
    <n v="190"/>
    <n v="0"/>
    <s v="insertIfAbsent"/>
    <n v="999629101112"/>
    <n v="1000014"/>
    <n v="999629101112"/>
    <n v="1000014"/>
    <s v="success"/>
    <n v="6"/>
    <n v="49043"/>
    <n v="1064271"/>
    <n v="1113314"/>
    <n v="1000014"/>
    <n v="22.700800000000001"/>
    <n v="0.93962299999999999"/>
    <n v="1.8982300000000001"/>
    <n v="3.03288"/>
    <n v="20959984"/>
    <s v="7104 5481135 2659655 21855328"/>
    <s v="2331 5422059 2640281 21851252"/>
    <n v="24790846"/>
    <n v="21010"/>
    <n v="1790532704091"/>
    <n v="5686386919518"/>
    <n v="1746199504"/>
    <n v="0"/>
    <n v="1164119552"/>
    <n v="1746199504"/>
    <n v="2910319056"/>
    <n v="58206650"/>
    <n v="0"/>
    <n v="38803985"/>
    <n v="58206650"/>
    <n v="97010635"/>
    <n v="25.026299999999999"/>
    <n v="11.9655"/>
    <n v="5449.01"/>
    <n v="4149.25"/>
    <n v="1755"/>
    <n v="349"/>
    <x v="6"/>
  </r>
  <r>
    <s v="istree_exp3_disable_multicounter/step10053.txt"/>
    <x v="1"/>
    <n v="72"/>
    <s v="reclaimer_debra"/>
    <s v="allocator_new"/>
    <s v="pool_none"/>
    <n v="30000"/>
    <n v="20"/>
    <n v="20"/>
    <n v="0"/>
    <n v="1"/>
    <n v="20000000"/>
    <n v="190"/>
    <n v="190"/>
    <n v="190"/>
    <n v="0"/>
    <s v="insertIfAbsent"/>
    <n v="100000772885432"/>
    <n v="10001193"/>
    <n v="100000772885432"/>
    <n v="10001193"/>
    <s v="success"/>
    <n v="7"/>
    <n v="1901518"/>
    <n v="12023926"/>
    <n v="13925444"/>
    <n v="10001193"/>
    <n v="7.3233300000000003"/>
    <n v="0.83177400000000001"/>
    <n v="1.7181999999999999"/>
    <n v="4.0551000000000004"/>
    <n v="344537968"/>
    <s v="804 734098 6189763 155657008 390612"/>
    <s v="232 733838 6184421 155649514 390602"/>
    <n v="2961810"/>
    <n v="22142"/>
    <n v="1163580053927"/>
    <n v="5686388705113"/>
    <n v="1744035020"/>
    <n v="0"/>
    <n v="1162706858"/>
    <n v="1744035020"/>
    <n v="2906741878"/>
    <n v="58134500"/>
    <n v="0"/>
    <n v="38756895"/>
    <n v="58134500"/>
    <n v="96891395"/>
    <n v="28.6082"/>
    <n v="15.304600000000001"/>
    <n v="5287.49"/>
    <n v="3609.25"/>
    <n v="2938"/>
    <n v="433"/>
    <x v="7"/>
  </r>
  <r>
    <s v="istree_exp3_disable_multicounter/step10054.txt"/>
    <x v="1"/>
    <n v="72"/>
    <s v="reclaimer_debra"/>
    <s v="allocator_new"/>
    <s v="pool_none"/>
    <n v="30000"/>
    <n v="20"/>
    <n v="20"/>
    <n v="0"/>
    <n v="1"/>
    <n v="200000000"/>
    <n v="190"/>
    <n v="190"/>
    <n v="190"/>
    <n v="0"/>
    <s v="insertIfAbsent"/>
    <n v="9999667285613670"/>
    <n v="99996202"/>
    <n v="9999667285613670"/>
    <n v="99996202"/>
    <s v="success"/>
    <n v="7"/>
    <n v="11152663"/>
    <n v="110281723"/>
    <n v="121434386"/>
    <n v="99996202"/>
    <n v="10.888400000000001"/>
    <n v="0.90673400000000004"/>
    <n v="1.8234600000000001"/>
    <n v="4.0028600000000001"/>
    <n v="2656727136"/>
    <s v="72 199965 6884161 77736616 13316879"/>
    <s v="20 199940 6883530 77736118 13316857"/>
    <n v="513394"/>
    <n v="12820"/>
    <n v="1150559081042"/>
    <n v="5689744721127"/>
    <n v="1500850158"/>
    <n v="0"/>
    <n v="1000531533"/>
    <n v="1500850158"/>
    <n v="2501381691"/>
    <n v="50028338"/>
    <n v="0"/>
    <n v="33351051"/>
    <n v="50028338"/>
    <n v="83379389"/>
    <n v="31.558399999999999"/>
    <n v="17.658899999999999"/>
    <n v="5688.15"/>
    <n v="4206.2299999999996"/>
    <n v="14405"/>
    <n v="1093"/>
    <x v="8"/>
  </r>
  <r>
    <m/>
    <x v="2"/>
    <m/>
    <m/>
    <m/>
    <m/>
    <m/>
    <m/>
    <m/>
    <m/>
    <m/>
    <m/>
    <m/>
    <m/>
    <m/>
    <m/>
    <m/>
    <m/>
    <m/>
    <m/>
    <m/>
    <m/>
    <m/>
    <m/>
    <m/>
    <m/>
    <m/>
    <m/>
    <m/>
    <m/>
    <m/>
    <m/>
    <m/>
    <m/>
    <m/>
    <m/>
    <m/>
    <m/>
    <m/>
    <m/>
    <m/>
    <m/>
    <m/>
    <m/>
    <m/>
    <m/>
    <m/>
    <m/>
    <m/>
    <m/>
    <m/>
    <m/>
    <m/>
    <m/>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C14" firstHeaderRow="1" firstDataRow="2" firstDataCol="1"/>
  <pivotFields count="55">
    <pivotField showAll="0" defaultSubtotal="0"/>
    <pivotField axis="axisCol" showAll="0" defaultSubtotal="0">
      <items count="4">
        <item h="1" x="2"/>
        <item x="0"/>
        <item x="1"/>
        <item h="1" m="1"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47">
        <item x="9"/>
        <item m="1" x="33"/>
        <item x="8"/>
        <item x="7"/>
        <item x="6"/>
        <item m="1" x="46"/>
        <item m="1" x="36"/>
        <item m="1" x="16"/>
        <item m="1" x="24"/>
        <item m="1" x="45"/>
        <item m="1" x="35"/>
        <item m="1" x="28"/>
        <item m="1" x="23"/>
        <item m="1" x="15"/>
        <item x="5"/>
        <item x="4"/>
        <item x="3"/>
        <item m="1" x="42"/>
        <item m="1" x="31"/>
        <item m="1" x="13"/>
        <item m="1" x="19"/>
        <item m="1" x="41"/>
        <item m="1" x="30"/>
        <item m="1" x="26"/>
        <item m="1" x="18"/>
        <item m="1" x="11"/>
        <item x="2"/>
        <item x="1"/>
        <item x="0"/>
        <item m="1" x="40"/>
        <item m="1" x="14"/>
        <item m="1" x="34"/>
        <item m="1" x="43"/>
        <item m="1" x="21"/>
        <item m="1" x="38"/>
        <item m="1" x="20"/>
        <item m="1" x="44"/>
        <item m="1" x="32"/>
        <item m="1" x="37"/>
        <item m="1" x="27"/>
        <item m="1" x="22"/>
        <item m="1" x="25"/>
        <item m="1" x="17"/>
        <item m="1" x="10"/>
        <item m="1" x="29"/>
        <item m="1" x="12"/>
        <item m="1" x="39"/>
      </items>
    </pivotField>
  </pivotFields>
  <rowFields count="1">
    <field x="54"/>
  </rowFields>
  <rowItems count="9">
    <i>
      <x v="2"/>
    </i>
    <i>
      <x v="3"/>
    </i>
    <i>
      <x v="4"/>
    </i>
    <i>
      <x v="14"/>
    </i>
    <i>
      <x v="15"/>
    </i>
    <i>
      <x v="16"/>
    </i>
    <i>
      <x v="26"/>
    </i>
    <i>
      <x v="27"/>
    </i>
    <i>
      <x v="28"/>
    </i>
  </rowItems>
  <colFields count="1">
    <field x="1"/>
  </colFields>
  <colItems count="2">
    <i>
      <x v="1"/>
    </i>
    <i>
      <x v="2"/>
    </i>
  </colItems>
  <dataFields count="1">
    <dataField name="Average of total_throughput" fld="47" subtotal="average" baseField="13" baseItem="0" numFmtId="1"/>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6" growShrinkType="overwriteClear" connectionId="5"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7"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17" growShrinkType="overwriteClear" connectionId="6"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15" growShrinkType="overwriteClear" connectionId="4"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109"/>
  <sheetViews>
    <sheetView workbookViewId="0"/>
  </sheetViews>
  <sheetFormatPr defaultRowHeight="14.6"/>
  <cols>
    <col min="1" max="1" width="41.61328125" bestFit="1" customWidth="1"/>
    <col min="2" max="2" width="22.8437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9.84375"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9.84375"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6.69140625" customWidth="1"/>
    <col min="34" max="34" width="42.3046875" customWidth="1"/>
    <col min="35" max="35" width="26.15234375" customWidth="1"/>
    <col min="36" max="36" width="35.765625" customWidth="1"/>
    <col min="37" max="37" width="29.61328125" customWidth="1"/>
    <col min="38" max="38" width="23.4609375" customWidth="1"/>
    <col min="39" max="39" width="11.84375" customWidth="1"/>
    <col min="40" max="40" width="7.4609375" customWidth="1"/>
    <col min="41" max="41" width="12.3046875" customWidth="1"/>
    <col min="42" max="43" width="11.84375"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49" width="12.15234375" customWidth="1"/>
    <col min="50"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5">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67</v>
      </c>
      <c r="S1" t="s">
        <v>68</v>
      </c>
      <c r="T1" t="s">
        <v>46</v>
      </c>
      <c r="U1" t="s">
        <v>69</v>
      </c>
      <c r="V1" t="s">
        <v>70</v>
      </c>
      <c r="W1" t="s">
        <v>37</v>
      </c>
      <c r="X1" t="s">
        <v>38</v>
      </c>
      <c r="Y1" t="s">
        <v>39</v>
      </c>
      <c r="Z1" t="s">
        <v>40</v>
      </c>
      <c r="AA1" t="s">
        <v>41</v>
      </c>
      <c r="AB1" t="s">
        <v>42</v>
      </c>
      <c r="AC1" t="s">
        <v>43</v>
      </c>
      <c r="AD1" t="s">
        <v>44</v>
      </c>
      <c r="AE1" t="s">
        <v>45</v>
      </c>
      <c r="AF1" t="s">
        <v>74</v>
      </c>
      <c r="AG1" t="s">
        <v>75</v>
      </c>
      <c r="AH1" t="s">
        <v>76</v>
      </c>
      <c r="AI1" t="s">
        <v>77</v>
      </c>
      <c r="AJ1" t="s">
        <v>78</v>
      </c>
      <c r="AK1" t="s">
        <v>79</v>
      </c>
      <c r="AL1" t="s">
        <v>80</v>
      </c>
      <c r="AM1" t="s">
        <v>47</v>
      </c>
      <c r="AN1" t="s">
        <v>48</v>
      </c>
      <c r="AO1" t="s">
        <v>49</v>
      </c>
      <c r="AP1" t="s">
        <v>50</v>
      </c>
      <c r="AQ1" t="s">
        <v>51</v>
      </c>
      <c r="AR1" t="s">
        <v>52</v>
      </c>
      <c r="AS1" t="s">
        <v>53</v>
      </c>
      <c r="AT1" t="s">
        <v>54</v>
      </c>
      <c r="AU1" t="s">
        <v>55</v>
      </c>
      <c r="AV1" t="s">
        <v>56</v>
      </c>
      <c r="AW1" t="s">
        <v>57</v>
      </c>
      <c r="AX1" t="s">
        <v>58</v>
      </c>
      <c r="AY1" t="s">
        <v>59</v>
      </c>
      <c r="AZ1" t="s">
        <v>81</v>
      </c>
      <c r="BA1" t="s">
        <v>72</v>
      </c>
      <c r="BB1" t="s">
        <v>73</v>
      </c>
      <c r="BC1" t="s">
        <v>65</v>
      </c>
    </row>
    <row r="2" spans="1:55">
      <c r="A2" t="s">
        <v>93</v>
      </c>
      <c r="B2" t="s">
        <v>82</v>
      </c>
      <c r="C2">
        <v>64</v>
      </c>
      <c r="D2" t="s">
        <v>64</v>
      </c>
      <c r="E2" t="s">
        <v>60</v>
      </c>
      <c r="F2" t="s">
        <v>61</v>
      </c>
      <c r="G2">
        <v>30000</v>
      </c>
      <c r="H2">
        <v>0.5</v>
      </c>
      <c r="I2">
        <v>0.5</v>
      </c>
      <c r="J2">
        <v>0</v>
      </c>
      <c r="K2">
        <v>1</v>
      </c>
      <c r="L2">
        <v>2000000</v>
      </c>
      <c r="M2">
        <v>190</v>
      </c>
      <c r="N2">
        <v>190</v>
      </c>
      <c r="O2">
        <v>190</v>
      </c>
      <c r="P2">
        <v>0</v>
      </c>
      <c r="Q2" t="s">
        <v>62</v>
      </c>
      <c r="R2">
        <v>999423455868</v>
      </c>
      <c r="S2">
        <v>999159</v>
      </c>
      <c r="T2">
        <v>999423455868</v>
      </c>
      <c r="U2">
        <v>999159</v>
      </c>
      <c r="V2" t="s">
        <v>71</v>
      </c>
      <c r="W2">
        <v>6</v>
      </c>
      <c r="X2">
        <v>84148</v>
      </c>
      <c r="Y2">
        <v>1138114</v>
      </c>
      <c r="Z2">
        <v>1222262</v>
      </c>
      <c r="AA2">
        <v>999159</v>
      </c>
      <c r="AB2">
        <v>14.5251</v>
      </c>
      <c r="AC2">
        <v>0.87790800000000002</v>
      </c>
      <c r="AD2">
        <v>1.8174699999999999</v>
      </c>
      <c r="AE2">
        <v>3.11205</v>
      </c>
      <c r="AF2">
        <v>24373664</v>
      </c>
      <c r="AG2" t="s">
        <v>94</v>
      </c>
      <c r="AH2" t="s">
        <v>95</v>
      </c>
      <c r="AI2">
        <v>67822</v>
      </c>
      <c r="AJ2">
        <v>30888</v>
      </c>
      <c r="AK2">
        <v>34252232772</v>
      </c>
      <c r="AL2">
        <v>5686392595648</v>
      </c>
      <c r="AM2">
        <v>4834205910</v>
      </c>
      <c r="AN2">
        <v>0</v>
      </c>
      <c r="AO2">
        <v>48824498</v>
      </c>
      <c r="AP2">
        <v>4834205910</v>
      </c>
      <c r="AQ2">
        <v>4883030408</v>
      </c>
      <c r="AR2">
        <v>161140197</v>
      </c>
      <c r="AS2">
        <v>0</v>
      </c>
      <c r="AT2">
        <v>1627483</v>
      </c>
      <c r="AU2">
        <v>161140197</v>
      </c>
      <c r="AV2">
        <v>162767680</v>
      </c>
      <c r="AW2">
        <v>11.159800000000001</v>
      </c>
      <c r="AX2">
        <v>0.61218600000000001</v>
      </c>
      <c r="AY2">
        <v>3252.67</v>
      </c>
      <c r="AZ2">
        <v>2507.69</v>
      </c>
      <c r="BA2">
        <v>1279</v>
      </c>
      <c r="BB2">
        <v>377</v>
      </c>
      <c r="BC2" t="str">
        <f>"u="&amp;(H2+I2)&amp;"% k=2x10^"&amp;LOG10(L2/2)</f>
        <v>u=1% k=2x10^6</v>
      </c>
    </row>
    <row r="3" spans="1:55">
      <c r="A3" t="s">
        <v>96</v>
      </c>
      <c r="B3" t="s">
        <v>82</v>
      </c>
      <c r="C3">
        <v>64</v>
      </c>
      <c r="D3" t="s">
        <v>64</v>
      </c>
      <c r="E3" t="s">
        <v>60</v>
      </c>
      <c r="F3" t="s">
        <v>61</v>
      </c>
      <c r="G3">
        <v>30000</v>
      </c>
      <c r="H3">
        <v>0.5</v>
      </c>
      <c r="I3">
        <v>0.5</v>
      </c>
      <c r="J3">
        <v>0</v>
      </c>
      <c r="K3">
        <v>1</v>
      </c>
      <c r="L3">
        <v>20000000</v>
      </c>
      <c r="M3">
        <v>190</v>
      </c>
      <c r="N3">
        <v>190</v>
      </c>
      <c r="O3">
        <v>190</v>
      </c>
      <c r="P3">
        <v>0</v>
      </c>
      <c r="Q3" t="s">
        <v>62</v>
      </c>
      <c r="R3">
        <v>100021708617929</v>
      </c>
      <c r="S3">
        <v>10001766</v>
      </c>
      <c r="T3">
        <v>100021708617929</v>
      </c>
      <c r="U3">
        <v>10001766</v>
      </c>
      <c r="V3" t="s">
        <v>71</v>
      </c>
      <c r="W3">
        <v>7</v>
      </c>
      <c r="X3">
        <v>1893013</v>
      </c>
      <c r="Y3">
        <v>12001275</v>
      </c>
      <c r="Z3">
        <v>13894288</v>
      </c>
      <c r="AA3">
        <v>10001766</v>
      </c>
      <c r="AB3">
        <v>7.3397699999999997</v>
      </c>
      <c r="AC3">
        <v>0.83339200000000002</v>
      </c>
      <c r="AD3">
        <v>1.7198500000000001</v>
      </c>
      <c r="AE3">
        <v>4.0535399999999999</v>
      </c>
      <c r="AF3">
        <v>328338424</v>
      </c>
      <c r="AG3" t="s">
        <v>97</v>
      </c>
      <c r="AH3" t="s">
        <v>98</v>
      </c>
      <c r="AI3">
        <v>14473</v>
      </c>
      <c r="AJ3">
        <v>24912</v>
      </c>
      <c r="AK3">
        <v>62655570256</v>
      </c>
      <c r="AL3">
        <v>5686392808194</v>
      </c>
      <c r="AM3">
        <v>4184848030</v>
      </c>
      <c r="AN3">
        <v>0</v>
      </c>
      <c r="AO3">
        <v>42262074</v>
      </c>
      <c r="AP3">
        <v>4184848030</v>
      </c>
      <c r="AQ3">
        <v>4227110104</v>
      </c>
      <c r="AR3">
        <v>139494934</v>
      </c>
      <c r="AS3">
        <v>0</v>
      </c>
      <c r="AT3">
        <v>1408735</v>
      </c>
      <c r="AU3">
        <v>139494934</v>
      </c>
      <c r="AV3">
        <v>140903670</v>
      </c>
      <c r="AW3">
        <v>16.911799999999999</v>
      </c>
      <c r="AX3">
        <v>6.6779700000000002</v>
      </c>
      <c r="AY3">
        <v>3728.42</v>
      </c>
      <c r="AZ3">
        <v>2955.14</v>
      </c>
      <c r="BA3">
        <v>2476</v>
      </c>
      <c r="BB3">
        <v>380</v>
      </c>
      <c r="BC3" t="str">
        <f t="shared" ref="BC3:BC66" si="0">"u="&amp;(H3+I3)&amp;"% k=2x10^"&amp;LOG10(L3/2)</f>
        <v>u=1% k=2x10^7</v>
      </c>
    </row>
    <row r="4" spans="1:55">
      <c r="A4" t="s">
        <v>99</v>
      </c>
      <c r="B4" t="s">
        <v>82</v>
      </c>
      <c r="C4">
        <v>64</v>
      </c>
      <c r="D4" t="s">
        <v>64</v>
      </c>
      <c r="E4" t="s">
        <v>60</v>
      </c>
      <c r="F4" t="s">
        <v>61</v>
      </c>
      <c r="G4">
        <v>30000</v>
      </c>
      <c r="H4">
        <v>0.5</v>
      </c>
      <c r="I4">
        <v>0.5</v>
      </c>
      <c r="J4">
        <v>0</v>
      </c>
      <c r="K4">
        <v>1</v>
      </c>
      <c r="L4">
        <v>200000000</v>
      </c>
      <c r="M4">
        <v>190</v>
      </c>
      <c r="N4">
        <v>190</v>
      </c>
      <c r="O4">
        <v>190</v>
      </c>
      <c r="P4">
        <v>0</v>
      </c>
      <c r="Q4" t="s">
        <v>62</v>
      </c>
      <c r="R4">
        <v>1.00005000419346E+16</v>
      </c>
      <c r="S4">
        <v>100002820</v>
      </c>
      <c r="T4">
        <v>1.00005000419346E+16</v>
      </c>
      <c r="U4">
        <v>100002820</v>
      </c>
      <c r="V4" t="s">
        <v>71</v>
      </c>
      <c r="W4">
        <v>7</v>
      </c>
      <c r="X4">
        <v>14750465</v>
      </c>
      <c r="Y4">
        <v>117844811</v>
      </c>
      <c r="Z4">
        <v>132595276</v>
      </c>
      <c r="AA4">
        <v>100002820</v>
      </c>
      <c r="AB4">
        <v>8.9892299999999992</v>
      </c>
      <c r="AC4">
        <v>0.84859799999999996</v>
      </c>
      <c r="AD4">
        <v>1.7542</v>
      </c>
      <c r="AE4">
        <v>4.0766799999999996</v>
      </c>
      <c r="AF4">
        <v>2951749704</v>
      </c>
      <c r="AG4" t="s">
        <v>100</v>
      </c>
      <c r="AH4" t="s">
        <v>100</v>
      </c>
      <c r="AI4">
        <v>5</v>
      </c>
      <c r="AJ4">
        <v>23616</v>
      </c>
      <c r="AK4">
        <v>11688007297</v>
      </c>
      <c r="AL4">
        <v>5686391113086</v>
      </c>
      <c r="AM4">
        <v>3921844687</v>
      </c>
      <c r="AN4">
        <v>0</v>
      </c>
      <c r="AO4">
        <v>39619332</v>
      </c>
      <c r="AP4">
        <v>3921844687</v>
      </c>
      <c r="AQ4">
        <v>3961464019</v>
      </c>
      <c r="AR4">
        <v>130728156</v>
      </c>
      <c r="AS4">
        <v>0</v>
      </c>
      <c r="AT4">
        <v>1320644</v>
      </c>
      <c r="AU4">
        <v>130728156</v>
      </c>
      <c r="AV4">
        <v>132048800</v>
      </c>
      <c r="AW4">
        <v>19.6403</v>
      </c>
      <c r="AX4">
        <v>9.5084900000000001</v>
      </c>
      <c r="AY4">
        <v>4006.01</v>
      </c>
      <c r="AZ4">
        <v>3252.1</v>
      </c>
      <c r="BA4">
        <v>8007</v>
      </c>
      <c r="BB4">
        <v>1027</v>
      </c>
      <c r="BC4" t="str">
        <f t="shared" si="0"/>
        <v>u=1% k=2x10^8</v>
      </c>
    </row>
    <row r="5" spans="1:55">
      <c r="A5" t="s">
        <v>101</v>
      </c>
      <c r="B5" t="s">
        <v>82</v>
      </c>
      <c r="C5">
        <v>64</v>
      </c>
      <c r="D5" t="s">
        <v>64</v>
      </c>
      <c r="E5" t="s">
        <v>60</v>
      </c>
      <c r="F5" t="s">
        <v>61</v>
      </c>
      <c r="G5">
        <v>30000</v>
      </c>
      <c r="H5">
        <v>5</v>
      </c>
      <c r="I5">
        <v>5</v>
      </c>
      <c r="J5">
        <v>0</v>
      </c>
      <c r="K5">
        <v>1</v>
      </c>
      <c r="L5">
        <v>2000000</v>
      </c>
      <c r="M5">
        <v>190</v>
      </c>
      <c r="N5">
        <v>190</v>
      </c>
      <c r="O5">
        <v>190</v>
      </c>
      <c r="P5">
        <v>0</v>
      </c>
      <c r="Q5" t="s">
        <v>62</v>
      </c>
      <c r="R5">
        <v>1001043225151</v>
      </c>
      <c r="S5">
        <v>1001028</v>
      </c>
      <c r="T5">
        <v>1001043225151</v>
      </c>
      <c r="U5">
        <v>1001028</v>
      </c>
      <c r="V5" t="s">
        <v>71</v>
      </c>
      <c r="W5">
        <v>6</v>
      </c>
      <c r="X5">
        <v>83763</v>
      </c>
      <c r="Y5">
        <v>1139521</v>
      </c>
      <c r="Z5">
        <v>1223284</v>
      </c>
      <c r="AA5">
        <v>1001028</v>
      </c>
      <c r="AB5">
        <v>14.604100000000001</v>
      </c>
      <c r="AC5">
        <v>0.87846400000000002</v>
      </c>
      <c r="AD5">
        <v>1.8183100000000001</v>
      </c>
      <c r="AE5">
        <v>3.11117</v>
      </c>
      <c r="AF5">
        <v>24371272</v>
      </c>
      <c r="AG5" t="s">
        <v>102</v>
      </c>
      <c r="AH5" t="s">
        <v>103</v>
      </c>
      <c r="AI5">
        <v>206899</v>
      </c>
      <c r="AJ5">
        <v>7666</v>
      </c>
      <c r="AK5">
        <v>96296208496</v>
      </c>
      <c r="AL5">
        <v>5686393374679</v>
      </c>
      <c r="AM5">
        <v>998315951</v>
      </c>
      <c r="AN5">
        <v>0</v>
      </c>
      <c r="AO5">
        <v>110918301</v>
      </c>
      <c r="AP5">
        <v>998315951</v>
      </c>
      <c r="AQ5">
        <v>1109234252</v>
      </c>
      <c r="AR5">
        <v>33277198</v>
      </c>
      <c r="AS5">
        <v>0</v>
      </c>
      <c r="AT5">
        <v>3697276</v>
      </c>
      <c r="AU5">
        <v>33277198</v>
      </c>
      <c r="AV5">
        <v>36974475</v>
      </c>
      <c r="AW5">
        <v>17.6144</v>
      </c>
      <c r="AX5">
        <v>4.06271</v>
      </c>
      <c r="AY5">
        <v>14315.7</v>
      </c>
      <c r="AZ5">
        <v>13353.9</v>
      </c>
      <c r="BA5">
        <v>1303</v>
      </c>
      <c r="BB5">
        <v>327</v>
      </c>
      <c r="BC5" t="str">
        <f t="shared" si="0"/>
        <v>u=10% k=2x10^6</v>
      </c>
    </row>
    <row r="6" spans="1:55">
      <c r="A6" t="s">
        <v>104</v>
      </c>
      <c r="B6" t="s">
        <v>82</v>
      </c>
      <c r="C6">
        <v>64</v>
      </c>
      <c r="D6" t="s">
        <v>64</v>
      </c>
      <c r="E6" t="s">
        <v>60</v>
      </c>
      <c r="F6" t="s">
        <v>61</v>
      </c>
      <c r="G6">
        <v>30000</v>
      </c>
      <c r="H6">
        <v>5</v>
      </c>
      <c r="I6">
        <v>5</v>
      </c>
      <c r="J6">
        <v>0</v>
      </c>
      <c r="K6">
        <v>1</v>
      </c>
      <c r="L6">
        <v>20000000</v>
      </c>
      <c r="M6">
        <v>190</v>
      </c>
      <c r="N6">
        <v>190</v>
      </c>
      <c r="O6">
        <v>190</v>
      </c>
      <c r="P6">
        <v>0</v>
      </c>
      <c r="Q6" t="s">
        <v>62</v>
      </c>
      <c r="R6">
        <v>100027429777145</v>
      </c>
      <c r="S6">
        <v>10002033</v>
      </c>
      <c r="T6">
        <v>100027429777145</v>
      </c>
      <c r="U6">
        <v>10002033</v>
      </c>
      <c r="V6" t="s">
        <v>71</v>
      </c>
      <c r="W6">
        <v>7</v>
      </c>
      <c r="X6">
        <v>1902447</v>
      </c>
      <c r="Y6">
        <v>12033422</v>
      </c>
      <c r="Z6">
        <v>13935869</v>
      </c>
      <c r="AA6">
        <v>10002033</v>
      </c>
      <c r="AB6">
        <v>7.3252300000000004</v>
      </c>
      <c r="AC6">
        <v>0.83118800000000004</v>
      </c>
      <c r="AD6">
        <v>1.7177199999999999</v>
      </c>
      <c r="AE6">
        <v>4.0548099999999998</v>
      </c>
      <c r="AF6">
        <v>329555384</v>
      </c>
      <c r="AG6" t="s">
        <v>105</v>
      </c>
      <c r="AH6" t="s">
        <v>106</v>
      </c>
      <c r="AI6">
        <v>57600</v>
      </c>
      <c r="AJ6">
        <v>7840</v>
      </c>
      <c r="AK6">
        <v>151135634560</v>
      </c>
      <c r="AL6">
        <v>5686393576671</v>
      </c>
      <c r="AM6">
        <v>1020550049</v>
      </c>
      <c r="AN6">
        <v>0</v>
      </c>
      <c r="AO6">
        <v>113393316</v>
      </c>
      <c r="AP6">
        <v>1020550049</v>
      </c>
      <c r="AQ6">
        <v>1133943365</v>
      </c>
      <c r="AR6">
        <v>34018334</v>
      </c>
      <c r="AS6">
        <v>0</v>
      </c>
      <c r="AT6">
        <v>3779777</v>
      </c>
      <c r="AU6">
        <v>34018334</v>
      </c>
      <c r="AV6">
        <v>37798112</v>
      </c>
      <c r="AW6">
        <v>22.284400000000002</v>
      </c>
      <c r="AX6">
        <v>9.3474299999999992</v>
      </c>
      <c r="AY6">
        <v>13856.8</v>
      </c>
      <c r="AZ6">
        <v>12845.8</v>
      </c>
      <c r="BA6">
        <v>2553</v>
      </c>
      <c r="BB6">
        <v>358</v>
      </c>
      <c r="BC6" t="str">
        <f t="shared" si="0"/>
        <v>u=10% k=2x10^7</v>
      </c>
    </row>
    <row r="7" spans="1:55">
      <c r="A7" t="s">
        <v>107</v>
      </c>
      <c r="B7" t="s">
        <v>82</v>
      </c>
      <c r="C7">
        <v>64</v>
      </c>
      <c r="D7" t="s">
        <v>64</v>
      </c>
      <c r="E7" t="s">
        <v>60</v>
      </c>
      <c r="F7" t="s">
        <v>61</v>
      </c>
      <c r="G7">
        <v>30000</v>
      </c>
      <c r="H7">
        <v>5</v>
      </c>
      <c r="I7">
        <v>5</v>
      </c>
      <c r="J7">
        <v>0</v>
      </c>
      <c r="K7">
        <v>1</v>
      </c>
      <c r="L7">
        <v>200000000</v>
      </c>
      <c r="M7">
        <v>190</v>
      </c>
      <c r="N7">
        <v>190</v>
      </c>
      <c r="O7">
        <v>190</v>
      </c>
      <c r="P7">
        <v>0</v>
      </c>
      <c r="Q7" t="s">
        <v>62</v>
      </c>
      <c r="R7">
        <v>9999522200870970</v>
      </c>
      <c r="S7">
        <v>100000090</v>
      </c>
      <c r="T7">
        <v>9999522200870970</v>
      </c>
      <c r="U7">
        <v>100000090</v>
      </c>
      <c r="V7" t="s">
        <v>71</v>
      </c>
      <c r="W7">
        <v>7</v>
      </c>
      <c r="X7">
        <v>14018455</v>
      </c>
      <c r="Y7">
        <v>116177443</v>
      </c>
      <c r="Z7">
        <v>130195898</v>
      </c>
      <c r="AA7">
        <v>100000090</v>
      </c>
      <c r="AB7">
        <v>9.2874599999999994</v>
      </c>
      <c r="AC7">
        <v>0.86075299999999999</v>
      </c>
      <c r="AD7">
        <v>1.76807</v>
      </c>
      <c r="AE7">
        <v>4.0622400000000001</v>
      </c>
      <c r="AF7">
        <v>2870446568</v>
      </c>
      <c r="AG7" t="s">
        <v>108</v>
      </c>
      <c r="AH7" t="s">
        <v>109</v>
      </c>
      <c r="AI7">
        <v>9321</v>
      </c>
      <c r="AJ7">
        <v>7110</v>
      </c>
      <c r="AK7">
        <v>196086979067</v>
      </c>
      <c r="AL7">
        <v>5686624700631</v>
      </c>
      <c r="AM7">
        <v>1045991643</v>
      </c>
      <c r="AN7">
        <v>0</v>
      </c>
      <c r="AO7">
        <v>116212366</v>
      </c>
      <c r="AP7">
        <v>1045991643</v>
      </c>
      <c r="AQ7">
        <v>1162204009</v>
      </c>
      <c r="AR7">
        <v>34866388</v>
      </c>
      <c r="AS7">
        <v>0</v>
      </c>
      <c r="AT7">
        <v>3873745</v>
      </c>
      <c r="AU7">
        <v>34866388</v>
      </c>
      <c r="AV7">
        <v>38740133</v>
      </c>
      <c r="AW7">
        <v>22.2867</v>
      </c>
      <c r="AX7">
        <v>10.826700000000001</v>
      </c>
      <c r="AY7">
        <v>13296.8</v>
      </c>
      <c r="AZ7">
        <v>12390.4</v>
      </c>
      <c r="BA7">
        <v>12732</v>
      </c>
      <c r="BB7">
        <v>1077</v>
      </c>
      <c r="BC7" t="str">
        <f t="shared" si="0"/>
        <v>u=10% k=2x10^8</v>
      </c>
    </row>
    <row r="8" spans="1:55">
      <c r="A8" t="s">
        <v>110</v>
      </c>
      <c r="B8" t="s">
        <v>82</v>
      </c>
      <c r="C8">
        <v>64</v>
      </c>
      <c r="D8" t="s">
        <v>64</v>
      </c>
      <c r="E8" t="s">
        <v>60</v>
      </c>
      <c r="F8" t="s">
        <v>61</v>
      </c>
      <c r="G8">
        <v>30000</v>
      </c>
      <c r="H8">
        <v>20</v>
      </c>
      <c r="I8">
        <v>20</v>
      </c>
      <c r="J8">
        <v>0</v>
      </c>
      <c r="K8">
        <v>1</v>
      </c>
      <c r="L8">
        <v>2000000</v>
      </c>
      <c r="M8">
        <v>190</v>
      </c>
      <c r="N8">
        <v>190</v>
      </c>
      <c r="O8">
        <v>190</v>
      </c>
      <c r="P8">
        <v>0</v>
      </c>
      <c r="Q8" t="s">
        <v>62</v>
      </c>
      <c r="R8">
        <v>998684503478</v>
      </c>
      <c r="S8">
        <v>998604</v>
      </c>
      <c r="T8">
        <v>998684503478</v>
      </c>
      <c r="U8">
        <v>998604</v>
      </c>
      <c r="V8" t="s">
        <v>71</v>
      </c>
      <c r="W8">
        <v>6</v>
      </c>
      <c r="X8">
        <v>33050</v>
      </c>
      <c r="Y8">
        <v>1030688</v>
      </c>
      <c r="Z8">
        <v>1063738</v>
      </c>
      <c r="AA8">
        <v>998604</v>
      </c>
      <c r="AB8">
        <v>32.185699999999997</v>
      </c>
      <c r="AC8">
        <v>0.96887100000000004</v>
      </c>
      <c r="AD8">
        <v>1.9387700000000001</v>
      </c>
      <c r="AE8">
        <v>3.0001000000000002</v>
      </c>
      <c r="AF8">
        <v>18870592</v>
      </c>
      <c r="AG8" t="s">
        <v>111</v>
      </c>
      <c r="AH8" t="s">
        <v>112</v>
      </c>
      <c r="AI8">
        <v>515988</v>
      </c>
      <c r="AJ8">
        <v>3212</v>
      </c>
      <c r="AK8">
        <v>203542367303</v>
      </c>
      <c r="AL8">
        <v>5686985494434</v>
      </c>
      <c r="AM8">
        <v>271561439</v>
      </c>
      <c r="AN8">
        <v>0</v>
      </c>
      <c r="AO8">
        <v>181030286</v>
      </c>
      <c r="AP8">
        <v>271561439</v>
      </c>
      <c r="AQ8">
        <v>452591725</v>
      </c>
      <c r="AR8">
        <v>9052047</v>
      </c>
      <c r="AS8">
        <v>0</v>
      </c>
      <c r="AT8">
        <v>6034342</v>
      </c>
      <c r="AU8">
        <v>9052047</v>
      </c>
      <c r="AV8">
        <v>15086390</v>
      </c>
      <c r="AW8">
        <v>26.322700000000001</v>
      </c>
      <c r="AX8">
        <v>10.807</v>
      </c>
      <c r="AY8">
        <v>35066.199999999997</v>
      </c>
      <c r="AZ8">
        <v>33180.400000000001</v>
      </c>
      <c r="BA8">
        <v>1324</v>
      </c>
      <c r="BB8">
        <v>328</v>
      </c>
      <c r="BC8" t="str">
        <f t="shared" si="0"/>
        <v>u=40% k=2x10^6</v>
      </c>
    </row>
    <row r="9" spans="1:55">
      <c r="A9" t="s">
        <v>113</v>
      </c>
      <c r="B9" t="s">
        <v>82</v>
      </c>
      <c r="C9">
        <v>64</v>
      </c>
      <c r="D9" t="s">
        <v>64</v>
      </c>
      <c r="E9" t="s">
        <v>60</v>
      </c>
      <c r="F9" t="s">
        <v>61</v>
      </c>
      <c r="G9">
        <v>30000</v>
      </c>
      <c r="H9">
        <v>20</v>
      </c>
      <c r="I9">
        <v>20</v>
      </c>
      <c r="J9">
        <v>0</v>
      </c>
      <c r="K9">
        <v>1</v>
      </c>
      <c r="L9">
        <v>20000000</v>
      </c>
      <c r="M9">
        <v>190</v>
      </c>
      <c r="N9">
        <v>190</v>
      </c>
      <c r="O9">
        <v>190</v>
      </c>
      <c r="P9">
        <v>0</v>
      </c>
      <c r="Q9" t="s">
        <v>62</v>
      </c>
      <c r="R9">
        <v>100046257681322</v>
      </c>
      <c r="S9">
        <v>10004318</v>
      </c>
      <c r="T9">
        <v>100046257681322</v>
      </c>
      <c r="U9">
        <v>10004318</v>
      </c>
      <c r="V9" t="s">
        <v>71</v>
      </c>
      <c r="W9">
        <v>7</v>
      </c>
      <c r="X9">
        <v>1904772</v>
      </c>
      <c r="Y9">
        <v>12039507</v>
      </c>
      <c r="Z9">
        <v>13944279</v>
      </c>
      <c r="AA9">
        <v>10004318</v>
      </c>
      <c r="AB9">
        <v>7.3207100000000001</v>
      </c>
      <c r="AC9">
        <v>0.83095699999999995</v>
      </c>
      <c r="AD9">
        <v>1.7174499999999999</v>
      </c>
      <c r="AE9">
        <v>4.0552700000000002</v>
      </c>
      <c r="AF9">
        <v>329819648</v>
      </c>
      <c r="AG9" t="s">
        <v>114</v>
      </c>
      <c r="AH9" t="s">
        <v>115</v>
      </c>
      <c r="AI9">
        <v>137522</v>
      </c>
      <c r="AJ9">
        <v>3646</v>
      </c>
      <c r="AK9">
        <v>302940056302</v>
      </c>
      <c r="AL9">
        <v>5686592118182</v>
      </c>
      <c r="AM9">
        <v>282459032</v>
      </c>
      <c r="AN9">
        <v>0</v>
      </c>
      <c r="AO9">
        <v>188304224</v>
      </c>
      <c r="AP9">
        <v>282459032</v>
      </c>
      <c r="AQ9">
        <v>470763256</v>
      </c>
      <c r="AR9">
        <v>9415301</v>
      </c>
      <c r="AS9">
        <v>0</v>
      </c>
      <c r="AT9">
        <v>6276807</v>
      </c>
      <c r="AU9">
        <v>9415301</v>
      </c>
      <c r="AV9">
        <v>15692108</v>
      </c>
      <c r="AW9">
        <v>32.412199999999999</v>
      </c>
      <c r="AX9">
        <v>16.649999999999999</v>
      </c>
      <c r="AY9">
        <v>33139.1</v>
      </c>
      <c r="AZ9">
        <v>30744.6</v>
      </c>
      <c r="BA9">
        <v>2660</v>
      </c>
      <c r="BB9">
        <v>319</v>
      </c>
      <c r="BC9" t="str">
        <f t="shared" si="0"/>
        <v>u=40% k=2x10^7</v>
      </c>
    </row>
    <row r="10" spans="1:55">
      <c r="A10" t="s">
        <v>116</v>
      </c>
      <c r="B10" t="s">
        <v>82</v>
      </c>
      <c r="C10">
        <v>64</v>
      </c>
      <c r="D10" t="s">
        <v>64</v>
      </c>
      <c r="E10" t="s">
        <v>60</v>
      </c>
      <c r="F10" t="s">
        <v>61</v>
      </c>
      <c r="G10">
        <v>30000</v>
      </c>
      <c r="H10">
        <v>20</v>
      </c>
      <c r="I10">
        <v>20</v>
      </c>
      <c r="J10">
        <v>0</v>
      </c>
      <c r="K10">
        <v>1</v>
      </c>
      <c r="L10">
        <v>200000000</v>
      </c>
      <c r="M10">
        <v>190</v>
      </c>
      <c r="N10">
        <v>190</v>
      </c>
      <c r="O10">
        <v>190</v>
      </c>
      <c r="P10">
        <v>0</v>
      </c>
      <c r="Q10" t="s">
        <v>62</v>
      </c>
      <c r="R10">
        <v>9999761359718360</v>
      </c>
      <c r="S10">
        <v>100004034</v>
      </c>
      <c r="T10">
        <v>9999761359718360</v>
      </c>
      <c r="U10">
        <v>100004034</v>
      </c>
      <c r="V10" t="s">
        <v>71</v>
      </c>
      <c r="W10">
        <v>7</v>
      </c>
      <c r="X10">
        <v>14770332</v>
      </c>
      <c r="Y10">
        <v>117892151</v>
      </c>
      <c r="Z10">
        <v>132662483</v>
      </c>
      <c r="AA10">
        <v>100004034</v>
      </c>
      <c r="AB10">
        <v>8.9816900000000004</v>
      </c>
      <c r="AC10">
        <v>0.84826699999999999</v>
      </c>
      <c r="AD10">
        <v>1.7538199999999999</v>
      </c>
      <c r="AE10">
        <v>4.0771800000000002</v>
      </c>
      <c r="AF10">
        <v>2953941840</v>
      </c>
      <c r="AG10" t="s">
        <v>117</v>
      </c>
      <c r="AH10" t="s">
        <v>118</v>
      </c>
      <c r="AI10">
        <v>22898</v>
      </c>
      <c r="AJ10">
        <v>3150</v>
      </c>
      <c r="AK10">
        <v>335267906905</v>
      </c>
      <c r="AL10">
        <v>5686394248179</v>
      </c>
      <c r="AM10">
        <v>283850396</v>
      </c>
      <c r="AN10">
        <v>0</v>
      </c>
      <c r="AO10">
        <v>189255785</v>
      </c>
      <c r="AP10">
        <v>283850396</v>
      </c>
      <c r="AQ10">
        <v>473106181</v>
      </c>
      <c r="AR10">
        <v>9461679</v>
      </c>
      <c r="AS10">
        <v>0</v>
      </c>
      <c r="AT10">
        <v>6308526</v>
      </c>
      <c r="AU10">
        <v>9461679</v>
      </c>
      <c r="AV10">
        <v>15770206</v>
      </c>
      <c r="AW10">
        <v>31.035900000000002</v>
      </c>
      <c r="AX10">
        <v>16.246099999999998</v>
      </c>
      <c r="AY10">
        <v>31812.3</v>
      </c>
      <c r="AZ10">
        <v>30062.7</v>
      </c>
      <c r="BA10">
        <v>12804</v>
      </c>
      <c r="BB10">
        <v>1033</v>
      </c>
      <c r="BC10" t="str">
        <f t="shared" si="0"/>
        <v>u=40% k=2x10^8</v>
      </c>
    </row>
    <row r="11" spans="1:55">
      <c r="A11" t="s">
        <v>119</v>
      </c>
      <c r="B11" t="s">
        <v>82</v>
      </c>
      <c r="C11">
        <v>64</v>
      </c>
      <c r="D11" t="s">
        <v>64</v>
      </c>
      <c r="E11" t="s">
        <v>60</v>
      </c>
      <c r="F11" t="s">
        <v>61</v>
      </c>
      <c r="G11">
        <v>30000</v>
      </c>
      <c r="H11">
        <v>0.5</v>
      </c>
      <c r="I11">
        <v>0.5</v>
      </c>
      <c r="J11">
        <v>0</v>
      </c>
      <c r="K11">
        <v>1</v>
      </c>
      <c r="L11">
        <v>2000000</v>
      </c>
      <c r="M11">
        <v>190</v>
      </c>
      <c r="N11">
        <v>190</v>
      </c>
      <c r="O11">
        <v>190</v>
      </c>
      <c r="P11">
        <v>0</v>
      </c>
      <c r="Q11" t="s">
        <v>62</v>
      </c>
      <c r="R11">
        <v>998762963496</v>
      </c>
      <c r="S11">
        <v>999144</v>
      </c>
      <c r="T11">
        <v>998762963496</v>
      </c>
      <c r="U11">
        <v>999144</v>
      </c>
      <c r="V11" t="s">
        <v>71</v>
      </c>
      <c r="W11">
        <v>6</v>
      </c>
      <c r="X11">
        <v>74928</v>
      </c>
      <c r="Y11">
        <v>1117081</v>
      </c>
      <c r="Z11">
        <v>1192009</v>
      </c>
      <c r="AA11">
        <v>999144</v>
      </c>
      <c r="AB11">
        <v>15.9087</v>
      </c>
      <c r="AC11">
        <v>0.894424</v>
      </c>
      <c r="AD11">
        <v>1.8382000000000001</v>
      </c>
      <c r="AE11">
        <v>3.08975</v>
      </c>
      <c r="AF11">
        <v>23330912</v>
      </c>
      <c r="AG11" t="s">
        <v>120</v>
      </c>
      <c r="AH11" t="s">
        <v>121</v>
      </c>
      <c r="AI11">
        <v>76744</v>
      </c>
      <c r="AJ11">
        <v>30796</v>
      </c>
      <c r="AK11">
        <v>34745326351</v>
      </c>
      <c r="AL11">
        <v>5686393447090</v>
      </c>
      <c r="AM11">
        <v>4823175037</v>
      </c>
      <c r="AN11">
        <v>0</v>
      </c>
      <c r="AO11">
        <v>48712316</v>
      </c>
      <c r="AP11">
        <v>4823175037</v>
      </c>
      <c r="AQ11">
        <v>4871887353</v>
      </c>
      <c r="AR11">
        <v>160772501</v>
      </c>
      <c r="AS11">
        <v>0</v>
      </c>
      <c r="AT11">
        <v>1623743</v>
      </c>
      <c r="AU11">
        <v>160772501</v>
      </c>
      <c r="AV11">
        <v>162396245</v>
      </c>
      <c r="AW11">
        <v>11.2227</v>
      </c>
      <c r="AX11">
        <v>0.61461399999999999</v>
      </c>
      <c r="AY11">
        <v>3260.18</v>
      </c>
      <c r="AZ11">
        <v>2514.61</v>
      </c>
      <c r="BA11">
        <v>1278</v>
      </c>
      <c r="BB11">
        <v>312</v>
      </c>
      <c r="BC11" t="str">
        <f t="shared" si="0"/>
        <v>u=1% k=2x10^6</v>
      </c>
    </row>
    <row r="12" spans="1:55">
      <c r="A12" t="s">
        <v>122</v>
      </c>
      <c r="B12" t="s">
        <v>82</v>
      </c>
      <c r="C12">
        <v>64</v>
      </c>
      <c r="D12" t="s">
        <v>64</v>
      </c>
      <c r="E12" t="s">
        <v>60</v>
      </c>
      <c r="F12" t="s">
        <v>61</v>
      </c>
      <c r="G12">
        <v>30000</v>
      </c>
      <c r="H12">
        <v>0.5</v>
      </c>
      <c r="I12">
        <v>0.5</v>
      </c>
      <c r="J12">
        <v>0</v>
      </c>
      <c r="K12">
        <v>1</v>
      </c>
      <c r="L12">
        <v>20000000</v>
      </c>
      <c r="M12">
        <v>190</v>
      </c>
      <c r="N12">
        <v>190</v>
      </c>
      <c r="O12">
        <v>190</v>
      </c>
      <c r="P12">
        <v>0</v>
      </c>
      <c r="Q12" t="s">
        <v>62</v>
      </c>
      <c r="R12">
        <v>99958604251909</v>
      </c>
      <c r="S12">
        <v>9994676</v>
      </c>
      <c r="T12">
        <v>99958604251909</v>
      </c>
      <c r="U12">
        <v>9994676</v>
      </c>
      <c r="V12" t="s">
        <v>71</v>
      </c>
      <c r="W12">
        <v>7</v>
      </c>
      <c r="X12">
        <v>1883077</v>
      </c>
      <c r="Y12">
        <v>11973721</v>
      </c>
      <c r="Z12">
        <v>13856798</v>
      </c>
      <c r="AA12">
        <v>9994676</v>
      </c>
      <c r="AB12">
        <v>7.3585900000000004</v>
      </c>
      <c r="AC12">
        <v>0.83471799999999996</v>
      </c>
      <c r="AD12">
        <v>1.7212799999999999</v>
      </c>
      <c r="AE12">
        <v>4.0516899999999998</v>
      </c>
      <c r="AF12">
        <v>327178392</v>
      </c>
      <c r="AG12" t="s">
        <v>123</v>
      </c>
      <c r="AH12" t="s">
        <v>124</v>
      </c>
      <c r="AI12">
        <v>16635</v>
      </c>
      <c r="AJ12">
        <v>24724</v>
      </c>
      <c r="AK12">
        <v>63372236466</v>
      </c>
      <c r="AL12">
        <v>5686393782156</v>
      </c>
      <c r="AM12">
        <v>4160939635</v>
      </c>
      <c r="AN12">
        <v>0</v>
      </c>
      <c r="AO12">
        <v>42037097</v>
      </c>
      <c r="AP12">
        <v>4160939635</v>
      </c>
      <c r="AQ12">
        <v>4202976732</v>
      </c>
      <c r="AR12">
        <v>138697987</v>
      </c>
      <c r="AS12">
        <v>0</v>
      </c>
      <c r="AT12">
        <v>1401236</v>
      </c>
      <c r="AU12">
        <v>138697987</v>
      </c>
      <c r="AV12">
        <v>140099224</v>
      </c>
      <c r="AW12">
        <v>16.723800000000001</v>
      </c>
      <c r="AX12">
        <v>6.6621600000000001</v>
      </c>
      <c r="AY12">
        <v>3748.89</v>
      </c>
      <c r="AZ12">
        <v>2985.67</v>
      </c>
      <c r="BA12">
        <v>2472</v>
      </c>
      <c r="BB12">
        <v>394</v>
      </c>
      <c r="BC12" t="str">
        <f t="shared" si="0"/>
        <v>u=1% k=2x10^7</v>
      </c>
    </row>
    <row r="13" spans="1:55">
      <c r="A13" t="s">
        <v>125</v>
      </c>
      <c r="B13" t="s">
        <v>82</v>
      </c>
      <c r="C13">
        <v>64</v>
      </c>
      <c r="D13" t="s">
        <v>64</v>
      </c>
      <c r="E13" t="s">
        <v>60</v>
      </c>
      <c r="F13" t="s">
        <v>61</v>
      </c>
      <c r="G13">
        <v>30000</v>
      </c>
      <c r="H13">
        <v>0.5</v>
      </c>
      <c r="I13">
        <v>0.5</v>
      </c>
      <c r="J13">
        <v>0</v>
      </c>
      <c r="K13">
        <v>1</v>
      </c>
      <c r="L13">
        <v>200000000</v>
      </c>
      <c r="M13">
        <v>190</v>
      </c>
      <c r="N13">
        <v>190</v>
      </c>
      <c r="O13">
        <v>190</v>
      </c>
      <c r="P13">
        <v>0</v>
      </c>
      <c r="Q13" t="s">
        <v>62</v>
      </c>
      <c r="R13">
        <v>9999626853483980</v>
      </c>
      <c r="S13">
        <v>100000735</v>
      </c>
      <c r="T13">
        <v>9999626853483980</v>
      </c>
      <c r="U13">
        <v>100000735</v>
      </c>
      <c r="V13" t="s">
        <v>71</v>
      </c>
      <c r="W13">
        <v>7</v>
      </c>
      <c r="X13">
        <v>14750185</v>
      </c>
      <c r="Y13">
        <v>117844592</v>
      </c>
      <c r="Z13">
        <v>132594777</v>
      </c>
      <c r="AA13">
        <v>100000735</v>
      </c>
      <c r="AB13">
        <v>8.9893599999999996</v>
      </c>
      <c r="AC13">
        <v>0.84858100000000003</v>
      </c>
      <c r="AD13">
        <v>1.7541800000000001</v>
      </c>
      <c r="AE13">
        <v>4.0766799999999996</v>
      </c>
      <c r="AF13">
        <v>2951732392</v>
      </c>
      <c r="AG13" t="s">
        <v>126</v>
      </c>
      <c r="AH13" t="s">
        <v>127</v>
      </c>
      <c r="AI13">
        <v>3</v>
      </c>
      <c r="AJ13">
        <v>23302</v>
      </c>
      <c r="AK13">
        <v>11727728068</v>
      </c>
      <c r="AL13">
        <v>5686393442190</v>
      </c>
      <c r="AM13">
        <v>3919880931</v>
      </c>
      <c r="AN13">
        <v>0</v>
      </c>
      <c r="AO13">
        <v>39587236</v>
      </c>
      <c r="AP13">
        <v>3919880931</v>
      </c>
      <c r="AQ13">
        <v>3959468167</v>
      </c>
      <c r="AR13">
        <v>130662697</v>
      </c>
      <c r="AS13">
        <v>0</v>
      </c>
      <c r="AT13">
        <v>1319574</v>
      </c>
      <c r="AU13">
        <v>130662697</v>
      </c>
      <c r="AV13">
        <v>131982272</v>
      </c>
      <c r="AW13">
        <v>19.6648</v>
      </c>
      <c r="AX13">
        <v>9.5022199999999994</v>
      </c>
      <c r="AY13">
        <v>4007.18</v>
      </c>
      <c r="AZ13">
        <v>3253.54</v>
      </c>
      <c r="BA13">
        <v>8012</v>
      </c>
      <c r="BB13">
        <v>1054</v>
      </c>
      <c r="BC13" t="str">
        <f t="shared" si="0"/>
        <v>u=1% k=2x10^8</v>
      </c>
    </row>
    <row r="14" spans="1:55">
      <c r="A14" t="s">
        <v>128</v>
      </c>
      <c r="B14" t="s">
        <v>82</v>
      </c>
      <c r="C14">
        <v>64</v>
      </c>
      <c r="D14" t="s">
        <v>64</v>
      </c>
      <c r="E14" t="s">
        <v>60</v>
      </c>
      <c r="F14" t="s">
        <v>61</v>
      </c>
      <c r="G14">
        <v>30000</v>
      </c>
      <c r="H14">
        <v>5</v>
      </c>
      <c r="I14">
        <v>5</v>
      </c>
      <c r="J14">
        <v>0</v>
      </c>
      <c r="K14">
        <v>1</v>
      </c>
      <c r="L14">
        <v>2000000</v>
      </c>
      <c r="M14">
        <v>190</v>
      </c>
      <c r="N14">
        <v>190</v>
      </c>
      <c r="O14">
        <v>190</v>
      </c>
      <c r="P14">
        <v>0</v>
      </c>
      <c r="Q14" t="s">
        <v>62</v>
      </c>
      <c r="R14">
        <v>999848185690</v>
      </c>
      <c r="S14">
        <v>1000599</v>
      </c>
      <c r="T14">
        <v>999848185690</v>
      </c>
      <c r="U14">
        <v>1000599</v>
      </c>
      <c r="V14" t="s">
        <v>71</v>
      </c>
      <c r="W14">
        <v>6</v>
      </c>
      <c r="X14">
        <v>64670</v>
      </c>
      <c r="Y14">
        <v>1096463</v>
      </c>
      <c r="Z14">
        <v>1161133</v>
      </c>
      <c r="AA14">
        <v>1000599</v>
      </c>
      <c r="AB14">
        <v>17.954699999999999</v>
      </c>
      <c r="AC14">
        <v>0.91256999999999999</v>
      </c>
      <c r="AD14">
        <v>1.86174</v>
      </c>
      <c r="AE14">
        <v>3.0664099999999999</v>
      </c>
      <c r="AF14">
        <v>22234128</v>
      </c>
      <c r="AG14" t="s">
        <v>129</v>
      </c>
      <c r="AH14" t="s">
        <v>130</v>
      </c>
      <c r="AI14">
        <v>207275</v>
      </c>
      <c r="AJ14">
        <v>7632</v>
      </c>
      <c r="AK14">
        <v>95660320229</v>
      </c>
      <c r="AL14">
        <v>5686393937281</v>
      </c>
      <c r="AM14">
        <v>995647503</v>
      </c>
      <c r="AN14">
        <v>0</v>
      </c>
      <c r="AO14">
        <v>110638233</v>
      </c>
      <c r="AP14">
        <v>995647503</v>
      </c>
      <c r="AQ14">
        <v>1106285736</v>
      </c>
      <c r="AR14">
        <v>33188250</v>
      </c>
      <c r="AS14">
        <v>0</v>
      </c>
      <c r="AT14">
        <v>3687941</v>
      </c>
      <c r="AU14">
        <v>33188250</v>
      </c>
      <c r="AV14">
        <v>36876191</v>
      </c>
      <c r="AW14">
        <v>17.946400000000001</v>
      </c>
      <c r="AX14">
        <v>4.2211999999999996</v>
      </c>
      <c r="AY14">
        <v>14352.7</v>
      </c>
      <c r="AZ14">
        <v>13377.9</v>
      </c>
      <c r="BA14">
        <v>1301</v>
      </c>
      <c r="BB14">
        <v>267</v>
      </c>
      <c r="BC14" t="str">
        <f t="shared" si="0"/>
        <v>u=10% k=2x10^6</v>
      </c>
    </row>
    <row r="15" spans="1:55">
      <c r="A15" t="s">
        <v>131</v>
      </c>
      <c r="B15" t="s">
        <v>82</v>
      </c>
      <c r="C15">
        <v>64</v>
      </c>
      <c r="D15" t="s">
        <v>64</v>
      </c>
      <c r="E15" t="s">
        <v>60</v>
      </c>
      <c r="F15" t="s">
        <v>61</v>
      </c>
      <c r="G15">
        <v>30000</v>
      </c>
      <c r="H15">
        <v>5</v>
      </c>
      <c r="I15">
        <v>5</v>
      </c>
      <c r="J15">
        <v>0</v>
      </c>
      <c r="K15">
        <v>1</v>
      </c>
      <c r="L15">
        <v>20000000</v>
      </c>
      <c r="M15">
        <v>190</v>
      </c>
      <c r="N15">
        <v>190</v>
      </c>
      <c r="O15">
        <v>190</v>
      </c>
      <c r="P15">
        <v>0</v>
      </c>
      <c r="Q15" t="s">
        <v>62</v>
      </c>
      <c r="R15">
        <v>99944880863996</v>
      </c>
      <c r="S15">
        <v>9995502</v>
      </c>
      <c r="T15">
        <v>99944880863996</v>
      </c>
      <c r="U15">
        <v>9995502</v>
      </c>
      <c r="V15" t="s">
        <v>71</v>
      </c>
      <c r="W15">
        <v>7</v>
      </c>
      <c r="X15">
        <v>1906065</v>
      </c>
      <c r="Y15">
        <v>12030222</v>
      </c>
      <c r="Z15">
        <v>13936287</v>
      </c>
      <c r="AA15">
        <v>9995502</v>
      </c>
      <c r="AB15">
        <v>7.3115500000000004</v>
      </c>
      <c r="AC15">
        <v>0.83086599999999999</v>
      </c>
      <c r="AD15">
        <v>1.71723</v>
      </c>
      <c r="AE15">
        <v>4.0561199999999999</v>
      </c>
      <c r="AF15">
        <v>329756184</v>
      </c>
      <c r="AG15" t="s">
        <v>132</v>
      </c>
      <c r="AH15" t="s">
        <v>133</v>
      </c>
      <c r="AI15">
        <v>60266</v>
      </c>
      <c r="AJ15">
        <v>7760</v>
      </c>
      <c r="AK15">
        <v>151187180605</v>
      </c>
      <c r="AL15">
        <v>5686393820509</v>
      </c>
      <c r="AM15">
        <v>1016209530</v>
      </c>
      <c r="AN15">
        <v>0</v>
      </c>
      <c r="AO15">
        <v>112905372</v>
      </c>
      <c r="AP15">
        <v>1016209530</v>
      </c>
      <c r="AQ15">
        <v>1129114902</v>
      </c>
      <c r="AR15">
        <v>33873651</v>
      </c>
      <c r="AS15">
        <v>0</v>
      </c>
      <c r="AT15">
        <v>3763512</v>
      </c>
      <c r="AU15">
        <v>33873651</v>
      </c>
      <c r="AV15">
        <v>37637163</v>
      </c>
      <c r="AW15">
        <v>22.091000000000001</v>
      </c>
      <c r="AX15">
        <v>9.2784700000000004</v>
      </c>
      <c r="AY15">
        <v>13907.7</v>
      </c>
      <c r="AZ15">
        <v>12904.6</v>
      </c>
      <c r="BA15">
        <v>2547</v>
      </c>
      <c r="BB15">
        <v>342</v>
      </c>
      <c r="BC15" t="str">
        <f t="shared" si="0"/>
        <v>u=10% k=2x10^7</v>
      </c>
    </row>
    <row r="16" spans="1:55">
      <c r="A16" t="s">
        <v>134</v>
      </c>
      <c r="B16" t="s">
        <v>82</v>
      </c>
      <c r="C16">
        <v>64</v>
      </c>
      <c r="D16" t="s">
        <v>64</v>
      </c>
      <c r="E16" t="s">
        <v>60</v>
      </c>
      <c r="F16" t="s">
        <v>61</v>
      </c>
      <c r="G16">
        <v>30000</v>
      </c>
      <c r="H16">
        <v>5</v>
      </c>
      <c r="I16">
        <v>5</v>
      </c>
      <c r="J16">
        <v>0</v>
      </c>
      <c r="K16">
        <v>1</v>
      </c>
      <c r="L16">
        <v>200000000</v>
      </c>
      <c r="M16">
        <v>190</v>
      </c>
      <c r="N16">
        <v>190</v>
      </c>
      <c r="O16">
        <v>190</v>
      </c>
      <c r="P16">
        <v>0</v>
      </c>
      <c r="Q16" t="s">
        <v>62</v>
      </c>
      <c r="R16">
        <v>9999407863248290</v>
      </c>
      <c r="S16">
        <v>99997736</v>
      </c>
      <c r="T16">
        <v>9999407863248290</v>
      </c>
      <c r="U16">
        <v>99997736</v>
      </c>
      <c r="V16" t="s">
        <v>71</v>
      </c>
      <c r="W16">
        <v>7</v>
      </c>
      <c r="X16">
        <v>13989509</v>
      </c>
      <c r="Y16">
        <v>116120031</v>
      </c>
      <c r="Z16">
        <v>130109540</v>
      </c>
      <c r="AA16">
        <v>99997736</v>
      </c>
      <c r="AB16">
        <v>9.3005099999999992</v>
      </c>
      <c r="AC16">
        <v>0.86115799999999998</v>
      </c>
      <c r="AD16">
        <v>1.76857</v>
      </c>
      <c r="AE16">
        <v>4.0616099999999999</v>
      </c>
      <c r="AF16">
        <v>2867420712</v>
      </c>
      <c r="AG16" t="s">
        <v>135</v>
      </c>
      <c r="AH16" t="s">
        <v>136</v>
      </c>
      <c r="AI16">
        <v>10650</v>
      </c>
      <c r="AJ16">
        <v>7226</v>
      </c>
      <c r="AK16">
        <v>194141162700</v>
      </c>
      <c r="AL16">
        <v>5686483306269</v>
      </c>
      <c r="AM16">
        <v>1043971490</v>
      </c>
      <c r="AN16">
        <v>0</v>
      </c>
      <c r="AO16">
        <v>115994683</v>
      </c>
      <c r="AP16">
        <v>1043971490</v>
      </c>
      <c r="AQ16">
        <v>1159966173</v>
      </c>
      <c r="AR16">
        <v>34799049</v>
      </c>
      <c r="AS16">
        <v>0</v>
      </c>
      <c r="AT16">
        <v>3866489</v>
      </c>
      <c r="AU16">
        <v>34799049</v>
      </c>
      <c r="AV16">
        <v>38665539</v>
      </c>
      <c r="AW16">
        <v>22.210899999999999</v>
      </c>
      <c r="AX16">
        <v>10.8193</v>
      </c>
      <c r="AY16">
        <v>13326</v>
      </c>
      <c r="AZ16">
        <v>12423.6</v>
      </c>
      <c r="BA16">
        <v>12743</v>
      </c>
      <c r="BB16">
        <v>1128</v>
      </c>
      <c r="BC16" t="str">
        <f t="shared" si="0"/>
        <v>u=10% k=2x10^8</v>
      </c>
    </row>
    <row r="17" spans="1:55">
      <c r="A17" t="s">
        <v>137</v>
      </c>
      <c r="B17" t="s">
        <v>82</v>
      </c>
      <c r="C17">
        <v>64</v>
      </c>
      <c r="D17" t="s">
        <v>64</v>
      </c>
      <c r="E17" t="s">
        <v>60</v>
      </c>
      <c r="F17" t="s">
        <v>61</v>
      </c>
      <c r="G17">
        <v>30000</v>
      </c>
      <c r="H17">
        <v>20</v>
      </c>
      <c r="I17">
        <v>20</v>
      </c>
      <c r="J17">
        <v>0</v>
      </c>
      <c r="K17">
        <v>1</v>
      </c>
      <c r="L17">
        <v>2000000</v>
      </c>
      <c r="M17">
        <v>190</v>
      </c>
      <c r="N17">
        <v>190</v>
      </c>
      <c r="O17">
        <v>190</v>
      </c>
      <c r="P17">
        <v>0</v>
      </c>
      <c r="Q17" t="s">
        <v>62</v>
      </c>
      <c r="R17">
        <v>999801060971</v>
      </c>
      <c r="S17">
        <v>999640</v>
      </c>
      <c r="T17">
        <v>999801060971</v>
      </c>
      <c r="U17">
        <v>999640</v>
      </c>
      <c r="V17" t="s">
        <v>71</v>
      </c>
      <c r="W17">
        <v>6</v>
      </c>
      <c r="X17">
        <v>65478</v>
      </c>
      <c r="Y17">
        <v>1098037</v>
      </c>
      <c r="Z17">
        <v>1163515</v>
      </c>
      <c r="AA17">
        <v>999640</v>
      </c>
      <c r="AB17">
        <v>17.769600000000001</v>
      </c>
      <c r="AC17">
        <v>0.91038799999999998</v>
      </c>
      <c r="AD17">
        <v>1.8591599999999999</v>
      </c>
      <c r="AE17">
        <v>3.06833</v>
      </c>
      <c r="AF17">
        <v>22318368</v>
      </c>
      <c r="AG17" t="s">
        <v>138</v>
      </c>
      <c r="AH17" t="s">
        <v>139</v>
      </c>
      <c r="AI17">
        <v>496761</v>
      </c>
      <c r="AJ17">
        <v>3182</v>
      </c>
      <c r="AK17">
        <v>204506930216</v>
      </c>
      <c r="AL17">
        <v>5686394359496</v>
      </c>
      <c r="AM17">
        <v>271045538</v>
      </c>
      <c r="AN17">
        <v>0</v>
      </c>
      <c r="AO17">
        <v>180720150</v>
      </c>
      <c r="AP17">
        <v>271045538</v>
      </c>
      <c r="AQ17">
        <v>451765688</v>
      </c>
      <c r="AR17">
        <v>9034851</v>
      </c>
      <c r="AS17">
        <v>0</v>
      </c>
      <c r="AT17">
        <v>6024005</v>
      </c>
      <c r="AU17">
        <v>9034851</v>
      </c>
      <c r="AV17">
        <v>15058856</v>
      </c>
      <c r="AW17">
        <v>26.5243</v>
      </c>
      <c r="AX17">
        <v>10.910299999999999</v>
      </c>
      <c r="AY17">
        <v>35138</v>
      </c>
      <c r="AZ17">
        <v>33250.6</v>
      </c>
      <c r="BA17">
        <v>1326</v>
      </c>
      <c r="BB17">
        <v>296</v>
      </c>
      <c r="BC17" t="str">
        <f t="shared" si="0"/>
        <v>u=40% k=2x10^6</v>
      </c>
    </row>
    <row r="18" spans="1:55">
      <c r="A18" t="s">
        <v>140</v>
      </c>
      <c r="B18" t="s">
        <v>82</v>
      </c>
      <c r="C18">
        <v>64</v>
      </c>
      <c r="D18" t="s">
        <v>64</v>
      </c>
      <c r="E18" t="s">
        <v>60</v>
      </c>
      <c r="F18" t="s">
        <v>61</v>
      </c>
      <c r="G18">
        <v>30000</v>
      </c>
      <c r="H18">
        <v>20</v>
      </c>
      <c r="I18">
        <v>20</v>
      </c>
      <c r="J18">
        <v>0</v>
      </c>
      <c r="K18">
        <v>1</v>
      </c>
      <c r="L18">
        <v>20000000</v>
      </c>
      <c r="M18">
        <v>190</v>
      </c>
      <c r="N18">
        <v>190</v>
      </c>
      <c r="O18">
        <v>190</v>
      </c>
      <c r="P18">
        <v>0</v>
      </c>
      <c r="Q18" t="s">
        <v>62</v>
      </c>
      <c r="R18">
        <v>100001661879098</v>
      </c>
      <c r="S18">
        <v>9999761</v>
      </c>
      <c r="T18">
        <v>100001661879098</v>
      </c>
      <c r="U18">
        <v>9999761</v>
      </c>
      <c r="V18" t="s">
        <v>71</v>
      </c>
      <c r="W18">
        <v>7</v>
      </c>
      <c r="X18">
        <v>1906285</v>
      </c>
      <c r="Y18">
        <v>12034812</v>
      </c>
      <c r="Z18">
        <v>13941097</v>
      </c>
      <c r="AA18">
        <v>9999761</v>
      </c>
      <c r="AB18">
        <v>7.3132299999999999</v>
      </c>
      <c r="AC18">
        <v>0.83090299999999995</v>
      </c>
      <c r="AD18">
        <v>1.71729</v>
      </c>
      <c r="AE18">
        <v>4.0559900000000004</v>
      </c>
      <c r="AF18">
        <v>329847272</v>
      </c>
      <c r="AG18" t="s">
        <v>141</v>
      </c>
      <c r="AH18" t="s">
        <v>142</v>
      </c>
      <c r="AI18">
        <v>132922</v>
      </c>
      <c r="AJ18">
        <v>3566</v>
      </c>
      <c r="AK18">
        <v>307040827919</v>
      </c>
      <c r="AL18">
        <v>5686411572881</v>
      </c>
      <c r="AM18">
        <v>281850044</v>
      </c>
      <c r="AN18">
        <v>0</v>
      </c>
      <c r="AO18">
        <v>187950650</v>
      </c>
      <c r="AP18">
        <v>281850044</v>
      </c>
      <c r="AQ18">
        <v>469800694</v>
      </c>
      <c r="AR18">
        <v>9395001</v>
      </c>
      <c r="AS18">
        <v>0</v>
      </c>
      <c r="AT18">
        <v>6265021</v>
      </c>
      <c r="AU18">
        <v>9395001</v>
      </c>
      <c r="AV18">
        <v>15660023</v>
      </c>
      <c r="AW18">
        <v>32.049799999999998</v>
      </c>
      <c r="AX18">
        <v>16.4635</v>
      </c>
      <c r="AY18">
        <v>33184.9</v>
      </c>
      <c r="AZ18">
        <v>30783.9</v>
      </c>
      <c r="BA18">
        <v>2658</v>
      </c>
      <c r="BB18">
        <v>376</v>
      </c>
      <c r="BC18" t="str">
        <f t="shared" si="0"/>
        <v>u=40% k=2x10^7</v>
      </c>
    </row>
    <row r="19" spans="1:55">
      <c r="A19" t="s">
        <v>143</v>
      </c>
      <c r="B19" t="s">
        <v>82</v>
      </c>
      <c r="C19">
        <v>64</v>
      </c>
      <c r="D19" t="s">
        <v>64</v>
      </c>
      <c r="E19" t="s">
        <v>60</v>
      </c>
      <c r="F19" t="s">
        <v>61</v>
      </c>
      <c r="G19">
        <v>30000</v>
      </c>
      <c r="H19">
        <v>20</v>
      </c>
      <c r="I19">
        <v>20</v>
      </c>
      <c r="J19">
        <v>0</v>
      </c>
      <c r="K19">
        <v>1</v>
      </c>
      <c r="L19">
        <v>200000000</v>
      </c>
      <c r="M19">
        <v>190</v>
      </c>
      <c r="N19">
        <v>190</v>
      </c>
      <c r="O19">
        <v>190</v>
      </c>
      <c r="P19">
        <v>0</v>
      </c>
      <c r="Q19" t="s">
        <v>62</v>
      </c>
      <c r="R19">
        <v>9999317079312800</v>
      </c>
      <c r="S19">
        <v>99995661</v>
      </c>
      <c r="T19">
        <v>9999317079312800</v>
      </c>
      <c r="U19">
        <v>99995661</v>
      </c>
      <c r="V19" t="s">
        <v>71</v>
      </c>
      <c r="W19">
        <v>7</v>
      </c>
      <c r="X19">
        <v>14887341</v>
      </c>
      <c r="Y19">
        <v>118153019</v>
      </c>
      <c r="Z19">
        <v>133040360</v>
      </c>
      <c r="AA19">
        <v>99995661</v>
      </c>
      <c r="AB19">
        <v>8.9364799999999995</v>
      </c>
      <c r="AC19">
        <v>0.84632300000000005</v>
      </c>
      <c r="AD19">
        <v>1.75162</v>
      </c>
      <c r="AE19">
        <v>4.0803399999999996</v>
      </c>
      <c r="AF19">
        <v>2966677096</v>
      </c>
      <c r="AG19" t="s">
        <v>144</v>
      </c>
      <c r="AH19" t="s">
        <v>145</v>
      </c>
      <c r="AI19">
        <v>20873</v>
      </c>
      <c r="AJ19">
        <v>3198</v>
      </c>
      <c r="AK19">
        <v>335058749157</v>
      </c>
      <c r="AL19">
        <v>5686517743477</v>
      </c>
      <c r="AM19">
        <v>279719292</v>
      </c>
      <c r="AN19">
        <v>0</v>
      </c>
      <c r="AO19">
        <v>186452306</v>
      </c>
      <c r="AP19">
        <v>279719292</v>
      </c>
      <c r="AQ19">
        <v>466171598</v>
      </c>
      <c r="AR19">
        <v>9323976</v>
      </c>
      <c r="AS19">
        <v>0</v>
      </c>
      <c r="AT19">
        <v>6215076</v>
      </c>
      <c r="AU19">
        <v>9323976</v>
      </c>
      <c r="AV19">
        <v>15539053</v>
      </c>
      <c r="AW19">
        <v>30.136500000000002</v>
      </c>
      <c r="AX19">
        <v>15.851900000000001</v>
      </c>
      <c r="AY19">
        <v>32354.799999999999</v>
      </c>
      <c r="AZ19">
        <v>30598.400000000001</v>
      </c>
      <c r="BA19">
        <v>12735</v>
      </c>
      <c r="BB19">
        <v>1050</v>
      </c>
      <c r="BC19" t="str">
        <f t="shared" si="0"/>
        <v>u=40% k=2x10^8</v>
      </c>
    </row>
    <row r="20" spans="1:55">
      <c r="A20" t="s">
        <v>146</v>
      </c>
      <c r="B20" t="s">
        <v>82</v>
      </c>
      <c r="C20">
        <v>64</v>
      </c>
      <c r="D20" t="s">
        <v>64</v>
      </c>
      <c r="E20" t="s">
        <v>60</v>
      </c>
      <c r="F20" t="s">
        <v>61</v>
      </c>
      <c r="G20">
        <v>30000</v>
      </c>
      <c r="H20">
        <v>0.5</v>
      </c>
      <c r="I20">
        <v>0.5</v>
      </c>
      <c r="J20">
        <v>0</v>
      </c>
      <c r="K20">
        <v>1</v>
      </c>
      <c r="L20">
        <v>2000000</v>
      </c>
      <c r="M20">
        <v>190</v>
      </c>
      <c r="N20">
        <v>190</v>
      </c>
      <c r="O20">
        <v>190</v>
      </c>
      <c r="P20">
        <v>0</v>
      </c>
      <c r="Q20" t="s">
        <v>62</v>
      </c>
      <c r="R20">
        <v>998855550070</v>
      </c>
      <c r="S20">
        <v>998716</v>
      </c>
      <c r="T20">
        <v>998855550070</v>
      </c>
      <c r="U20">
        <v>998716</v>
      </c>
      <c r="V20" t="s">
        <v>71</v>
      </c>
      <c r="W20">
        <v>6</v>
      </c>
      <c r="X20">
        <v>54869</v>
      </c>
      <c r="Y20">
        <v>1075094</v>
      </c>
      <c r="Z20">
        <v>1129963</v>
      </c>
      <c r="AA20">
        <v>998716</v>
      </c>
      <c r="AB20">
        <v>20.593800000000002</v>
      </c>
      <c r="AC20">
        <v>0.92895700000000003</v>
      </c>
      <c r="AD20">
        <v>1.88385</v>
      </c>
      <c r="AE20">
        <v>3.0452599999999999</v>
      </c>
      <c r="AF20">
        <v>21167416</v>
      </c>
      <c r="AG20" t="s">
        <v>147</v>
      </c>
      <c r="AH20" t="s">
        <v>148</v>
      </c>
      <c r="AI20">
        <v>73751</v>
      </c>
      <c r="AJ20">
        <v>30770</v>
      </c>
      <c r="AK20">
        <v>34910052318</v>
      </c>
      <c r="AL20">
        <v>5686393699722</v>
      </c>
      <c r="AM20">
        <v>4810402682</v>
      </c>
      <c r="AN20">
        <v>0</v>
      </c>
      <c r="AO20">
        <v>48592074</v>
      </c>
      <c r="AP20">
        <v>4810402682</v>
      </c>
      <c r="AQ20">
        <v>4858994756</v>
      </c>
      <c r="AR20">
        <v>160346756</v>
      </c>
      <c r="AS20">
        <v>0</v>
      </c>
      <c r="AT20">
        <v>1619735</v>
      </c>
      <c r="AU20">
        <v>160346756</v>
      </c>
      <c r="AV20">
        <v>161966491</v>
      </c>
      <c r="AW20">
        <v>11.2859</v>
      </c>
      <c r="AX20">
        <v>0.63359299999999996</v>
      </c>
      <c r="AY20">
        <v>3268.99</v>
      </c>
      <c r="AZ20">
        <v>2527.7399999999998</v>
      </c>
      <c r="BA20">
        <v>1273</v>
      </c>
      <c r="BB20">
        <v>293</v>
      </c>
      <c r="BC20" t="str">
        <f t="shared" si="0"/>
        <v>u=1% k=2x10^6</v>
      </c>
    </row>
    <row r="21" spans="1:55">
      <c r="A21" t="s">
        <v>149</v>
      </c>
      <c r="B21" t="s">
        <v>82</v>
      </c>
      <c r="C21">
        <v>64</v>
      </c>
      <c r="D21" t="s">
        <v>64</v>
      </c>
      <c r="E21" t="s">
        <v>60</v>
      </c>
      <c r="F21" t="s">
        <v>61</v>
      </c>
      <c r="G21">
        <v>30000</v>
      </c>
      <c r="H21">
        <v>0.5</v>
      </c>
      <c r="I21">
        <v>0.5</v>
      </c>
      <c r="J21">
        <v>0</v>
      </c>
      <c r="K21">
        <v>1</v>
      </c>
      <c r="L21">
        <v>20000000</v>
      </c>
      <c r="M21">
        <v>190</v>
      </c>
      <c r="N21">
        <v>190</v>
      </c>
      <c r="O21">
        <v>190</v>
      </c>
      <c r="P21">
        <v>0</v>
      </c>
      <c r="Q21" t="s">
        <v>62</v>
      </c>
      <c r="R21">
        <v>99965221841701</v>
      </c>
      <c r="S21">
        <v>9998507</v>
      </c>
      <c r="T21">
        <v>99965221841701</v>
      </c>
      <c r="U21">
        <v>9998507</v>
      </c>
      <c r="V21" t="s">
        <v>71</v>
      </c>
      <c r="W21">
        <v>7</v>
      </c>
      <c r="X21">
        <v>1891919</v>
      </c>
      <c r="Y21">
        <v>11995772</v>
      </c>
      <c r="Z21">
        <v>13887691</v>
      </c>
      <c r="AA21">
        <v>9998507</v>
      </c>
      <c r="AB21">
        <v>7.3405300000000002</v>
      </c>
      <c r="AC21">
        <v>0.83350299999999999</v>
      </c>
      <c r="AD21">
        <v>1.7199500000000001</v>
      </c>
      <c r="AE21">
        <v>4.0534499999999998</v>
      </c>
      <c r="AF21">
        <v>328172888</v>
      </c>
      <c r="AG21" t="s">
        <v>150</v>
      </c>
      <c r="AH21" t="s">
        <v>151</v>
      </c>
      <c r="AI21">
        <v>13810</v>
      </c>
      <c r="AJ21">
        <v>24706</v>
      </c>
      <c r="AK21">
        <v>63550746296</v>
      </c>
      <c r="AL21">
        <v>5686394028949</v>
      </c>
      <c r="AM21">
        <v>4180324107</v>
      </c>
      <c r="AN21">
        <v>0</v>
      </c>
      <c r="AO21">
        <v>42232962</v>
      </c>
      <c r="AP21">
        <v>4180324107</v>
      </c>
      <c r="AQ21">
        <v>4222557069</v>
      </c>
      <c r="AR21">
        <v>139344136</v>
      </c>
      <c r="AS21">
        <v>0</v>
      </c>
      <c r="AT21">
        <v>1407765</v>
      </c>
      <c r="AU21">
        <v>139344136</v>
      </c>
      <c r="AV21">
        <v>140751902</v>
      </c>
      <c r="AW21">
        <v>16.832799999999999</v>
      </c>
      <c r="AX21">
        <v>6.6678899999999999</v>
      </c>
      <c r="AY21">
        <v>3731.81</v>
      </c>
      <c r="AZ21">
        <v>2973.8</v>
      </c>
      <c r="BA21">
        <v>2472</v>
      </c>
      <c r="BB21">
        <v>374</v>
      </c>
      <c r="BC21" t="str">
        <f t="shared" si="0"/>
        <v>u=1% k=2x10^7</v>
      </c>
    </row>
    <row r="22" spans="1:55">
      <c r="A22" t="s">
        <v>152</v>
      </c>
      <c r="B22" t="s">
        <v>82</v>
      </c>
      <c r="C22">
        <v>64</v>
      </c>
      <c r="D22" t="s">
        <v>64</v>
      </c>
      <c r="E22" t="s">
        <v>60</v>
      </c>
      <c r="F22" t="s">
        <v>61</v>
      </c>
      <c r="G22">
        <v>30000</v>
      </c>
      <c r="H22">
        <v>0.5</v>
      </c>
      <c r="I22">
        <v>0.5</v>
      </c>
      <c r="J22">
        <v>0</v>
      </c>
      <c r="K22">
        <v>1</v>
      </c>
      <c r="L22">
        <v>200000000</v>
      </c>
      <c r="M22">
        <v>190</v>
      </c>
      <c r="N22">
        <v>190</v>
      </c>
      <c r="O22">
        <v>190</v>
      </c>
      <c r="P22">
        <v>0</v>
      </c>
      <c r="Q22" t="s">
        <v>62</v>
      </c>
      <c r="R22">
        <v>9999947696782550</v>
      </c>
      <c r="S22">
        <v>99997622</v>
      </c>
      <c r="T22">
        <v>9999947696782550</v>
      </c>
      <c r="U22">
        <v>99997622</v>
      </c>
      <c r="V22" t="s">
        <v>71</v>
      </c>
      <c r="W22">
        <v>7</v>
      </c>
      <c r="X22">
        <v>14769642</v>
      </c>
      <c r="Y22">
        <v>117885930</v>
      </c>
      <c r="Z22">
        <v>132655572</v>
      </c>
      <c r="AA22">
        <v>99997622</v>
      </c>
      <c r="AB22">
        <v>8.9816400000000005</v>
      </c>
      <c r="AC22">
        <v>0.84825700000000004</v>
      </c>
      <c r="AD22">
        <v>1.7538100000000001</v>
      </c>
      <c r="AE22">
        <v>4.0771800000000002</v>
      </c>
      <c r="AF22">
        <v>2953813472</v>
      </c>
      <c r="AG22" t="s">
        <v>153</v>
      </c>
      <c r="AH22" t="s">
        <v>153</v>
      </c>
      <c r="AI22">
        <v>2</v>
      </c>
      <c r="AJ22">
        <v>22950</v>
      </c>
      <c r="AK22">
        <v>11570912025</v>
      </c>
      <c r="AL22">
        <v>5686394156744</v>
      </c>
      <c r="AM22">
        <v>3885463226</v>
      </c>
      <c r="AN22">
        <v>0</v>
      </c>
      <c r="AO22">
        <v>39256056</v>
      </c>
      <c r="AP22">
        <v>3885463226</v>
      </c>
      <c r="AQ22">
        <v>3924719282</v>
      </c>
      <c r="AR22">
        <v>129515440</v>
      </c>
      <c r="AS22">
        <v>0</v>
      </c>
      <c r="AT22">
        <v>1308535</v>
      </c>
      <c r="AU22">
        <v>129515440</v>
      </c>
      <c r="AV22">
        <v>130823976</v>
      </c>
      <c r="AW22">
        <v>19.6111</v>
      </c>
      <c r="AX22">
        <v>9.4992300000000007</v>
      </c>
      <c r="AY22">
        <v>4044.02</v>
      </c>
      <c r="AZ22">
        <v>3295.27</v>
      </c>
      <c r="BA22">
        <v>8001</v>
      </c>
      <c r="BB22">
        <v>1051</v>
      </c>
      <c r="BC22" t="str">
        <f t="shared" si="0"/>
        <v>u=1% k=2x10^8</v>
      </c>
    </row>
    <row r="23" spans="1:55">
      <c r="A23" t="s">
        <v>154</v>
      </c>
      <c r="B23" t="s">
        <v>82</v>
      </c>
      <c r="C23">
        <v>64</v>
      </c>
      <c r="D23" t="s">
        <v>64</v>
      </c>
      <c r="E23" t="s">
        <v>60</v>
      </c>
      <c r="F23" t="s">
        <v>61</v>
      </c>
      <c r="G23">
        <v>30000</v>
      </c>
      <c r="H23">
        <v>5</v>
      </c>
      <c r="I23">
        <v>5</v>
      </c>
      <c r="J23">
        <v>0</v>
      </c>
      <c r="K23">
        <v>1</v>
      </c>
      <c r="L23">
        <v>2000000</v>
      </c>
      <c r="M23">
        <v>190</v>
      </c>
      <c r="N23">
        <v>190</v>
      </c>
      <c r="O23">
        <v>190</v>
      </c>
      <c r="P23">
        <v>0</v>
      </c>
      <c r="Q23" t="s">
        <v>62</v>
      </c>
      <c r="R23">
        <v>1000805290649</v>
      </c>
      <c r="S23">
        <v>1000372</v>
      </c>
      <c r="T23">
        <v>1000805290649</v>
      </c>
      <c r="U23">
        <v>1000372</v>
      </c>
      <c r="V23" t="s">
        <v>71</v>
      </c>
      <c r="W23">
        <v>6</v>
      </c>
      <c r="X23">
        <v>71734</v>
      </c>
      <c r="Y23">
        <v>1111635</v>
      </c>
      <c r="Z23">
        <v>1183369</v>
      </c>
      <c r="AA23">
        <v>1000372</v>
      </c>
      <c r="AB23">
        <v>16.496600000000001</v>
      </c>
      <c r="AC23">
        <v>0.89990999999999999</v>
      </c>
      <c r="AD23">
        <v>1.8453599999999999</v>
      </c>
      <c r="AE23">
        <v>3.0823800000000001</v>
      </c>
      <c r="AF23">
        <v>23005168</v>
      </c>
      <c r="AG23" t="s">
        <v>155</v>
      </c>
      <c r="AH23" t="s">
        <v>156</v>
      </c>
      <c r="AI23">
        <v>201682</v>
      </c>
      <c r="AJ23">
        <v>7698</v>
      </c>
      <c r="AK23">
        <v>95451613894</v>
      </c>
      <c r="AL23">
        <v>5686394080058</v>
      </c>
      <c r="AM23">
        <v>996233790</v>
      </c>
      <c r="AN23">
        <v>0</v>
      </c>
      <c r="AO23">
        <v>110693806</v>
      </c>
      <c r="AP23">
        <v>996233790</v>
      </c>
      <c r="AQ23">
        <v>1106927596</v>
      </c>
      <c r="AR23">
        <v>33207793</v>
      </c>
      <c r="AS23">
        <v>0</v>
      </c>
      <c r="AT23">
        <v>3689793</v>
      </c>
      <c r="AU23">
        <v>33207793</v>
      </c>
      <c r="AV23">
        <v>36897586</v>
      </c>
      <c r="AW23">
        <v>18.061800000000002</v>
      </c>
      <c r="AX23">
        <v>4.2397999999999998</v>
      </c>
      <c r="AY23">
        <v>14343.6</v>
      </c>
      <c r="AZ23">
        <v>13377.6</v>
      </c>
      <c r="BA23">
        <v>1300</v>
      </c>
      <c r="BB23">
        <v>329</v>
      </c>
      <c r="BC23" t="str">
        <f t="shared" si="0"/>
        <v>u=10% k=2x10^6</v>
      </c>
    </row>
    <row r="24" spans="1:55">
      <c r="A24" t="s">
        <v>157</v>
      </c>
      <c r="B24" t="s">
        <v>82</v>
      </c>
      <c r="C24">
        <v>64</v>
      </c>
      <c r="D24" t="s">
        <v>64</v>
      </c>
      <c r="E24" t="s">
        <v>60</v>
      </c>
      <c r="F24" t="s">
        <v>61</v>
      </c>
      <c r="G24">
        <v>30000</v>
      </c>
      <c r="H24">
        <v>5</v>
      </c>
      <c r="I24">
        <v>5</v>
      </c>
      <c r="J24">
        <v>0</v>
      </c>
      <c r="K24">
        <v>1</v>
      </c>
      <c r="L24">
        <v>20000000</v>
      </c>
      <c r="M24">
        <v>190</v>
      </c>
      <c r="N24">
        <v>190</v>
      </c>
      <c r="O24">
        <v>190</v>
      </c>
      <c r="P24">
        <v>0</v>
      </c>
      <c r="Q24" t="s">
        <v>62</v>
      </c>
      <c r="R24">
        <v>100011799645654</v>
      </c>
      <c r="S24">
        <v>9999163</v>
      </c>
      <c r="T24">
        <v>100011799645654</v>
      </c>
      <c r="U24">
        <v>9999163</v>
      </c>
      <c r="V24" t="s">
        <v>71</v>
      </c>
      <c r="W24">
        <v>7</v>
      </c>
      <c r="X24">
        <v>1906746</v>
      </c>
      <c r="Y24">
        <v>12035740</v>
      </c>
      <c r="Z24">
        <v>13942486</v>
      </c>
      <c r="AA24">
        <v>9999163</v>
      </c>
      <c r="AB24">
        <v>7.3121900000000002</v>
      </c>
      <c r="AC24">
        <v>0.830789</v>
      </c>
      <c r="AD24">
        <v>1.7171700000000001</v>
      </c>
      <c r="AE24">
        <v>4.0561699999999998</v>
      </c>
      <c r="AF24">
        <v>329896720</v>
      </c>
      <c r="AG24" t="s">
        <v>158</v>
      </c>
      <c r="AH24" t="s">
        <v>159</v>
      </c>
      <c r="AI24">
        <v>60142</v>
      </c>
      <c r="AJ24">
        <v>7642</v>
      </c>
      <c r="AK24">
        <v>153908635865</v>
      </c>
      <c r="AL24">
        <v>5686394004377</v>
      </c>
      <c r="AM24">
        <v>1016951897</v>
      </c>
      <c r="AN24">
        <v>0</v>
      </c>
      <c r="AO24">
        <v>112995225</v>
      </c>
      <c r="AP24">
        <v>1016951897</v>
      </c>
      <c r="AQ24">
        <v>1129947122</v>
      </c>
      <c r="AR24">
        <v>33898396</v>
      </c>
      <c r="AS24">
        <v>0</v>
      </c>
      <c r="AT24">
        <v>3766507</v>
      </c>
      <c r="AU24">
        <v>33898396</v>
      </c>
      <c r="AV24">
        <v>37664904</v>
      </c>
      <c r="AW24">
        <v>21.980799999999999</v>
      </c>
      <c r="AX24">
        <v>9.2295400000000001</v>
      </c>
      <c r="AY24">
        <v>13886.5</v>
      </c>
      <c r="AZ24">
        <v>12879.6</v>
      </c>
      <c r="BA24">
        <v>2553</v>
      </c>
      <c r="BB24">
        <v>359</v>
      </c>
      <c r="BC24" t="str">
        <f t="shared" si="0"/>
        <v>u=10% k=2x10^7</v>
      </c>
    </row>
    <row r="25" spans="1:55">
      <c r="A25" t="s">
        <v>160</v>
      </c>
      <c r="B25" t="s">
        <v>82</v>
      </c>
      <c r="C25">
        <v>64</v>
      </c>
      <c r="D25" t="s">
        <v>64</v>
      </c>
      <c r="E25" t="s">
        <v>60</v>
      </c>
      <c r="F25" t="s">
        <v>61</v>
      </c>
      <c r="G25">
        <v>30000</v>
      </c>
      <c r="H25">
        <v>5</v>
      </c>
      <c r="I25">
        <v>5</v>
      </c>
      <c r="J25">
        <v>0</v>
      </c>
      <c r="K25">
        <v>1</v>
      </c>
      <c r="L25">
        <v>200000000</v>
      </c>
      <c r="M25">
        <v>190</v>
      </c>
      <c r="N25">
        <v>190</v>
      </c>
      <c r="O25">
        <v>190</v>
      </c>
      <c r="P25">
        <v>0</v>
      </c>
      <c r="Q25" t="s">
        <v>62</v>
      </c>
      <c r="R25">
        <v>9999396397608010</v>
      </c>
      <c r="S25">
        <v>99996610</v>
      </c>
      <c r="T25">
        <v>9999396397608010</v>
      </c>
      <c r="U25">
        <v>99996610</v>
      </c>
      <c r="V25" t="s">
        <v>71</v>
      </c>
      <c r="W25">
        <v>7</v>
      </c>
      <c r="X25">
        <v>14240269</v>
      </c>
      <c r="Y25">
        <v>116663510</v>
      </c>
      <c r="Z25">
        <v>130903779</v>
      </c>
      <c r="AA25">
        <v>99996610</v>
      </c>
      <c r="AB25">
        <v>9.1925100000000004</v>
      </c>
      <c r="AC25">
        <v>0.85713700000000004</v>
      </c>
      <c r="AD25">
        <v>1.76389</v>
      </c>
      <c r="AE25">
        <v>4.06698</v>
      </c>
      <c r="AF25">
        <v>2894576360</v>
      </c>
      <c r="AG25" t="s">
        <v>161</v>
      </c>
      <c r="AH25" t="s">
        <v>162</v>
      </c>
      <c r="AI25">
        <v>10008</v>
      </c>
      <c r="AJ25">
        <v>7194</v>
      </c>
      <c r="AK25">
        <v>196383279243</v>
      </c>
      <c r="AL25">
        <v>5686394102575</v>
      </c>
      <c r="AM25">
        <v>1065182868</v>
      </c>
      <c r="AN25">
        <v>0</v>
      </c>
      <c r="AO25">
        <v>118370477</v>
      </c>
      <c r="AP25">
        <v>1065182868</v>
      </c>
      <c r="AQ25">
        <v>1183553345</v>
      </c>
      <c r="AR25">
        <v>35506095</v>
      </c>
      <c r="AS25">
        <v>0</v>
      </c>
      <c r="AT25">
        <v>3945682</v>
      </c>
      <c r="AU25">
        <v>35506095</v>
      </c>
      <c r="AV25">
        <v>39451778</v>
      </c>
      <c r="AW25">
        <v>22.095099999999999</v>
      </c>
      <c r="AX25">
        <v>10.7682</v>
      </c>
      <c r="AY25">
        <v>13049</v>
      </c>
      <c r="AZ25">
        <v>12150.9</v>
      </c>
      <c r="BA25">
        <v>12790</v>
      </c>
      <c r="BB25">
        <v>1085</v>
      </c>
      <c r="BC25" t="str">
        <f t="shared" si="0"/>
        <v>u=10% k=2x10^8</v>
      </c>
    </row>
    <row r="26" spans="1:55">
      <c r="A26" t="s">
        <v>163</v>
      </c>
      <c r="B26" t="s">
        <v>82</v>
      </c>
      <c r="C26">
        <v>64</v>
      </c>
      <c r="D26" t="s">
        <v>64</v>
      </c>
      <c r="E26" t="s">
        <v>60</v>
      </c>
      <c r="F26" t="s">
        <v>61</v>
      </c>
      <c r="G26">
        <v>30000</v>
      </c>
      <c r="H26">
        <v>20</v>
      </c>
      <c r="I26">
        <v>20</v>
      </c>
      <c r="J26">
        <v>0</v>
      </c>
      <c r="K26">
        <v>1</v>
      </c>
      <c r="L26">
        <v>2000000</v>
      </c>
      <c r="M26">
        <v>190</v>
      </c>
      <c r="N26">
        <v>190</v>
      </c>
      <c r="O26">
        <v>190</v>
      </c>
      <c r="P26">
        <v>0</v>
      </c>
      <c r="Q26" t="s">
        <v>62</v>
      </c>
      <c r="R26">
        <v>999148849698</v>
      </c>
      <c r="S26">
        <v>998775</v>
      </c>
      <c r="T26">
        <v>999148849698</v>
      </c>
      <c r="U26">
        <v>998775</v>
      </c>
      <c r="V26" t="s">
        <v>71</v>
      </c>
      <c r="W26">
        <v>6</v>
      </c>
      <c r="X26">
        <v>65091</v>
      </c>
      <c r="Y26">
        <v>1098620</v>
      </c>
      <c r="Z26">
        <v>1163711</v>
      </c>
      <c r="AA26">
        <v>998775</v>
      </c>
      <c r="AB26">
        <v>17.8782</v>
      </c>
      <c r="AC26">
        <v>0.90911799999999998</v>
      </c>
      <c r="AD26">
        <v>1.8582700000000001</v>
      </c>
      <c r="AE26">
        <v>3.0703900000000002</v>
      </c>
      <c r="AF26">
        <v>22333368</v>
      </c>
      <c r="AG26" t="s">
        <v>164</v>
      </c>
      <c r="AH26" t="s">
        <v>165</v>
      </c>
      <c r="AI26">
        <v>492873</v>
      </c>
      <c r="AJ26">
        <v>3174</v>
      </c>
      <c r="AK26">
        <v>204509985744</v>
      </c>
      <c r="AL26">
        <v>5686395635616</v>
      </c>
      <c r="AM26">
        <v>271586816</v>
      </c>
      <c r="AN26">
        <v>0</v>
      </c>
      <c r="AO26">
        <v>181055429</v>
      </c>
      <c r="AP26">
        <v>271586816</v>
      </c>
      <c r="AQ26">
        <v>452642245</v>
      </c>
      <c r="AR26">
        <v>9052893</v>
      </c>
      <c r="AS26">
        <v>0</v>
      </c>
      <c r="AT26">
        <v>6035180</v>
      </c>
      <c r="AU26">
        <v>9052893</v>
      </c>
      <c r="AV26">
        <v>15088074</v>
      </c>
      <c r="AW26">
        <v>26.191400000000002</v>
      </c>
      <c r="AX26">
        <v>10.746700000000001</v>
      </c>
      <c r="AY26">
        <v>35062.9</v>
      </c>
      <c r="AZ26">
        <v>33194.800000000003</v>
      </c>
      <c r="BA26">
        <v>1328</v>
      </c>
      <c r="BB26">
        <v>290</v>
      </c>
      <c r="BC26" t="str">
        <f t="shared" si="0"/>
        <v>u=40% k=2x10^6</v>
      </c>
    </row>
    <row r="27" spans="1:55">
      <c r="A27" t="s">
        <v>166</v>
      </c>
      <c r="B27" t="s">
        <v>82</v>
      </c>
      <c r="C27">
        <v>64</v>
      </c>
      <c r="D27" t="s">
        <v>64</v>
      </c>
      <c r="E27" t="s">
        <v>60</v>
      </c>
      <c r="F27" t="s">
        <v>61</v>
      </c>
      <c r="G27">
        <v>30000</v>
      </c>
      <c r="H27">
        <v>20</v>
      </c>
      <c r="I27">
        <v>20</v>
      </c>
      <c r="J27">
        <v>0</v>
      </c>
      <c r="K27">
        <v>1</v>
      </c>
      <c r="L27">
        <v>20000000</v>
      </c>
      <c r="M27">
        <v>190</v>
      </c>
      <c r="N27">
        <v>190</v>
      </c>
      <c r="O27">
        <v>190</v>
      </c>
      <c r="P27">
        <v>0</v>
      </c>
      <c r="Q27" t="s">
        <v>62</v>
      </c>
      <c r="R27">
        <v>100036561853242</v>
      </c>
      <c r="S27">
        <v>10001952</v>
      </c>
      <c r="T27">
        <v>100036561853242</v>
      </c>
      <c r="U27">
        <v>10001952</v>
      </c>
      <c r="V27" t="s">
        <v>71</v>
      </c>
      <c r="W27">
        <v>7</v>
      </c>
      <c r="X27">
        <v>1892689</v>
      </c>
      <c r="Y27">
        <v>12001576</v>
      </c>
      <c r="Z27">
        <v>13894265</v>
      </c>
      <c r="AA27">
        <v>10001952</v>
      </c>
      <c r="AB27">
        <v>7.3410200000000003</v>
      </c>
      <c r="AC27">
        <v>0.83338699999999999</v>
      </c>
      <c r="AD27">
        <v>1.7198599999999999</v>
      </c>
      <c r="AE27">
        <v>4.0534800000000004</v>
      </c>
      <c r="AF27">
        <v>328321480</v>
      </c>
      <c r="AG27" t="s">
        <v>167</v>
      </c>
      <c r="AH27" t="s">
        <v>168</v>
      </c>
      <c r="AI27">
        <v>139918</v>
      </c>
      <c r="AJ27">
        <v>3534</v>
      </c>
      <c r="AK27">
        <v>301840629744</v>
      </c>
      <c r="AL27">
        <v>5686394604622</v>
      </c>
      <c r="AM27">
        <v>280958399</v>
      </c>
      <c r="AN27">
        <v>0</v>
      </c>
      <c r="AO27">
        <v>187297802</v>
      </c>
      <c r="AP27">
        <v>280958399</v>
      </c>
      <c r="AQ27">
        <v>468256201</v>
      </c>
      <c r="AR27">
        <v>9365279</v>
      </c>
      <c r="AS27">
        <v>0</v>
      </c>
      <c r="AT27">
        <v>6243260</v>
      </c>
      <c r="AU27">
        <v>9365279</v>
      </c>
      <c r="AV27">
        <v>15608540</v>
      </c>
      <c r="AW27">
        <v>32.9818</v>
      </c>
      <c r="AX27">
        <v>16.8933</v>
      </c>
      <c r="AY27">
        <v>33352.9</v>
      </c>
      <c r="AZ27">
        <v>30938.7</v>
      </c>
      <c r="BA27">
        <v>2672</v>
      </c>
      <c r="BB27">
        <v>344</v>
      </c>
      <c r="BC27" t="str">
        <f t="shared" si="0"/>
        <v>u=40% k=2x10^7</v>
      </c>
    </row>
    <row r="28" spans="1:55">
      <c r="A28" t="s">
        <v>169</v>
      </c>
      <c r="B28" t="s">
        <v>82</v>
      </c>
      <c r="C28">
        <v>64</v>
      </c>
      <c r="D28" t="s">
        <v>64</v>
      </c>
      <c r="E28" t="s">
        <v>60</v>
      </c>
      <c r="F28" t="s">
        <v>61</v>
      </c>
      <c r="G28">
        <v>30000</v>
      </c>
      <c r="H28">
        <v>20</v>
      </c>
      <c r="I28">
        <v>20</v>
      </c>
      <c r="J28">
        <v>0</v>
      </c>
      <c r="K28">
        <v>1</v>
      </c>
      <c r="L28">
        <v>200000000</v>
      </c>
      <c r="M28">
        <v>190</v>
      </c>
      <c r="N28">
        <v>190</v>
      </c>
      <c r="O28">
        <v>190</v>
      </c>
      <c r="P28">
        <v>0</v>
      </c>
      <c r="Q28" t="s">
        <v>62</v>
      </c>
      <c r="R28">
        <v>9998593603463210</v>
      </c>
      <c r="S28">
        <v>99993720</v>
      </c>
      <c r="T28">
        <v>9998593603463210</v>
      </c>
      <c r="U28">
        <v>99993720</v>
      </c>
      <c r="V28" t="s">
        <v>71</v>
      </c>
      <c r="W28">
        <v>7</v>
      </c>
      <c r="X28">
        <v>14838193</v>
      </c>
      <c r="Y28">
        <v>118043220</v>
      </c>
      <c r="Z28">
        <v>132881413</v>
      </c>
      <c r="AA28">
        <v>99993720</v>
      </c>
      <c r="AB28">
        <v>8.9553600000000007</v>
      </c>
      <c r="AC28">
        <v>0.84709400000000001</v>
      </c>
      <c r="AD28">
        <v>1.7524999999999999</v>
      </c>
      <c r="AE28">
        <v>4.0790699999999998</v>
      </c>
      <c r="AF28">
        <v>2961343512</v>
      </c>
      <c r="AG28" t="s">
        <v>170</v>
      </c>
      <c r="AH28" t="s">
        <v>171</v>
      </c>
      <c r="AI28">
        <v>24526</v>
      </c>
      <c r="AJ28">
        <v>3078</v>
      </c>
      <c r="AK28">
        <v>333902727980</v>
      </c>
      <c r="AL28">
        <v>5686662093651</v>
      </c>
      <c r="AM28">
        <v>281534581</v>
      </c>
      <c r="AN28">
        <v>0</v>
      </c>
      <c r="AO28">
        <v>187664906</v>
      </c>
      <c r="AP28">
        <v>281534581</v>
      </c>
      <c r="AQ28">
        <v>469199487</v>
      </c>
      <c r="AR28">
        <v>9384486</v>
      </c>
      <c r="AS28">
        <v>0</v>
      </c>
      <c r="AT28">
        <v>6255496</v>
      </c>
      <c r="AU28">
        <v>9384486</v>
      </c>
      <c r="AV28">
        <v>15639982</v>
      </c>
      <c r="AW28">
        <v>31.372</v>
      </c>
      <c r="AX28">
        <v>16.391300000000001</v>
      </c>
      <c r="AY28">
        <v>31980</v>
      </c>
      <c r="AZ28">
        <v>30217.1</v>
      </c>
      <c r="BA28">
        <v>12907</v>
      </c>
      <c r="BB28">
        <v>1115</v>
      </c>
      <c r="BC28" t="str">
        <f t="shared" si="0"/>
        <v>u=40% k=2x10^8</v>
      </c>
    </row>
    <row r="29" spans="1:55">
      <c r="A29" t="s">
        <v>172</v>
      </c>
      <c r="B29" t="s">
        <v>83</v>
      </c>
      <c r="C29">
        <v>72</v>
      </c>
      <c r="D29" t="s">
        <v>64</v>
      </c>
      <c r="E29" t="s">
        <v>60</v>
      </c>
      <c r="F29" t="s">
        <v>61</v>
      </c>
      <c r="G29">
        <v>30000</v>
      </c>
      <c r="H29">
        <v>0.5</v>
      </c>
      <c r="I29">
        <v>0.5</v>
      </c>
      <c r="J29">
        <v>0</v>
      </c>
      <c r="K29">
        <v>1</v>
      </c>
      <c r="L29">
        <v>2000000</v>
      </c>
      <c r="M29">
        <v>190</v>
      </c>
      <c r="N29">
        <v>190</v>
      </c>
      <c r="O29">
        <v>190</v>
      </c>
      <c r="P29">
        <v>0</v>
      </c>
      <c r="Q29" t="s">
        <v>62</v>
      </c>
      <c r="R29">
        <v>999014389109</v>
      </c>
      <c r="S29">
        <v>999351</v>
      </c>
      <c r="T29">
        <v>999014389109</v>
      </c>
      <c r="U29">
        <v>999351</v>
      </c>
      <c r="V29" t="s">
        <v>71</v>
      </c>
      <c r="W29">
        <v>6</v>
      </c>
      <c r="X29">
        <v>56995</v>
      </c>
      <c r="Y29">
        <v>1080213</v>
      </c>
      <c r="Z29">
        <v>1137208</v>
      </c>
      <c r="AA29">
        <v>999351</v>
      </c>
      <c r="AB29">
        <v>19.9528</v>
      </c>
      <c r="AC29">
        <v>0.92514300000000005</v>
      </c>
      <c r="AD29">
        <v>1.8787799999999999</v>
      </c>
      <c r="AE29">
        <v>3.0504899999999999</v>
      </c>
      <c r="AF29">
        <v>21870096</v>
      </c>
      <c r="AG29" t="s">
        <v>173</v>
      </c>
      <c r="AH29" t="s">
        <v>174</v>
      </c>
      <c r="AI29">
        <v>320614</v>
      </c>
      <c r="AJ29">
        <v>90472</v>
      </c>
      <c r="AK29">
        <v>118714151301</v>
      </c>
      <c r="AL29">
        <v>5686394409902</v>
      </c>
      <c r="AM29">
        <v>12920323761</v>
      </c>
      <c r="AN29">
        <v>0</v>
      </c>
      <c r="AO29">
        <v>130515089</v>
      </c>
      <c r="AP29">
        <v>12920323761</v>
      </c>
      <c r="AQ29">
        <v>13050838850</v>
      </c>
      <c r="AR29">
        <v>430677458</v>
      </c>
      <c r="AS29">
        <v>0</v>
      </c>
      <c r="AT29">
        <v>4350502</v>
      </c>
      <c r="AU29">
        <v>430677458</v>
      </c>
      <c r="AV29">
        <v>435027961</v>
      </c>
      <c r="AW29">
        <v>8.6334999999999997</v>
      </c>
      <c r="AX29">
        <v>0.41508699999999998</v>
      </c>
      <c r="AY29">
        <v>1194.26</v>
      </c>
      <c r="AZ29">
        <v>455.97199999999998</v>
      </c>
      <c r="BA29">
        <v>1425</v>
      </c>
      <c r="BB29">
        <v>340</v>
      </c>
      <c r="BC29" t="str">
        <f t="shared" si="0"/>
        <v>u=1% k=2x10^6</v>
      </c>
    </row>
    <row r="30" spans="1:55">
      <c r="A30" t="s">
        <v>175</v>
      </c>
      <c r="B30" t="s">
        <v>83</v>
      </c>
      <c r="C30">
        <v>72</v>
      </c>
      <c r="D30" t="s">
        <v>64</v>
      </c>
      <c r="E30" t="s">
        <v>60</v>
      </c>
      <c r="F30" t="s">
        <v>61</v>
      </c>
      <c r="G30">
        <v>30000</v>
      </c>
      <c r="H30">
        <v>0.5</v>
      </c>
      <c r="I30">
        <v>0.5</v>
      </c>
      <c r="J30">
        <v>0</v>
      </c>
      <c r="K30">
        <v>1</v>
      </c>
      <c r="L30">
        <v>20000000</v>
      </c>
      <c r="M30">
        <v>190</v>
      </c>
      <c r="N30">
        <v>190</v>
      </c>
      <c r="O30">
        <v>190</v>
      </c>
      <c r="P30">
        <v>0</v>
      </c>
      <c r="Q30" t="s">
        <v>62</v>
      </c>
      <c r="R30">
        <v>99969551650659</v>
      </c>
      <c r="S30">
        <v>9999088</v>
      </c>
      <c r="T30">
        <v>99969551650659</v>
      </c>
      <c r="U30">
        <v>9999088</v>
      </c>
      <c r="V30" t="s">
        <v>71</v>
      </c>
      <c r="W30">
        <v>7</v>
      </c>
      <c r="X30">
        <v>1690649</v>
      </c>
      <c r="Y30">
        <v>11572780</v>
      </c>
      <c r="Z30">
        <v>13263429</v>
      </c>
      <c r="AA30">
        <v>9999088</v>
      </c>
      <c r="AB30">
        <v>7.8451700000000004</v>
      </c>
      <c r="AC30">
        <v>0.86401799999999995</v>
      </c>
      <c r="AD30">
        <v>1.7538800000000001</v>
      </c>
      <c r="AE30">
        <v>4.0129700000000001</v>
      </c>
      <c r="AF30">
        <v>320416448</v>
      </c>
      <c r="AG30" t="s">
        <v>176</v>
      </c>
      <c r="AH30" t="s">
        <v>177</v>
      </c>
      <c r="AI30">
        <v>36577</v>
      </c>
      <c r="AJ30">
        <v>46228</v>
      </c>
      <c r="AK30">
        <v>94217561088</v>
      </c>
      <c r="AL30">
        <v>5686394029370</v>
      </c>
      <c r="AM30">
        <v>7452081108</v>
      </c>
      <c r="AN30">
        <v>0</v>
      </c>
      <c r="AO30">
        <v>75280448</v>
      </c>
      <c r="AP30">
        <v>7452081108</v>
      </c>
      <c r="AQ30">
        <v>7527361556</v>
      </c>
      <c r="AR30">
        <v>248402703</v>
      </c>
      <c r="AS30">
        <v>0</v>
      </c>
      <c r="AT30">
        <v>2509348</v>
      </c>
      <c r="AU30">
        <v>248402703</v>
      </c>
      <c r="AV30">
        <v>250912051</v>
      </c>
      <c r="AW30">
        <v>16.3264</v>
      </c>
      <c r="AX30">
        <v>6.6547999999999998</v>
      </c>
      <c r="AY30">
        <v>2079.35</v>
      </c>
      <c r="AZ30">
        <v>1304.18</v>
      </c>
      <c r="BA30">
        <v>2774</v>
      </c>
      <c r="BB30">
        <v>378</v>
      </c>
      <c r="BC30" t="str">
        <f t="shared" si="0"/>
        <v>u=1% k=2x10^7</v>
      </c>
    </row>
    <row r="31" spans="1:55">
      <c r="A31" t="s">
        <v>178</v>
      </c>
      <c r="B31" t="s">
        <v>83</v>
      </c>
      <c r="C31">
        <v>72</v>
      </c>
      <c r="D31" t="s">
        <v>64</v>
      </c>
      <c r="E31" t="s">
        <v>60</v>
      </c>
      <c r="F31" t="s">
        <v>61</v>
      </c>
      <c r="G31">
        <v>30000</v>
      </c>
      <c r="H31">
        <v>0.5</v>
      </c>
      <c r="I31">
        <v>0.5</v>
      </c>
      <c r="J31">
        <v>0</v>
      </c>
      <c r="K31">
        <v>1</v>
      </c>
      <c r="L31">
        <v>200000000</v>
      </c>
      <c r="M31">
        <v>190</v>
      </c>
      <c r="N31">
        <v>190</v>
      </c>
      <c r="O31">
        <v>190</v>
      </c>
      <c r="P31">
        <v>0</v>
      </c>
      <c r="Q31" t="s">
        <v>62</v>
      </c>
      <c r="R31">
        <v>1.00004264139947E+16</v>
      </c>
      <c r="S31">
        <v>100004365</v>
      </c>
      <c r="T31">
        <v>1.00004264139947E+16</v>
      </c>
      <c r="U31">
        <v>100004365</v>
      </c>
      <c r="V31" t="s">
        <v>71</v>
      </c>
      <c r="W31">
        <v>7</v>
      </c>
      <c r="X31">
        <v>12548544</v>
      </c>
      <c r="Y31">
        <v>113116914</v>
      </c>
      <c r="Z31">
        <v>125665458</v>
      </c>
      <c r="AA31">
        <v>100004365</v>
      </c>
      <c r="AB31">
        <v>10.0143</v>
      </c>
      <c r="AC31">
        <v>0.88407999999999998</v>
      </c>
      <c r="AD31">
        <v>1.7958000000000001</v>
      </c>
      <c r="AE31">
        <v>4.0313400000000001</v>
      </c>
      <c r="AF31">
        <v>2814400608</v>
      </c>
      <c r="AG31" t="s">
        <v>179</v>
      </c>
      <c r="AH31" t="s">
        <v>180</v>
      </c>
      <c r="AI31">
        <v>4490</v>
      </c>
      <c r="AJ31">
        <v>32622</v>
      </c>
      <c r="AK31">
        <v>118319637397</v>
      </c>
      <c r="AL31">
        <v>5686443639640</v>
      </c>
      <c r="AM31">
        <v>5619052738</v>
      </c>
      <c r="AN31">
        <v>0</v>
      </c>
      <c r="AO31">
        <v>56754299</v>
      </c>
      <c r="AP31">
        <v>5619052738</v>
      </c>
      <c r="AQ31">
        <v>5675807037</v>
      </c>
      <c r="AR31">
        <v>187301757</v>
      </c>
      <c r="AS31">
        <v>0</v>
      </c>
      <c r="AT31">
        <v>1891809</v>
      </c>
      <c r="AU31">
        <v>187301757</v>
      </c>
      <c r="AV31">
        <v>189193567</v>
      </c>
      <c r="AW31">
        <v>19.493500000000001</v>
      </c>
      <c r="AX31">
        <v>9.5854800000000004</v>
      </c>
      <c r="AY31">
        <v>2736.63</v>
      </c>
      <c r="AZ31">
        <v>1980.35</v>
      </c>
      <c r="BA31">
        <v>13360</v>
      </c>
      <c r="BB31">
        <v>1048</v>
      </c>
      <c r="BC31" t="str">
        <f t="shared" si="0"/>
        <v>u=1% k=2x10^8</v>
      </c>
    </row>
    <row r="32" spans="1:55">
      <c r="A32" t="s">
        <v>181</v>
      </c>
      <c r="B32" t="s">
        <v>83</v>
      </c>
      <c r="C32">
        <v>72</v>
      </c>
      <c r="D32" t="s">
        <v>64</v>
      </c>
      <c r="E32" t="s">
        <v>60</v>
      </c>
      <c r="F32" t="s">
        <v>61</v>
      </c>
      <c r="G32">
        <v>30000</v>
      </c>
      <c r="H32">
        <v>5</v>
      </c>
      <c r="I32">
        <v>5</v>
      </c>
      <c r="J32">
        <v>0</v>
      </c>
      <c r="K32">
        <v>1</v>
      </c>
      <c r="L32">
        <v>2000000</v>
      </c>
      <c r="M32">
        <v>190</v>
      </c>
      <c r="N32">
        <v>190</v>
      </c>
      <c r="O32">
        <v>190</v>
      </c>
      <c r="P32">
        <v>0</v>
      </c>
      <c r="Q32" t="s">
        <v>62</v>
      </c>
      <c r="R32">
        <v>999810965369</v>
      </c>
      <c r="S32">
        <v>1000030</v>
      </c>
      <c r="T32">
        <v>999810965369</v>
      </c>
      <c r="U32">
        <v>1000030</v>
      </c>
      <c r="V32" t="s">
        <v>71</v>
      </c>
      <c r="W32">
        <v>6</v>
      </c>
      <c r="X32">
        <v>33092</v>
      </c>
      <c r="Y32">
        <v>1032160</v>
      </c>
      <c r="Z32">
        <v>1065252</v>
      </c>
      <c r="AA32">
        <v>1000030</v>
      </c>
      <c r="AB32">
        <v>32.190600000000003</v>
      </c>
      <c r="AC32">
        <v>0.96887100000000004</v>
      </c>
      <c r="AD32">
        <v>1.9387700000000001</v>
      </c>
      <c r="AE32">
        <v>3.0001099999999998</v>
      </c>
      <c r="AF32">
        <v>19161904</v>
      </c>
      <c r="AG32" t="s">
        <v>182</v>
      </c>
      <c r="AH32" t="s">
        <v>183</v>
      </c>
      <c r="AI32">
        <v>8113482</v>
      </c>
      <c r="AJ32">
        <v>50210</v>
      </c>
      <c r="AK32">
        <v>883254768485</v>
      </c>
      <c r="AL32">
        <v>5686923689130</v>
      </c>
      <c r="AM32">
        <v>6607122746</v>
      </c>
      <c r="AN32">
        <v>0</v>
      </c>
      <c r="AO32">
        <v>734135646</v>
      </c>
      <c r="AP32">
        <v>6607122746</v>
      </c>
      <c r="AQ32">
        <v>7341258392</v>
      </c>
      <c r="AR32">
        <v>220237424</v>
      </c>
      <c r="AS32">
        <v>0</v>
      </c>
      <c r="AT32">
        <v>24471188</v>
      </c>
      <c r="AU32">
        <v>220237424</v>
      </c>
      <c r="AV32">
        <v>244708613</v>
      </c>
      <c r="AW32">
        <v>12.327</v>
      </c>
      <c r="AX32">
        <v>3.1604299999999999</v>
      </c>
      <c r="AY32">
        <v>2149.9899999999998</v>
      </c>
      <c r="AZ32">
        <v>1314.07</v>
      </c>
      <c r="BA32">
        <v>1596</v>
      </c>
      <c r="BB32">
        <v>296</v>
      </c>
      <c r="BC32" t="str">
        <f t="shared" si="0"/>
        <v>u=10% k=2x10^6</v>
      </c>
    </row>
    <row r="33" spans="1:55">
      <c r="A33" t="s">
        <v>184</v>
      </c>
      <c r="B33" t="s">
        <v>83</v>
      </c>
      <c r="C33">
        <v>72</v>
      </c>
      <c r="D33" t="s">
        <v>64</v>
      </c>
      <c r="E33" t="s">
        <v>60</v>
      </c>
      <c r="F33" t="s">
        <v>61</v>
      </c>
      <c r="G33">
        <v>30000</v>
      </c>
      <c r="H33">
        <v>5</v>
      </c>
      <c r="I33">
        <v>5</v>
      </c>
      <c r="J33">
        <v>0</v>
      </c>
      <c r="K33">
        <v>1</v>
      </c>
      <c r="L33">
        <v>20000000</v>
      </c>
      <c r="M33">
        <v>190</v>
      </c>
      <c r="N33">
        <v>190</v>
      </c>
      <c r="O33">
        <v>190</v>
      </c>
      <c r="P33">
        <v>0</v>
      </c>
      <c r="Q33" t="s">
        <v>62</v>
      </c>
      <c r="R33">
        <v>100027104028365</v>
      </c>
      <c r="S33">
        <v>10001975</v>
      </c>
      <c r="T33">
        <v>100027104028365</v>
      </c>
      <c r="U33">
        <v>10001975</v>
      </c>
      <c r="V33" t="s">
        <v>71</v>
      </c>
      <c r="W33">
        <v>7</v>
      </c>
      <c r="X33">
        <v>1741255</v>
      </c>
      <c r="Y33">
        <v>11684346</v>
      </c>
      <c r="Z33">
        <v>13425601</v>
      </c>
      <c r="AA33">
        <v>10001975</v>
      </c>
      <c r="AB33">
        <v>7.7103000000000002</v>
      </c>
      <c r="AC33">
        <v>0.85601499999999997</v>
      </c>
      <c r="AD33">
        <v>1.74499</v>
      </c>
      <c r="AE33">
        <v>4.0237499999999997</v>
      </c>
      <c r="AF33">
        <v>326252288</v>
      </c>
      <c r="AG33" t="s">
        <v>185</v>
      </c>
      <c r="AH33" t="s">
        <v>186</v>
      </c>
      <c r="AI33">
        <v>831063</v>
      </c>
      <c r="AJ33">
        <v>35974</v>
      </c>
      <c r="AK33">
        <v>553606796455</v>
      </c>
      <c r="AL33">
        <v>5686397458938</v>
      </c>
      <c r="AM33">
        <v>4942467779</v>
      </c>
      <c r="AN33">
        <v>0</v>
      </c>
      <c r="AO33">
        <v>549113389</v>
      </c>
      <c r="AP33">
        <v>4942467779</v>
      </c>
      <c r="AQ33">
        <v>5491581168</v>
      </c>
      <c r="AR33">
        <v>164748925</v>
      </c>
      <c r="AS33">
        <v>0</v>
      </c>
      <c r="AT33">
        <v>18303779</v>
      </c>
      <c r="AU33">
        <v>164748925</v>
      </c>
      <c r="AV33">
        <v>183052705</v>
      </c>
      <c r="AW33">
        <v>19.270600000000002</v>
      </c>
      <c r="AX33">
        <v>8.5564300000000006</v>
      </c>
      <c r="AY33">
        <v>2830.81</v>
      </c>
      <c r="AZ33">
        <v>1896.77</v>
      </c>
      <c r="BA33">
        <v>2869</v>
      </c>
      <c r="BB33">
        <v>377</v>
      </c>
      <c r="BC33" t="str">
        <f t="shared" si="0"/>
        <v>u=10% k=2x10^7</v>
      </c>
    </row>
    <row r="34" spans="1:55">
      <c r="A34" t="s">
        <v>187</v>
      </c>
      <c r="B34" t="s">
        <v>83</v>
      </c>
      <c r="C34">
        <v>72</v>
      </c>
      <c r="D34" t="s">
        <v>64</v>
      </c>
      <c r="E34" t="s">
        <v>60</v>
      </c>
      <c r="F34" t="s">
        <v>61</v>
      </c>
      <c r="G34">
        <v>30000</v>
      </c>
      <c r="H34">
        <v>5</v>
      </c>
      <c r="I34">
        <v>5</v>
      </c>
      <c r="J34">
        <v>0</v>
      </c>
      <c r="K34">
        <v>1</v>
      </c>
      <c r="L34">
        <v>200000000</v>
      </c>
      <c r="M34">
        <v>190</v>
      </c>
      <c r="N34">
        <v>190</v>
      </c>
      <c r="O34">
        <v>190</v>
      </c>
      <c r="P34">
        <v>0</v>
      </c>
      <c r="Q34" t="s">
        <v>62</v>
      </c>
      <c r="R34">
        <v>9999511487861830</v>
      </c>
      <c r="S34">
        <v>99991436</v>
      </c>
      <c r="T34">
        <v>9999511487861830</v>
      </c>
      <c r="U34">
        <v>99991436</v>
      </c>
      <c r="V34" t="s">
        <v>71</v>
      </c>
      <c r="W34">
        <v>7</v>
      </c>
      <c r="X34">
        <v>14846246</v>
      </c>
      <c r="Y34">
        <v>118015236</v>
      </c>
      <c r="Z34">
        <v>132861482</v>
      </c>
      <c r="AA34">
        <v>99991436</v>
      </c>
      <c r="AB34">
        <v>8.9491599999999991</v>
      </c>
      <c r="AC34">
        <v>0.84727600000000003</v>
      </c>
      <c r="AD34">
        <v>1.7525999999999999</v>
      </c>
      <c r="AE34">
        <v>4.0800999999999998</v>
      </c>
      <c r="AF34">
        <v>3079825488</v>
      </c>
      <c r="AG34" t="s">
        <v>188</v>
      </c>
      <c r="AH34" t="s">
        <v>189</v>
      </c>
      <c r="AI34">
        <v>130588</v>
      </c>
      <c r="AJ34">
        <v>18902</v>
      </c>
      <c r="AK34">
        <v>571535238731</v>
      </c>
      <c r="AL34">
        <v>5686679224702</v>
      </c>
      <c r="AM34">
        <v>3846491785</v>
      </c>
      <c r="AN34">
        <v>0</v>
      </c>
      <c r="AO34">
        <v>427400490</v>
      </c>
      <c r="AP34">
        <v>3846491785</v>
      </c>
      <c r="AQ34">
        <v>4273892275</v>
      </c>
      <c r="AR34">
        <v>128216392</v>
      </c>
      <c r="AS34">
        <v>0</v>
      </c>
      <c r="AT34">
        <v>14246683</v>
      </c>
      <c r="AU34">
        <v>128216392</v>
      </c>
      <c r="AV34">
        <v>142463075</v>
      </c>
      <c r="AW34">
        <v>22.2257</v>
      </c>
      <c r="AX34">
        <v>11.283899999999999</v>
      </c>
      <c r="AY34">
        <v>3434.21</v>
      </c>
      <c r="AZ34">
        <v>2550.8200000000002</v>
      </c>
      <c r="BA34">
        <v>14278</v>
      </c>
      <c r="BB34">
        <v>1149</v>
      </c>
      <c r="BC34" t="str">
        <f t="shared" si="0"/>
        <v>u=10% k=2x10^8</v>
      </c>
    </row>
    <row r="35" spans="1:55">
      <c r="A35" t="s">
        <v>190</v>
      </c>
      <c r="B35" t="s">
        <v>83</v>
      </c>
      <c r="C35">
        <v>72</v>
      </c>
      <c r="D35" t="s">
        <v>64</v>
      </c>
      <c r="E35" t="s">
        <v>60</v>
      </c>
      <c r="F35" t="s">
        <v>61</v>
      </c>
      <c r="G35">
        <v>30000</v>
      </c>
      <c r="H35">
        <v>20</v>
      </c>
      <c r="I35">
        <v>20</v>
      </c>
      <c r="J35">
        <v>0</v>
      </c>
      <c r="K35">
        <v>1</v>
      </c>
      <c r="L35">
        <v>2000000</v>
      </c>
      <c r="M35">
        <v>190</v>
      </c>
      <c r="N35">
        <v>190</v>
      </c>
      <c r="O35">
        <v>190</v>
      </c>
      <c r="P35">
        <v>0</v>
      </c>
      <c r="Q35" t="s">
        <v>62</v>
      </c>
      <c r="R35">
        <v>999980147825</v>
      </c>
      <c r="S35">
        <v>1000223</v>
      </c>
      <c r="T35">
        <v>999980147825</v>
      </c>
      <c r="U35">
        <v>1000223</v>
      </c>
      <c r="V35" t="s">
        <v>71</v>
      </c>
      <c r="W35">
        <v>7</v>
      </c>
      <c r="X35">
        <v>55079</v>
      </c>
      <c r="Y35">
        <v>1077010</v>
      </c>
      <c r="Z35">
        <v>1132089</v>
      </c>
      <c r="AA35">
        <v>1000223</v>
      </c>
      <c r="AB35">
        <v>20.553899999999999</v>
      </c>
      <c r="AC35">
        <v>0.92870399999999997</v>
      </c>
      <c r="AD35">
        <v>1.8835200000000001</v>
      </c>
      <c r="AE35">
        <v>3.0462199999999999</v>
      </c>
      <c r="AF35">
        <v>21661488</v>
      </c>
      <c r="AG35" t="s">
        <v>191</v>
      </c>
      <c r="AH35" t="s">
        <v>192</v>
      </c>
      <c r="AI35">
        <v>24666543</v>
      </c>
      <c r="AJ35">
        <v>20956</v>
      </c>
      <c r="AK35">
        <v>1784577559348</v>
      </c>
      <c r="AL35">
        <v>5686395799543</v>
      </c>
      <c r="AM35">
        <v>1741672930</v>
      </c>
      <c r="AN35">
        <v>0</v>
      </c>
      <c r="AO35">
        <v>1161116634</v>
      </c>
      <c r="AP35">
        <v>1741672930</v>
      </c>
      <c r="AQ35">
        <v>2902789564</v>
      </c>
      <c r="AR35">
        <v>58055764</v>
      </c>
      <c r="AS35">
        <v>0</v>
      </c>
      <c r="AT35">
        <v>38703887</v>
      </c>
      <c r="AU35">
        <v>58055764</v>
      </c>
      <c r="AV35">
        <v>96759652</v>
      </c>
      <c r="AW35">
        <v>25.0367</v>
      </c>
      <c r="AX35">
        <v>11.957000000000001</v>
      </c>
      <c r="AY35">
        <v>5461.65</v>
      </c>
      <c r="AZ35">
        <v>4158.1499999999996</v>
      </c>
      <c r="BA35">
        <v>1755</v>
      </c>
      <c r="BB35">
        <v>409</v>
      </c>
      <c r="BC35" t="str">
        <f t="shared" si="0"/>
        <v>u=40% k=2x10^6</v>
      </c>
    </row>
    <row r="36" spans="1:55">
      <c r="A36" t="s">
        <v>193</v>
      </c>
      <c r="B36" t="s">
        <v>83</v>
      </c>
      <c r="C36">
        <v>72</v>
      </c>
      <c r="D36" t="s">
        <v>64</v>
      </c>
      <c r="E36" t="s">
        <v>60</v>
      </c>
      <c r="F36" t="s">
        <v>61</v>
      </c>
      <c r="G36">
        <v>30000</v>
      </c>
      <c r="H36">
        <v>20</v>
      </c>
      <c r="I36">
        <v>20</v>
      </c>
      <c r="J36">
        <v>0</v>
      </c>
      <c r="K36">
        <v>1</v>
      </c>
      <c r="L36">
        <v>20000000</v>
      </c>
      <c r="M36">
        <v>190</v>
      </c>
      <c r="N36">
        <v>190</v>
      </c>
      <c r="O36">
        <v>190</v>
      </c>
      <c r="P36">
        <v>0</v>
      </c>
      <c r="Q36" t="s">
        <v>62</v>
      </c>
      <c r="R36">
        <v>99999743801815</v>
      </c>
      <c r="S36">
        <v>10001457</v>
      </c>
      <c r="T36">
        <v>99999743801815</v>
      </c>
      <c r="U36">
        <v>10001457</v>
      </c>
      <c r="V36" t="s">
        <v>71</v>
      </c>
      <c r="W36">
        <v>7</v>
      </c>
      <c r="X36">
        <v>1829427</v>
      </c>
      <c r="Y36">
        <v>11868126</v>
      </c>
      <c r="Z36">
        <v>13697553</v>
      </c>
      <c r="AA36">
        <v>10001457</v>
      </c>
      <c r="AB36">
        <v>7.4873500000000002</v>
      </c>
      <c r="AC36">
        <v>0.84271600000000002</v>
      </c>
      <c r="AD36">
        <v>1.7301599999999999</v>
      </c>
      <c r="AE36">
        <v>4.0415400000000004</v>
      </c>
      <c r="AF36">
        <v>336251712</v>
      </c>
      <c r="AG36" t="s">
        <v>194</v>
      </c>
      <c r="AH36" t="s">
        <v>195</v>
      </c>
      <c r="AI36">
        <v>2947187</v>
      </c>
      <c r="AJ36">
        <v>22152</v>
      </c>
      <c r="AK36">
        <v>1161903013707</v>
      </c>
      <c r="AL36">
        <v>5686394028378</v>
      </c>
      <c r="AM36">
        <v>1739704111</v>
      </c>
      <c r="AN36">
        <v>0</v>
      </c>
      <c r="AO36">
        <v>1159801177</v>
      </c>
      <c r="AP36">
        <v>1739704111</v>
      </c>
      <c r="AQ36">
        <v>2899505288</v>
      </c>
      <c r="AR36">
        <v>57990137</v>
      </c>
      <c r="AS36">
        <v>0</v>
      </c>
      <c r="AT36">
        <v>38660039</v>
      </c>
      <c r="AU36">
        <v>57990137</v>
      </c>
      <c r="AV36">
        <v>96650176</v>
      </c>
      <c r="AW36">
        <v>28.689800000000002</v>
      </c>
      <c r="AX36">
        <v>15.300800000000001</v>
      </c>
      <c r="AY36">
        <v>5298.88</v>
      </c>
      <c r="AZ36">
        <v>3615.09</v>
      </c>
      <c r="BA36">
        <v>2940</v>
      </c>
      <c r="BB36">
        <v>399</v>
      </c>
      <c r="BC36" t="str">
        <f t="shared" si="0"/>
        <v>u=40% k=2x10^7</v>
      </c>
    </row>
    <row r="37" spans="1:55">
      <c r="A37" t="s">
        <v>196</v>
      </c>
      <c r="B37" t="s">
        <v>83</v>
      </c>
      <c r="C37">
        <v>72</v>
      </c>
      <c r="D37" t="s">
        <v>64</v>
      </c>
      <c r="E37" t="s">
        <v>60</v>
      </c>
      <c r="F37" t="s">
        <v>61</v>
      </c>
      <c r="G37">
        <v>30000</v>
      </c>
      <c r="H37">
        <v>20</v>
      </c>
      <c r="I37">
        <v>20</v>
      </c>
      <c r="J37">
        <v>0</v>
      </c>
      <c r="K37">
        <v>1</v>
      </c>
      <c r="L37">
        <v>200000000</v>
      </c>
      <c r="M37">
        <v>190</v>
      </c>
      <c r="N37">
        <v>190</v>
      </c>
      <c r="O37">
        <v>190</v>
      </c>
      <c r="P37">
        <v>0</v>
      </c>
      <c r="Q37" t="s">
        <v>62</v>
      </c>
      <c r="R37">
        <v>9999681723733780</v>
      </c>
      <c r="S37">
        <v>99986403</v>
      </c>
      <c r="T37">
        <v>9999681723733780</v>
      </c>
      <c r="U37">
        <v>99986403</v>
      </c>
      <c r="V37" t="s">
        <v>71</v>
      </c>
      <c r="W37">
        <v>7</v>
      </c>
      <c r="X37">
        <v>11010055</v>
      </c>
      <c r="Y37">
        <v>109986502</v>
      </c>
      <c r="Z37">
        <v>120996557</v>
      </c>
      <c r="AA37">
        <v>99986403</v>
      </c>
      <c r="AB37">
        <v>10.989599999999999</v>
      </c>
      <c r="AC37">
        <v>0.90907899999999997</v>
      </c>
      <c r="AD37">
        <v>1.82636</v>
      </c>
      <c r="AE37">
        <v>4</v>
      </c>
      <c r="AF37">
        <v>2640588416</v>
      </c>
      <c r="AG37" t="s">
        <v>197</v>
      </c>
      <c r="AH37" t="s">
        <v>198</v>
      </c>
      <c r="AI37">
        <v>514179</v>
      </c>
      <c r="AJ37">
        <v>12706</v>
      </c>
      <c r="AK37">
        <v>1139180489040</v>
      </c>
      <c r="AL37">
        <v>5697545917484</v>
      </c>
      <c r="AM37">
        <v>1500073001</v>
      </c>
      <c r="AN37">
        <v>0</v>
      </c>
      <c r="AO37">
        <v>999974060</v>
      </c>
      <c r="AP37">
        <v>1500073001</v>
      </c>
      <c r="AQ37">
        <v>2500047061</v>
      </c>
      <c r="AR37">
        <v>50002433</v>
      </c>
      <c r="AS37">
        <v>0</v>
      </c>
      <c r="AT37">
        <v>33332468</v>
      </c>
      <c r="AU37">
        <v>50002433</v>
      </c>
      <c r="AV37">
        <v>83334902</v>
      </c>
      <c r="AW37">
        <v>31.552900000000001</v>
      </c>
      <c r="AX37">
        <v>17.653500000000001</v>
      </c>
      <c r="AY37">
        <v>5710.64</v>
      </c>
      <c r="AZ37">
        <v>4219.5600000000004</v>
      </c>
      <c r="BA37">
        <v>14424</v>
      </c>
      <c r="BB37">
        <v>1073</v>
      </c>
      <c r="BC37" t="str">
        <f t="shared" si="0"/>
        <v>u=40% k=2x10^8</v>
      </c>
    </row>
    <row r="38" spans="1:55">
      <c r="A38" t="s">
        <v>199</v>
      </c>
      <c r="B38" t="s">
        <v>83</v>
      </c>
      <c r="C38">
        <v>72</v>
      </c>
      <c r="D38" t="s">
        <v>64</v>
      </c>
      <c r="E38" t="s">
        <v>60</v>
      </c>
      <c r="F38" t="s">
        <v>61</v>
      </c>
      <c r="G38">
        <v>30000</v>
      </c>
      <c r="H38">
        <v>0.5</v>
      </c>
      <c r="I38">
        <v>0.5</v>
      </c>
      <c r="J38">
        <v>0</v>
      </c>
      <c r="K38">
        <v>1</v>
      </c>
      <c r="L38">
        <v>2000000</v>
      </c>
      <c r="M38">
        <v>190</v>
      </c>
      <c r="N38">
        <v>190</v>
      </c>
      <c r="O38">
        <v>190</v>
      </c>
      <c r="P38">
        <v>0</v>
      </c>
      <c r="Q38" t="s">
        <v>62</v>
      </c>
      <c r="R38">
        <v>999556455351</v>
      </c>
      <c r="S38">
        <v>999678</v>
      </c>
      <c r="T38">
        <v>999556455351</v>
      </c>
      <c r="U38">
        <v>999678</v>
      </c>
      <c r="V38" t="s">
        <v>71</v>
      </c>
      <c r="W38">
        <v>6</v>
      </c>
      <c r="X38">
        <v>54666</v>
      </c>
      <c r="Y38">
        <v>1075677</v>
      </c>
      <c r="Z38">
        <v>1130343</v>
      </c>
      <c r="AA38">
        <v>999678</v>
      </c>
      <c r="AB38">
        <v>20.677299999999999</v>
      </c>
      <c r="AC38">
        <v>0.92934799999999995</v>
      </c>
      <c r="AD38">
        <v>1.8844000000000001</v>
      </c>
      <c r="AE38">
        <v>3.0456099999999999</v>
      </c>
      <c r="AF38">
        <v>21608784</v>
      </c>
      <c r="AG38" t="s">
        <v>200</v>
      </c>
      <c r="AH38" t="s">
        <v>201</v>
      </c>
      <c r="AI38">
        <v>311819</v>
      </c>
      <c r="AJ38">
        <v>89596</v>
      </c>
      <c r="AK38">
        <v>118860225544</v>
      </c>
      <c r="AL38">
        <v>5686394288954</v>
      </c>
      <c r="AM38">
        <v>12876652340</v>
      </c>
      <c r="AN38">
        <v>0</v>
      </c>
      <c r="AO38">
        <v>130058695</v>
      </c>
      <c r="AP38">
        <v>12876652340</v>
      </c>
      <c r="AQ38">
        <v>13006711035</v>
      </c>
      <c r="AR38">
        <v>429221744</v>
      </c>
      <c r="AS38">
        <v>0</v>
      </c>
      <c r="AT38">
        <v>4335289</v>
      </c>
      <c r="AU38">
        <v>429221744</v>
      </c>
      <c r="AV38">
        <v>433557034</v>
      </c>
      <c r="AW38">
        <v>8.6456300000000006</v>
      </c>
      <c r="AX38">
        <v>0.41452699999999998</v>
      </c>
      <c r="AY38">
        <v>1198.83</v>
      </c>
      <c r="AZ38">
        <v>459.10599999999999</v>
      </c>
      <c r="BA38">
        <v>1426</v>
      </c>
      <c r="BB38">
        <v>202</v>
      </c>
      <c r="BC38" t="str">
        <f t="shared" si="0"/>
        <v>u=1% k=2x10^6</v>
      </c>
    </row>
    <row r="39" spans="1:55">
      <c r="A39" t="s">
        <v>202</v>
      </c>
      <c r="B39" t="s">
        <v>83</v>
      </c>
      <c r="C39">
        <v>72</v>
      </c>
      <c r="D39" t="s">
        <v>64</v>
      </c>
      <c r="E39" t="s">
        <v>60</v>
      </c>
      <c r="F39" t="s">
        <v>61</v>
      </c>
      <c r="G39">
        <v>30000</v>
      </c>
      <c r="H39">
        <v>0.5</v>
      </c>
      <c r="I39">
        <v>0.5</v>
      </c>
      <c r="J39">
        <v>0</v>
      </c>
      <c r="K39">
        <v>1</v>
      </c>
      <c r="L39">
        <v>20000000</v>
      </c>
      <c r="M39">
        <v>190</v>
      </c>
      <c r="N39">
        <v>190</v>
      </c>
      <c r="O39">
        <v>190</v>
      </c>
      <c r="P39">
        <v>0</v>
      </c>
      <c r="Q39" t="s">
        <v>62</v>
      </c>
      <c r="R39">
        <v>99975535297943</v>
      </c>
      <c r="S39">
        <v>9997391</v>
      </c>
      <c r="T39">
        <v>99975535297943</v>
      </c>
      <c r="U39">
        <v>9997391</v>
      </c>
      <c r="V39" t="s">
        <v>71</v>
      </c>
      <c r="W39">
        <v>7</v>
      </c>
      <c r="X39">
        <v>1687792</v>
      </c>
      <c r="Y39">
        <v>11564372</v>
      </c>
      <c r="Z39">
        <v>13252164</v>
      </c>
      <c r="AA39">
        <v>9997391</v>
      </c>
      <c r="AB39">
        <v>7.8517799999999998</v>
      </c>
      <c r="AC39">
        <v>0.86449900000000002</v>
      </c>
      <c r="AD39">
        <v>1.7544</v>
      </c>
      <c r="AE39">
        <v>4.0125099999999998</v>
      </c>
      <c r="AF39">
        <v>320053360</v>
      </c>
      <c r="AG39" t="s">
        <v>203</v>
      </c>
      <c r="AH39" t="s">
        <v>204</v>
      </c>
      <c r="AI39">
        <v>36379</v>
      </c>
      <c r="AJ39">
        <v>46478</v>
      </c>
      <c r="AK39">
        <v>93132242858</v>
      </c>
      <c r="AL39">
        <v>5686394289461</v>
      </c>
      <c r="AM39">
        <v>7452852002</v>
      </c>
      <c r="AN39">
        <v>0</v>
      </c>
      <c r="AO39">
        <v>75279564</v>
      </c>
      <c r="AP39">
        <v>7452852002</v>
      </c>
      <c r="AQ39">
        <v>7528131566</v>
      </c>
      <c r="AR39">
        <v>248428400</v>
      </c>
      <c r="AS39">
        <v>0</v>
      </c>
      <c r="AT39">
        <v>2509318</v>
      </c>
      <c r="AU39">
        <v>248428400</v>
      </c>
      <c r="AV39">
        <v>250937718</v>
      </c>
      <c r="AW39">
        <v>16.355799999999999</v>
      </c>
      <c r="AX39">
        <v>6.6514300000000004</v>
      </c>
      <c r="AY39">
        <v>2079.42</v>
      </c>
      <c r="AZ39">
        <v>1303.44</v>
      </c>
      <c r="BA39">
        <v>2773</v>
      </c>
      <c r="BB39">
        <v>402</v>
      </c>
      <c r="BC39" t="str">
        <f t="shared" si="0"/>
        <v>u=1% k=2x10^7</v>
      </c>
    </row>
    <row r="40" spans="1:55">
      <c r="A40" t="s">
        <v>205</v>
      </c>
      <c r="B40" t="s">
        <v>83</v>
      </c>
      <c r="C40">
        <v>72</v>
      </c>
      <c r="D40" t="s">
        <v>64</v>
      </c>
      <c r="E40" t="s">
        <v>60</v>
      </c>
      <c r="F40" t="s">
        <v>61</v>
      </c>
      <c r="G40">
        <v>30000</v>
      </c>
      <c r="H40">
        <v>0.5</v>
      </c>
      <c r="I40">
        <v>0.5</v>
      </c>
      <c r="J40">
        <v>0</v>
      </c>
      <c r="K40">
        <v>1</v>
      </c>
      <c r="L40">
        <v>200000000</v>
      </c>
      <c r="M40">
        <v>190</v>
      </c>
      <c r="N40">
        <v>190</v>
      </c>
      <c r="O40">
        <v>190</v>
      </c>
      <c r="P40">
        <v>0</v>
      </c>
      <c r="Q40" t="s">
        <v>62</v>
      </c>
      <c r="R40">
        <v>1.00002737035908E+16</v>
      </c>
      <c r="S40">
        <v>99998250</v>
      </c>
      <c r="T40">
        <v>1.00002737035908E+16</v>
      </c>
      <c r="U40">
        <v>99998250</v>
      </c>
      <c r="V40" t="s">
        <v>71</v>
      </c>
      <c r="W40">
        <v>7</v>
      </c>
      <c r="X40">
        <v>12593449</v>
      </c>
      <c r="Y40">
        <v>113200665</v>
      </c>
      <c r="Z40">
        <v>125794114</v>
      </c>
      <c r="AA40">
        <v>99998250</v>
      </c>
      <c r="AB40">
        <v>9.9888499999999993</v>
      </c>
      <c r="AC40">
        <v>0.88337200000000005</v>
      </c>
      <c r="AD40">
        <v>1.79494</v>
      </c>
      <c r="AE40">
        <v>4.0322899999999997</v>
      </c>
      <c r="AF40">
        <v>2819360208</v>
      </c>
      <c r="AG40" t="s">
        <v>206</v>
      </c>
      <c r="AH40" t="s">
        <v>207</v>
      </c>
      <c r="AI40">
        <v>4744</v>
      </c>
      <c r="AJ40">
        <v>33054</v>
      </c>
      <c r="AK40">
        <v>119136728166</v>
      </c>
      <c r="AL40">
        <v>5686470345133</v>
      </c>
      <c r="AM40">
        <v>5639147465</v>
      </c>
      <c r="AN40">
        <v>0</v>
      </c>
      <c r="AO40">
        <v>56983584</v>
      </c>
      <c r="AP40">
        <v>5639147465</v>
      </c>
      <c r="AQ40">
        <v>5696131049</v>
      </c>
      <c r="AR40">
        <v>187971582</v>
      </c>
      <c r="AS40">
        <v>0</v>
      </c>
      <c r="AT40">
        <v>1899452</v>
      </c>
      <c r="AU40">
        <v>187971582</v>
      </c>
      <c r="AV40">
        <v>189871034</v>
      </c>
      <c r="AW40">
        <v>19.479900000000001</v>
      </c>
      <c r="AX40">
        <v>9.5780100000000008</v>
      </c>
      <c r="AY40">
        <v>2726.47</v>
      </c>
      <c r="AZ40">
        <v>1971.98</v>
      </c>
      <c r="BA40">
        <v>13338</v>
      </c>
      <c r="BB40">
        <v>1121</v>
      </c>
      <c r="BC40" t="str">
        <f t="shared" si="0"/>
        <v>u=1% k=2x10^8</v>
      </c>
    </row>
    <row r="41" spans="1:55">
      <c r="A41" t="s">
        <v>208</v>
      </c>
      <c r="B41" t="s">
        <v>83</v>
      </c>
      <c r="C41">
        <v>72</v>
      </c>
      <c r="D41" t="s">
        <v>64</v>
      </c>
      <c r="E41" t="s">
        <v>60</v>
      </c>
      <c r="F41" t="s">
        <v>61</v>
      </c>
      <c r="G41">
        <v>30000</v>
      </c>
      <c r="H41">
        <v>5</v>
      </c>
      <c r="I41">
        <v>5</v>
      </c>
      <c r="J41">
        <v>0</v>
      </c>
      <c r="K41">
        <v>1</v>
      </c>
      <c r="L41">
        <v>2000000</v>
      </c>
      <c r="M41">
        <v>190</v>
      </c>
      <c r="N41">
        <v>190</v>
      </c>
      <c r="O41">
        <v>190</v>
      </c>
      <c r="P41">
        <v>0</v>
      </c>
      <c r="Q41" t="s">
        <v>62</v>
      </c>
      <c r="R41">
        <v>1000732239561</v>
      </c>
      <c r="S41">
        <v>1000444</v>
      </c>
      <c r="T41">
        <v>1000732239561</v>
      </c>
      <c r="U41">
        <v>1000444</v>
      </c>
      <c r="V41" t="s">
        <v>71</v>
      </c>
      <c r="W41">
        <v>6</v>
      </c>
      <c r="X41">
        <v>53736</v>
      </c>
      <c r="Y41">
        <v>1074637</v>
      </c>
      <c r="Z41">
        <v>1128373</v>
      </c>
      <c r="AA41">
        <v>1000444</v>
      </c>
      <c r="AB41">
        <v>20.9985</v>
      </c>
      <c r="AC41">
        <v>0.93096000000000001</v>
      </c>
      <c r="AD41">
        <v>1.88663</v>
      </c>
      <c r="AE41">
        <v>3.0432100000000002</v>
      </c>
      <c r="AF41">
        <v>21513184</v>
      </c>
      <c r="AG41" t="s">
        <v>209</v>
      </c>
      <c r="AH41" t="s">
        <v>210</v>
      </c>
      <c r="AI41">
        <v>8098707</v>
      </c>
      <c r="AJ41">
        <v>50388</v>
      </c>
      <c r="AK41">
        <v>879712487700</v>
      </c>
      <c r="AL41">
        <v>5686397117936</v>
      </c>
      <c r="AM41">
        <v>6611666456</v>
      </c>
      <c r="AN41">
        <v>0</v>
      </c>
      <c r="AO41">
        <v>734611514</v>
      </c>
      <c r="AP41">
        <v>6611666456</v>
      </c>
      <c r="AQ41">
        <v>7346277970</v>
      </c>
      <c r="AR41">
        <v>220388881</v>
      </c>
      <c r="AS41">
        <v>0</v>
      </c>
      <c r="AT41">
        <v>24487050</v>
      </c>
      <c r="AU41">
        <v>220388881</v>
      </c>
      <c r="AV41">
        <v>244875932</v>
      </c>
      <c r="AW41">
        <v>12.338100000000001</v>
      </c>
      <c r="AX41">
        <v>3.15571</v>
      </c>
      <c r="AY41">
        <v>2147.4699999999998</v>
      </c>
      <c r="AZ41">
        <v>1309.3399999999999</v>
      </c>
      <c r="BA41">
        <v>1604</v>
      </c>
      <c r="BB41">
        <v>212</v>
      </c>
      <c r="BC41" t="str">
        <f t="shared" si="0"/>
        <v>u=10% k=2x10^6</v>
      </c>
    </row>
    <row r="42" spans="1:55">
      <c r="A42" t="s">
        <v>211</v>
      </c>
      <c r="B42" t="s">
        <v>83</v>
      </c>
      <c r="C42">
        <v>72</v>
      </c>
      <c r="D42" t="s">
        <v>64</v>
      </c>
      <c r="E42" t="s">
        <v>60</v>
      </c>
      <c r="F42" t="s">
        <v>61</v>
      </c>
      <c r="G42">
        <v>30000</v>
      </c>
      <c r="H42">
        <v>5</v>
      </c>
      <c r="I42">
        <v>5</v>
      </c>
      <c r="J42">
        <v>0</v>
      </c>
      <c r="K42">
        <v>1</v>
      </c>
      <c r="L42">
        <v>20000000</v>
      </c>
      <c r="M42">
        <v>190</v>
      </c>
      <c r="N42">
        <v>190</v>
      </c>
      <c r="O42">
        <v>190</v>
      </c>
      <c r="P42">
        <v>0</v>
      </c>
      <c r="Q42" t="s">
        <v>62</v>
      </c>
      <c r="R42">
        <v>99974700070924</v>
      </c>
      <c r="S42">
        <v>9998688</v>
      </c>
      <c r="T42">
        <v>99974700070924</v>
      </c>
      <c r="U42">
        <v>9998688</v>
      </c>
      <c r="V42" t="s">
        <v>71</v>
      </c>
      <c r="W42">
        <v>7</v>
      </c>
      <c r="X42">
        <v>1680463</v>
      </c>
      <c r="Y42">
        <v>11550943</v>
      </c>
      <c r="Z42">
        <v>13231406</v>
      </c>
      <c r="AA42">
        <v>9998688</v>
      </c>
      <c r="AB42">
        <v>7.8736699999999997</v>
      </c>
      <c r="AC42">
        <v>0.86561699999999997</v>
      </c>
      <c r="AD42">
        <v>1.7556799999999999</v>
      </c>
      <c r="AE42">
        <v>4.0109399999999997</v>
      </c>
      <c r="AF42">
        <v>319252160</v>
      </c>
      <c r="AG42" t="s">
        <v>212</v>
      </c>
      <c r="AH42" t="s">
        <v>213</v>
      </c>
      <c r="AI42">
        <v>843905</v>
      </c>
      <c r="AJ42">
        <v>35940</v>
      </c>
      <c r="AK42">
        <v>555354807687</v>
      </c>
      <c r="AL42">
        <v>5686394077436</v>
      </c>
      <c r="AM42">
        <v>4951459273</v>
      </c>
      <c r="AN42">
        <v>0</v>
      </c>
      <c r="AO42">
        <v>550115434</v>
      </c>
      <c r="AP42">
        <v>4951459273</v>
      </c>
      <c r="AQ42">
        <v>5501574707</v>
      </c>
      <c r="AR42">
        <v>165048642</v>
      </c>
      <c r="AS42">
        <v>0</v>
      </c>
      <c r="AT42">
        <v>18337181</v>
      </c>
      <c r="AU42">
        <v>165048642</v>
      </c>
      <c r="AV42">
        <v>183385823</v>
      </c>
      <c r="AW42">
        <v>19.293800000000001</v>
      </c>
      <c r="AX42">
        <v>8.5637899999999991</v>
      </c>
      <c r="AY42">
        <v>2823.88</v>
      </c>
      <c r="AZ42">
        <v>1892.89</v>
      </c>
      <c r="BA42">
        <v>2872</v>
      </c>
      <c r="BB42">
        <v>364</v>
      </c>
      <c r="BC42" t="str">
        <f t="shared" si="0"/>
        <v>u=10% k=2x10^7</v>
      </c>
    </row>
    <row r="43" spans="1:55">
      <c r="A43" t="s">
        <v>214</v>
      </c>
      <c r="B43" t="s">
        <v>83</v>
      </c>
      <c r="C43">
        <v>72</v>
      </c>
      <c r="D43" t="s">
        <v>64</v>
      </c>
      <c r="E43" t="s">
        <v>60</v>
      </c>
      <c r="F43" t="s">
        <v>61</v>
      </c>
      <c r="G43">
        <v>30000</v>
      </c>
      <c r="H43">
        <v>5</v>
      </c>
      <c r="I43">
        <v>5</v>
      </c>
      <c r="J43">
        <v>0</v>
      </c>
      <c r="K43">
        <v>1</v>
      </c>
      <c r="L43">
        <v>200000000</v>
      </c>
      <c r="M43">
        <v>190</v>
      </c>
      <c r="N43">
        <v>190</v>
      </c>
      <c r="O43">
        <v>190</v>
      </c>
      <c r="P43">
        <v>0</v>
      </c>
      <c r="Q43" t="s">
        <v>62</v>
      </c>
      <c r="R43">
        <v>1.00006919966432E+16</v>
      </c>
      <c r="S43">
        <v>100005511</v>
      </c>
      <c r="T43">
        <v>1.00006919966432E+16</v>
      </c>
      <c r="U43">
        <v>100005511</v>
      </c>
      <c r="V43" t="s">
        <v>71</v>
      </c>
      <c r="W43">
        <v>7</v>
      </c>
      <c r="X43">
        <v>14736955</v>
      </c>
      <c r="Y43">
        <v>117769545</v>
      </c>
      <c r="Z43">
        <v>132506500</v>
      </c>
      <c r="AA43">
        <v>100005511</v>
      </c>
      <c r="AB43">
        <v>8.9914400000000008</v>
      </c>
      <c r="AC43">
        <v>0.849163</v>
      </c>
      <c r="AD43">
        <v>1.7547200000000001</v>
      </c>
      <c r="AE43">
        <v>4.0777000000000001</v>
      </c>
      <c r="AF43">
        <v>3066873312</v>
      </c>
      <c r="AG43" t="s">
        <v>215</v>
      </c>
      <c r="AH43" t="s">
        <v>216</v>
      </c>
      <c r="AI43">
        <v>131679</v>
      </c>
      <c r="AJ43">
        <v>18958</v>
      </c>
      <c r="AK43">
        <v>570641708071</v>
      </c>
      <c r="AL43">
        <v>5687063840505</v>
      </c>
      <c r="AM43">
        <v>3825123952</v>
      </c>
      <c r="AN43">
        <v>0</v>
      </c>
      <c r="AO43">
        <v>425001641</v>
      </c>
      <c r="AP43">
        <v>3825123952</v>
      </c>
      <c r="AQ43">
        <v>4250125593</v>
      </c>
      <c r="AR43">
        <v>127504131</v>
      </c>
      <c r="AS43">
        <v>0</v>
      </c>
      <c r="AT43">
        <v>14166721</v>
      </c>
      <c r="AU43">
        <v>127504131</v>
      </c>
      <c r="AV43">
        <v>141670853</v>
      </c>
      <c r="AW43">
        <v>22.242599999999999</v>
      </c>
      <c r="AX43">
        <v>11.289899999999999</v>
      </c>
      <c r="AY43">
        <v>3452.17</v>
      </c>
      <c r="AZ43">
        <v>2561.98</v>
      </c>
      <c r="BA43">
        <v>14273</v>
      </c>
      <c r="BB43">
        <v>1096</v>
      </c>
      <c r="BC43" t="str">
        <f t="shared" si="0"/>
        <v>u=10% k=2x10^8</v>
      </c>
    </row>
    <row r="44" spans="1:55">
      <c r="A44" t="s">
        <v>217</v>
      </c>
      <c r="B44" t="s">
        <v>83</v>
      </c>
      <c r="C44">
        <v>72</v>
      </c>
      <c r="D44" t="s">
        <v>64</v>
      </c>
      <c r="E44" t="s">
        <v>60</v>
      </c>
      <c r="F44" t="s">
        <v>61</v>
      </c>
      <c r="G44">
        <v>30000</v>
      </c>
      <c r="H44">
        <v>20</v>
      </c>
      <c r="I44">
        <v>20</v>
      </c>
      <c r="J44">
        <v>0</v>
      </c>
      <c r="K44">
        <v>1</v>
      </c>
      <c r="L44">
        <v>2000000</v>
      </c>
      <c r="M44">
        <v>190</v>
      </c>
      <c r="N44">
        <v>190</v>
      </c>
      <c r="O44">
        <v>190</v>
      </c>
      <c r="P44">
        <v>0</v>
      </c>
      <c r="Q44" t="s">
        <v>62</v>
      </c>
      <c r="R44">
        <v>1000170723742</v>
      </c>
      <c r="S44">
        <v>1000101</v>
      </c>
      <c r="T44">
        <v>1000170723742</v>
      </c>
      <c r="U44">
        <v>1000101</v>
      </c>
      <c r="V44" t="s">
        <v>71</v>
      </c>
      <c r="W44">
        <v>6</v>
      </c>
      <c r="X44">
        <v>35224</v>
      </c>
      <c r="Y44">
        <v>1036544</v>
      </c>
      <c r="Z44">
        <v>1071768</v>
      </c>
      <c r="AA44">
        <v>1000101</v>
      </c>
      <c r="AB44">
        <v>30.427199999999999</v>
      </c>
      <c r="AC44">
        <v>0.96484199999999998</v>
      </c>
      <c r="AD44">
        <v>1.93313</v>
      </c>
      <c r="AE44">
        <v>3.0043899999999999</v>
      </c>
      <c r="AF44">
        <v>19402800</v>
      </c>
      <c r="AG44" t="s">
        <v>218</v>
      </c>
      <c r="AH44" t="s">
        <v>219</v>
      </c>
      <c r="AI44">
        <v>24624663</v>
      </c>
      <c r="AJ44">
        <v>20932</v>
      </c>
      <c r="AK44">
        <v>1779510323882</v>
      </c>
      <c r="AL44">
        <v>5686394461238</v>
      </c>
      <c r="AM44">
        <v>1739125875</v>
      </c>
      <c r="AN44">
        <v>0</v>
      </c>
      <c r="AO44">
        <v>1159365586</v>
      </c>
      <c r="AP44">
        <v>1739125875</v>
      </c>
      <c r="AQ44">
        <v>2898491461</v>
      </c>
      <c r="AR44">
        <v>57970862</v>
      </c>
      <c r="AS44">
        <v>0</v>
      </c>
      <c r="AT44">
        <v>38645519</v>
      </c>
      <c r="AU44">
        <v>57970862</v>
      </c>
      <c r="AV44">
        <v>96616382</v>
      </c>
      <c r="AW44">
        <v>25.0078</v>
      </c>
      <c r="AX44">
        <v>11.9619</v>
      </c>
      <c r="AY44">
        <v>5468.21</v>
      </c>
      <c r="AZ44">
        <v>4163.07</v>
      </c>
      <c r="BA44">
        <v>1749</v>
      </c>
      <c r="BB44">
        <v>173</v>
      </c>
      <c r="BC44" t="str">
        <f t="shared" si="0"/>
        <v>u=40% k=2x10^6</v>
      </c>
    </row>
    <row r="45" spans="1:55">
      <c r="A45" t="s">
        <v>220</v>
      </c>
      <c r="B45" t="s">
        <v>83</v>
      </c>
      <c r="C45">
        <v>72</v>
      </c>
      <c r="D45" t="s">
        <v>64</v>
      </c>
      <c r="E45" t="s">
        <v>60</v>
      </c>
      <c r="F45" t="s">
        <v>61</v>
      </c>
      <c r="G45">
        <v>30000</v>
      </c>
      <c r="H45">
        <v>20</v>
      </c>
      <c r="I45">
        <v>20</v>
      </c>
      <c r="J45">
        <v>0</v>
      </c>
      <c r="K45">
        <v>1</v>
      </c>
      <c r="L45">
        <v>20000000</v>
      </c>
      <c r="M45">
        <v>190</v>
      </c>
      <c r="N45">
        <v>190</v>
      </c>
      <c r="O45">
        <v>190</v>
      </c>
      <c r="P45">
        <v>0</v>
      </c>
      <c r="Q45" t="s">
        <v>62</v>
      </c>
      <c r="R45">
        <v>100009179852255</v>
      </c>
      <c r="S45">
        <v>10001078</v>
      </c>
      <c r="T45">
        <v>100009179852255</v>
      </c>
      <c r="U45">
        <v>10001078</v>
      </c>
      <c r="V45" t="s">
        <v>71</v>
      </c>
      <c r="W45">
        <v>7</v>
      </c>
      <c r="X45">
        <v>1736924</v>
      </c>
      <c r="Y45">
        <v>11677048</v>
      </c>
      <c r="Z45">
        <v>13413972</v>
      </c>
      <c r="AA45">
        <v>10001078</v>
      </c>
      <c r="AB45">
        <v>7.7228300000000001</v>
      </c>
      <c r="AC45">
        <v>0.85647300000000004</v>
      </c>
      <c r="AD45">
        <v>1.7455700000000001</v>
      </c>
      <c r="AE45">
        <v>4.0226899999999999</v>
      </c>
      <c r="AF45">
        <v>325795952</v>
      </c>
      <c r="AG45" t="s">
        <v>221</v>
      </c>
      <c r="AH45" t="s">
        <v>222</v>
      </c>
      <c r="AI45">
        <v>2930228</v>
      </c>
      <c r="AJ45">
        <v>21888</v>
      </c>
      <c r="AK45">
        <v>1161754929787</v>
      </c>
      <c r="AL45">
        <v>5686402679995</v>
      </c>
      <c r="AM45">
        <v>1738309596</v>
      </c>
      <c r="AN45">
        <v>0</v>
      </c>
      <c r="AO45">
        <v>1158849985</v>
      </c>
      <c r="AP45">
        <v>1738309596</v>
      </c>
      <c r="AQ45">
        <v>2897159581</v>
      </c>
      <c r="AR45">
        <v>57943653</v>
      </c>
      <c r="AS45">
        <v>0</v>
      </c>
      <c r="AT45">
        <v>38628332</v>
      </c>
      <c r="AU45">
        <v>57943653</v>
      </c>
      <c r="AV45">
        <v>96571986</v>
      </c>
      <c r="AW45">
        <v>28.627600000000001</v>
      </c>
      <c r="AX45">
        <v>15.322699999999999</v>
      </c>
      <c r="AY45">
        <v>5297.2</v>
      </c>
      <c r="AZ45">
        <v>3609.97</v>
      </c>
      <c r="BA45">
        <v>2949</v>
      </c>
      <c r="BB45">
        <v>384</v>
      </c>
      <c r="BC45" t="str">
        <f t="shared" si="0"/>
        <v>u=40% k=2x10^7</v>
      </c>
    </row>
    <row r="46" spans="1:55">
      <c r="A46" t="s">
        <v>223</v>
      </c>
      <c r="B46" t="s">
        <v>83</v>
      </c>
      <c r="C46">
        <v>72</v>
      </c>
      <c r="D46" t="s">
        <v>64</v>
      </c>
      <c r="E46" t="s">
        <v>60</v>
      </c>
      <c r="F46" t="s">
        <v>61</v>
      </c>
      <c r="G46">
        <v>30000</v>
      </c>
      <c r="H46">
        <v>20</v>
      </c>
      <c r="I46">
        <v>20</v>
      </c>
      <c r="J46">
        <v>0</v>
      </c>
      <c r="K46">
        <v>1</v>
      </c>
      <c r="L46">
        <v>200000000</v>
      </c>
      <c r="M46">
        <v>190</v>
      </c>
      <c r="N46">
        <v>190</v>
      </c>
      <c r="O46">
        <v>190</v>
      </c>
      <c r="P46">
        <v>0</v>
      </c>
      <c r="Q46" t="s">
        <v>62</v>
      </c>
      <c r="R46">
        <v>9998778930122230</v>
      </c>
      <c r="S46">
        <v>99991696</v>
      </c>
      <c r="T46">
        <v>9998778930122230</v>
      </c>
      <c r="U46">
        <v>99991696</v>
      </c>
      <c r="V46" t="s">
        <v>71</v>
      </c>
      <c r="W46">
        <v>7</v>
      </c>
      <c r="X46">
        <v>11010053</v>
      </c>
      <c r="Y46">
        <v>109991804</v>
      </c>
      <c r="Z46">
        <v>121001857</v>
      </c>
      <c r="AA46">
        <v>99991696</v>
      </c>
      <c r="AB46">
        <v>10.9901</v>
      </c>
      <c r="AC46">
        <v>0.90908299999999997</v>
      </c>
      <c r="AD46">
        <v>1.82636</v>
      </c>
      <c r="AE46">
        <v>4</v>
      </c>
      <c r="AF46">
        <v>2640673088</v>
      </c>
      <c r="AG46" t="s">
        <v>224</v>
      </c>
      <c r="AH46" t="s">
        <v>225</v>
      </c>
      <c r="AI46">
        <v>509442</v>
      </c>
      <c r="AJ46">
        <v>12596</v>
      </c>
      <c r="AK46">
        <v>1154056819447</v>
      </c>
      <c r="AL46">
        <v>5714019870956</v>
      </c>
      <c r="AM46">
        <v>1499954165</v>
      </c>
      <c r="AN46">
        <v>0</v>
      </c>
      <c r="AO46">
        <v>999981949</v>
      </c>
      <c r="AP46">
        <v>1499954165</v>
      </c>
      <c r="AQ46">
        <v>2499936114</v>
      </c>
      <c r="AR46">
        <v>49998472</v>
      </c>
      <c r="AS46">
        <v>0</v>
      </c>
      <c r="AT46">
        <v>33332731</v>
      </c>
      <c r="AU46">
        <v>49998472</v>
      </c>
      <c r="AV46">
        <v>83331203</v>
      </c>
      <c r="AW46">
        <v>31.5639</v>
      </c>
      <c r="AX46">
        <v>17.663</v>
      </c>
      <c r="AY46">
        <v>5705.76</v>
      </c>
      <c r="AZ46">
        <v>4214.66</v>
      </c>
      <c r="BA46">
        <v>14479</v>
      </c>
      <c r="BB46">
        <v>1211</v>
      </c>
      <c r="BC46" t="str">
        <f t="shared" si="0"/>
        <v>u=40% k=2x10^8</v>
      </c>
    </row>
    <row r="47" spans="1:55">
      <c r="A47" t="s">
        <v>226</v>
      </c>
      <c r="B47" t="s">
        <v>83</v>
      </c>
      <c r="C47">
        <v>72</v>
      </c>
      <c r="D47" t="s">
        <v>64</v>
      </c>
      <c r="E47" t="s">
        <v>60</v>
      </c>
      <c r="F47" t="s">
        <v>61</v>
      </c>
      <c r="G47">
        <v>30000</v>
      </c>
      <c r="H47">
        <v>0.5</v>
      </c>
      <c r="I47">
        <v>0.5</v>
      </c>
      <c r="J47">
        <v>0</v>
      </c>
      <c r="K47">
        <v>1</v>
      </c>
      <c r="L47">
        <v>2000000</v>
      </c>
      <c r="M47">
        <v>190</v>
      </c>
      <c r="N47">
        <v>190</v>
      </c>
      <c r="O47">
        <v>190</v>
      </c>
      <c r="P47">
        <v>0</v>
      </c>
      <c r="Q47" t="s">
        <v>62</v>
      </c>
      <c r="R47">
        <v>998915848699</v>
      </c>
      <c r="S47">
        <v>999574</v>
      </c>
      <c r="T47">
        <v>998915848699</v>
      </c>
      <c r="U47">
        <v>999574</v>
      </c>
      <c r="V47" t="s">
        <v>71</v>
      </c>
      <c r="W47">
        <v>6</v>
      </c>
      <c r="X47">
        <v>57717</v>
      </c>
      <c r="Y47">
        <v>1081523</v>
      </c>
      <c r="Z47">
        <v>1139240</v>
      </c>
      <c r="AA47">
        <v>999574</v>
      </c>
      <c r="AB47">
        <v>19.738399999999999</v>
      </c>
      <c r="AC47">
        <v>0.92422800000000005</v>
      </c>
      <c r="AD47">
        <v>1.8774</v>
      </c>
      <c r="AE47">
        <v>3.0518200000000002</v>
      </c>
      <c r="AF47">
        <v>21947600</v>
      </c>
      <c r="AG47" t="s">
        <v>227</v>
      </c>
      <c r="AH47" t="s">
        <v>228</v>
      </c>
      <c r="AI47">
        <v>314915</v>
      </c>
      <c r="AJ47">
        <v>88708</v>
      </c>
      <c r="AK47">
        <v>117309877809</v>
      </c>
      <c r="AL47">
        <v>5686394489041</v>
      </c>
      <c r="AM47">
        <v>12821188563</v>
      </c>
      <c r="AN47">
        <v>0</v>
      </c>
      <c r="AO47">
        <v>129516064</v>
      </c>
      <c r="AP47">
        <v>12821188563</v>
      </c>
      <c r="AQ47">
        <v>12950704627</v>
      </c>
      <c r="AR47">
        <v>427372952</v>
      </c>
      <c r="AS47">
        <v>0</v>
      </c>
      <c r="AT47">
        <v>4317202</v>
      </c>
      <c r="AU47">
        <v>427372952</v>
      </c>
      <c r="AV47">
        <v>431690154</v>
      </c>
      <c r="AW47">
        <v>8.6324199999999998</v>
      </c>
      <c r="AX47">
        <v>0.41528999999999999</v>
      </c>
      <c r="AY47">
        <v>1203.72</v>
      </c>
      <c r="AZ47">
        <v>460.62299999999999</v>
      </c>
      <c r="BA47">
        <v>1424</v>
      </c>
      <c r="BB47">
        <v>353</v>
      </c>
      <c r="BC47" t="str">
        <f t="shared" si="0"/>
        <v>u=1% k=2x10^6</v>
      </c>
    </row>
    <row r="48" spans="1:55">
      <c r="A48" t="s">
        <v>229</v>
      </c>
      <c r="B48" t="s">
        <v>83</v>
      </c>
      <c r="C48">
        <v>72</v>
      </c>
      <c r="D48" t="s">
        <v>64</v>
      </c>
      <c r="E48" t="s">
        <v>60</v>
      </c>
      <c r="F48" t="s">
        <v>61</v>
      </c>
      <c r="G48">
        <v>30000</v>
      </c>
      <c r="H48">
        <v>0.5</v>
      </c>
      <c r="I48">
        <v>0.5</v>
      </c>
      <c r="J48">
        <v>0</v>
      </c>
      <c r="K48">
        <v>1</v>
      </c>
      <c r="L48">
        <v>20000000</v>
      </c>
      <c r="M48">
        <v>190</v>
      </c>
      <c r="N48">
        <v>190</v>
      </c>
      <c r="O48">
        <v>190</v>
      </c>
      <c r="P48">
        <v>0</v>
      </c>
      <c r="Q48" t="s">
        <v>62</v>
      </c>
      <c r="R48">
        <v>99950983306273</v>
      </c>
      <c r="S48">
        <v>9995845</v>
      </c>
      <c r="T48">
        <v>99950983306273</v>
      </c>
      <c r="U48">
        <v>9995845</v>
      </c>
      <c r="V48" t="s">
        <v>71</v>
      </c>
      <c r="W48">
        <v>7</v>
      </c>
      <c r="X48">
        <v>1679661</v>
      </c>
      <c r="Y48">
        <v>11547109</v>
      </c>
      <c r="Z48">
        <v>13226770</v>
      </c>
      <c r="AA48">
        <v>9995845</v>
      </c>
      <c r="AB48">
        <v>7.8746700000000001</v>
      </c>
      <c r="AC48">
        <v>0.86565800000000004</v>
      </c>
      <c r="AD48">
        <v>1.75573</v>
      </c>
      <c r="AE48">
        <v>4.0108800000000002</v>
      </c>
      <c r="AF48">
        <v>319126640</v>
      </c>
      <c r="AG48" t="s">
        <v>230</v>
      </c>
      <c r="AH48" t="s">
        <v>231</v>
      </c>
      <c r="AI48">
        <v>34242</v>
      </c>
      <c r="AJ48">
        <v>45986</v>
      </c>
      <c r="AK48">
        <v>125471246027</v>
      </c>
      <c r="AL48">
        <v>5686394308887</v>
      </c>
      <c r="AM48">
        <v>7448506104</v>
      </c>
      <c r="AN48">
        <v>0</v>
      </c>
      <c r="AO48">
        <v>75229214</v>
      </c>
      <c r="AP48">
        <v>7448506104</v>
      </c>
      <c r="AQ48">
        <v>7523735318</v>
      </c>
      <c r="AR48">
        <v>248283536</v>
      </c>
      <c r="AS48">
        <v>0</v>
      </c>
      <c r="AT48">
        <v>2507640</v>
      </c>
      <c r="AU48">
        <v>248283536</v>
      </c>
      <c r="AV48">
        <v>250791177</v>
      </c>
      <c r="AW48">
        <v>16.3675</v>
      </c>
      <c r="AX48">
        <v>6.6539099999999998</v>
      </c>
      <c r="AY48">
        <v>2068.84</v>
      </c>
      <c r="AZ48">
        <v>1299.8399999999999</v>
      </c>
      <c r="BA48">
        <v>2773</v>
      </c>
      <c r="BB48">
        <v>372</v>
      </c>
      <c r="BC48" t="str">
        <f t="shared" si="0"/>
        <v>u=1% k=2x10^7</v>
      </c>
    </row>
    <row r="49" spans="1:55">
      <c r="A49" t="s">
        <v>232</v>
      </c>
      <c r="B49" t="s">
        <v>83</v>
      </c>
      <c r="C49">
        <v>72</v>
      </c>
      <c r="D49" t="s">
        <v>64</v>
      </c>
      <c r="E49" t="s">
        <v>60</v>
      </c>
      <c r="F49" t="s">
        <v>61</v>
      </c>
      <c r="G49">
        <v>30000</v>
      </c>
      <c r="H49">
        <v>0.5</v>
      </c>
      <c r="I49">
        <v>0.5</v>
      </c>
      <c r="J49">
        <v>0</v>
      </c>
      <c r="K49">
        <v>1</v>
      </c>
      <c r="L49">
        <v>200000000</v>
      </c>
      <c r="M49">
        <v>190</v>
      </c>
      <c r="N49">
        <v>190</v>
      </c>
      <c r="O49">
        <v>190</v>
      </c>
      <c r="P49">
        <v>0</v>
      </c>
      <c r="Q49" t="s">
        <v>62</v>
      </c>
      <c r="R49">
        <v>9998908389379750</v>
      </c>
      <c r="S49">
        <v>99988811</v>
      </c>
      <c r="T49">
        <v>9998908389379750</v>
      </c>
      <c r="U49">
        <v>99988811</v>
      </c>
      <c r="V49" t="s">
        <v>71</v>
      </c>
      <c r="W49">
        <v>7</v>
      </c>
      <c r="X49">
        <v>12623423</v>
      </c>
      <c r="Y49">
        <v>113255034</v>
      </c>
      <c r="Z49">
        <v>125878457</v>
      </c>
      <c r="AA49">
        <v>99988811</v>
      </c>
      <c r="AB49">
        <v>9.9718199999999992</v>
      </c>
      <c r="AC49">
        <v>0.88286399999999998</v>
      </c>
      <c r="AD49">
        <v>1.79433</v>
      </c>
      <c r="AE49">
        <v>4.0329199999999998</v>
      </c>
      <c r="AF49">
        <v>2822656528</v>
      </c>
      <c r="AG49" t="s">
        <v>233</v>
      </c>
      <c r="AH49" t="s">
        <v>234</v>
      </c>
      <c r="AI49">
        <v>4765</v>
      </c>
      <c r="AJ49">
        <v>32922</v>
      </c>
      <c r="AK49">
        <v>117357800667</v>
      </c>
      <c r="AL49">
        <v>5686394135720</v>
      </c>
      <c r="AM49">
        <v>5655313880</v>
      </c>
      <c r="AN49">
        <v>0</v>
      </c>
      <c r="AO49">
        <v>57125215</v>
      </c>
      <c r="AP49">
        <v>5655313880</v>
      </c>
      <c r="AQ49">
        <v>5712439095</v>
      </c>
      <c r="AR49">
        <v>188510462</v>
      </c>
      <c r="AS49">
        <v>0</v>
      </c>
      <c r="AT49">
        <v>1904173</v>
      </c>
      <c r="AU49">
        <v>188510462</v>
      </c>
      <c r="AV49">
        <v>190414636</v>
      </c>
      <c r="AW49">
        <v>19.474</v>
      </c>
      <c r="AX49">
        <v>9.5708000000000002</v>
      </c>
      <c r="AY49">
        <v>2720.56</v>
      </c>
      <c r="AZ49">
        <v>1973.39</v>
      </c>
      <c r="BA49">
        <v>13374</v>
      </c>
      <c r="BB49">
        <v>1138</v>
      </c>
      <c r="BC49" t="str">
        <f t="shared" si="0"/>
        <v>u=1% k=2x10^8</v>
      </c>
    </row>
    <row r="50" spans="1:55">
      <c r="A50" t="s">
        <v>235</v>
      </c>
      <c r="B50" t="s">
        <v>83</v>
      </c>
      <c r="C50">
        <v>72</v>
      </c>
      <c r="D50" t="s">
        <v>64</v>
      </c>
      <c r="E50" t="s">
        <v>60</v>
      </c>
      <c r="F50" t="s">
        <v>61</v>
      </c>
      <c r="G50">
        <v>30000</v>
      </c>
      <c r="H50">
        <v>5</v>
      </c>
      <c r="I50">
        <v>5</v>
      </c>
      <c r="J50">
        <v>0</v>
      </c>
      <c r="K50">
        <v>1</v>
      </c>
      <c r="L50">
        <v>2000000</v>
      </c>
      <c r="M50">
        <v>190</v>
      </c>
      <c r="N50">
        <v>190</v>
      </c>
      <c r="O50">
        <v>190</v>
      </c>
      <c r="P50">
        <v>0</v>
      </c>
      <c r="Q50" t="s">
        <v>62</v>
      </c>
      <c r="R50">
        <v>1000659889533</v>
      </c>
      <c r="S50">
        <v>1000452</v>
      </c>
      <c r="T50">
        <v>1000659889533</v>
      </c>
      <c r="U50">
        <v>1000452</v>
      </c>
      <c r="V50" t="s">
        <v>71</v>
      </c>
      <c r="W50">
        <v>6</v>
      </c>
      <c r="X50">
        <v>54633</v>
      </c>
      <c r="Y50">
        <v>1076360</v>
      </c>
      <c r="Z50">
        <v>1130993</v>
      </c>
      <c r="AA50">
        <v>1000452</v>
      </c>
      <c r="AB50">
        <v>20.701599999999999</v>
      </c>
      <c r="AC50">
        <v>0.929477</v>
      </c>
      <c r="AD50">
        <v>1.8845799999999999</v>
      </c>
      <c r="AE50">
        <v>3.04515</v>
      </c>
      <c r="AF50">
        <v>21613904</v>
      </c>
      <c r="AG50" t="s">
        <v>236</v>
      </c>
      <c r="AH50" t="s">
        <v>237</v>
      </c>
      <c r="AI50">
        <v>8084239</v>
      </c>
      <c r="AJ50">
        <v>50300</v>
      </c>
      <c r="AK50">
        <v>881374050566</v>
      </c>
      <c r="AL50">
        <v>5686395307332</v>
      </c>
      <c r="AM50">
        <v>6606599795</v>
      </c>
      <c r="AN50">
        <v>0</v>
      </c>
      <c r="AO50">
        <v>734088202</v>
      </c>
      <c r="AP50">
        <v>6606599795</v>
      </c>
      <c r="AQ50">
        <v>7340687997</v>
      </c>
      <c r="AR50">
        <v>220219993</v>
      </c>
      <c r="AS50">
        <v>0</v>
      </c>
      <c r="AT50">
        <v>24469606</v>
      </c>
      <c r="AU50">
        <v>220219993</v>
      </c>
      <c r="AV50">
        <v>244689599</v>
      </c>
      <c r="AW50">
        <v>12.3414</v>
      </c>
      <c r="AX50">
        <v>3.1532399999999998</v>
      </c>
      <c r="AY50">
        <v>2150.13</v>
      </c>
      <c r="AZ50">
        <v>1313.25</v>
      </c>
      <c r="BA50">
        <v>1605</v>
      </c>
      <c r="BB50">
        <v>224</v>
      </c>
      <c r="BC50" t="str">
        <f t="shared" si="0"/>
        <v>u=10% k=2x10^6</v>
      </c>
    </row>
    <row r="51" spans="1:55">
      <c r="A51" t="s">
        <v>238</v>
      </c>
      <c r="B51" t="s">
        <v>83</v>
      </c>
      <c r="C51">
        <v>72</v>
      </c>
      <c r="D51" t="s">
        <v>64</v>
      </c>
      <c r="E51" t="s">
        <v>60</v>
      </c>
      <c r="F51" t="s">
        <v>61</v>
      </c>
      <c r="G51">
        <v>30000</v>
      </c>
      <c r="H51">
        <v>5</v>
      </c>
      <c r="I51">
        <v>5</v>
      </c>
      <c r="J51">
        <v>0</v>
      </c>
      <c r="K51">
        <v>1</v>
      </c>
      <c r="L51">
        <v>20000000</v>
      </c>
      <c r="M51">
        <v>190</v>
      </c>
      <c r="N51">
        <v>190</v>
      </c>
      <c r="O51">
        <v>190</v>
      </c>
      <c r="P51">
        <v>0</v>
      </c>
      <c r="Q51" t="s">
        <v>62</v>
      </c>
      <c r="R51">
        <v>99980909124694</v>
      </c>
      <c r="S51">
        <v>9999102</v>
      </c>
      <c r="T51">
        <v>99980909124694</v>
      </c>
      <c r="U51">
        <v>9999102</v>
      </c>
      <c r="V51" t="s">
        <v>71</v>
      </c>
      <c r="W51">
        <v>7</v>
      </c>
      <c r="X51">
        <v>1775458</v>
      </c>
      <c r="Y51">
        <v>11760932</v>
      </c>
      <c r="Z51">
        <v>13536390</v>
      </c>
      <c r="AA51">
        <v>9999102</v>
      </c>
      <c r="AB51">
        <v>7.6241700000000003</v>
      </c>
      <c r="AC51">
        <v>0.85019599999999995</v>
      </c>
      <c r="AD51">
        <v>1.73868</v>
      </c>
      <c r="AE51">
        <v>4.0300700000000003</v>
      </c>
      <c r="AF51">
        <v>330231776</v>
      </c>
      <c r="AG51" t="s">
        <v>239</v>
      </c>
      <c r="AH51" t="s">
        <v>240</v>
      </c>
      <c r="AI51">
        <v>835903</v>
      </c>
      <c r="AJ51">
        <v>35954</v>
      </c>
      <c r="AK51">
        <v>551805803295</v>
      </c>
      <c r="AL51">
        <v>5686375369186</v>
      </c>
      <c r="AM51">
        <v>4938192821</v>
      </c>
      <c r="AN51">
        <v>0</v>
      </c>
      <c r="AO51">
        <v>548697906</v>
      </c>
      <c r="AP51">
        <v>4938192821</v>
      </c>
      <c r="AQ51">
        <v>5486890727</v>
      </c>
      <c r="AR51">
        <v>164606427</v>
      </c>
      <c r="AS51">
        <v>0</v>
      </c>
      <c r="AT51">
        <v>18289930</v>
      </c>
      <c r="AU51">
        <v>164606427</v>
      </c>
      <c r="AV51">
        <v>182896357</v>
      </c>
      <c r="AW51">
        <v>19.261299999999999</v>
      </c>
      <c r="AX51">
        <v>8.5583899999999993</v>
      </c>
      <c r="AY51">
        <v>2831.13</v>
      </c>
      <c r="AZ51">
        <v>1893.67</v>
      </c>
      <c r="BA51">
        <v>2872</v>
      </c>
      <c r="BB51">
        <v>407</v>
      </c>
      <c r="BC51" t="str">
        <f t="shared" si="0"/>
        <v>u=10% k=2x10^7</v>
      </c>
    </row>
    <row r="52" spans="1:55">
      <c r="A52" t="s">
        <v>241</v>
      </c>
      <c r="B52" t="s">
        <v>83</v>
      </c>
      <c r="C52">
        <v>72</v>
      </c>
      <c r="D52" t="s">
        <v>64</v>
      </c>
      <c r="E52" t="s">
        <v>60</v>
      </c>
      <c r="F52" t="s">
        <v>61</v>
      </c>
      <c r="G52">
        <v>30000</v>
      </c>
      <c r="H52">
        <v>5</v>
      </c>
      <c r="I52">
        <v>5</v>
      </c>
      <c r="J52">
        <v>0</v>
      </c>
      <c r="K52">
        <v>1</v>
      </c>
      <c r="L52">
        <v>200000000</v>
      </c>
      <c r="M52">
        <v>190</v>
      </c>
      <c r="N52">
        <v>190</v>
      </c>
      <c r="O52">
        <v>190</v>
      </c>
      <c r="P52">
        <v>0</v>
      </c>
      <c r="Q52" t="s">
        <v>62</v>
      </c>
      <c r="R52">
        <v>9998767763673020</v>
      </c>
      <c r="S52">
        <v>99995735</v>
      </c>
      <c r="T52">
        <v>9998767763673020</v>
      </c>
      <c r="U52">
        <v>99995735</v>
      </c>
      <c r="V52" t="s">
        <v>71</v>
      </c>
      <c r="W52">
        <v>7</v>
      </c>
      <c r="X52">
        <v>14849987</v>
      </c>
      <c r="Y52">
        <v>118027036</v>
      </c>
      <c r="Z52">
        <v>132877023</v>
      </c>
      <c r="AA52">
        <v>99995735</v>
      </c>
      <c r="AB52">
        <v>8.9479600000000001</v>
      </c>
      <c r="AC52">
        <v>0.84722699999999995</v>
      </c>
      <c r="AD52">
        <v>1.75254</v>
      </c>
      <c r="AE52">
        <v>4.0801999999999996</v>
      </c>
      <c r="AF52">
        <v>3080389456</v>
      </c>
      <c r="AG52" t="s">
        <v>242</v>
      </c>
      <c r="AH52" t="s">
        <v>243</v>
      </c>
      <c r="AI52">
        <v>128221</v>
      </c>
      <c r="AJ52">
        <v>19080</v>
      </c>
      <c r="AK52">
        <v>569832710253</v>
      </c>
      <c r="AL52">
        <v>5686401129462</v>
      </c>
      <c r="AM52">
        <v>3847559197</v>
      </c>
      <c r="AN52">
        <v>0</v>
      </c>
      <c r="AO52">
        <v>427488652</v>
      </c>
      <c r="AP52">
        <v>3847559197</v>
      </c>
      <c r="AQ52">
        <v>4275047849</v>
      </c>
      <c r="AR52">
        <v>128251973</v>
      </c>
      <c r="AS52">
        <v>0</v>
      </c>
      <c r="AT52">
        <v>14249621</v>
      </c>
      <c r="AU52">
        <v>128251973</v>
      </c>
      <c r="AV52">
        <v>142501594</v>
      </c>
      <c r="AW52">
        <v>22.250800000000002</v>
      </c>
      <c r="AX52">
        <v>11.278499999999999</v>
      </c>
      <c r="AY52">
        <v>3433.99</v>
      </c>
      <c r="AZ52">
        <v>2550.98</v>
      </c>
      <c r="BA52">
        <v>14266</v>
      </c>
      <c r="BB52">
        <v>1076</v>
      </c>
      <c r="BC52" t="str">
        <f t="shared" si="0"/>
        <v>u=10% k=2x10^8</v>
      </c>
    </row>
    <row r="53" spans="1:55">
      <c r="A53" t="s">
        <v>244</v>
      </c>
      <c r="B53" t="s">
        <v>83</v>
      </c>
      <c r="C53">
        <v>72</v>
      </c>
      <c r="D53" t="s">
        <v>64</v>
      </c>
      <c r="E53" t="s">
        <v>60</v>
      </c>
      <c r="F53" t="s">
        <v>61</v>
      </c>
      <c r="G53">
        <v>30000</v>
      </c>
      <c r="H53">
        <v>20</v>
      </c>
      <c r="I53">
        <v>20</v>
      </c>
      <c r="J53">
        <v>0</v>
      </c>
      <c r="K53">
        <v>1</v>
      </c>
      <c r="L53">
        <v>2000000</v>
      </c>
      <c r="M53">
        <v>190</v>
      </c>
      <c r="N53">
        <v>190</v>
      </c>
      <c r="O53">
        <v>190</v>
      </c>
      <c r="P53">
        <v>0</v>
      </c>
      <c r="Q53" t="s">
        <v>62</v>
      </c>
      <c r="R53">
        <v>999816125481</v>
      </c>
      <c r="S53">
        <v>999491</v>
      </c>
      <c r="T53">
        <v>999816125481</v>
      </c>
      <c r="U53">
        <v>999491</v>
      </c>
      <c r="V53" t="s">
        <v>71</v>
      </c>
      <c r="W53">
        <v>6</v>
      </c>
      <c r="X53">
        <v>54983</v>
      </c>
      <c r="Y53">
        <v>1076269</v>
      </c>
      <c r="Z53">
        <v>1131252</v>
      </c>
      <c r="AA53">
        <v>999491</v>
      </c>
      <c r="AB53">
        <v>20.5746</v>
      </c>
      <c r="AC53">
        <v>0.92866300000000002</v>
      </c>
      <c r="AD53">
        <v>1.8835299999999999</v>
      </c>
      <c r="AE53">
        <v>3.04603</v>
      </c>
      <c r="AF53">
        <v>21640912</v>
      </c>
      <c r="AG53" t="s">
        <v>245</v>
      </c>
      <c r="AH53" t="s">
        <v>246</v>
      </c>
      <c r="AI53">
        <v>24614577</v>
      </c>
      <c r="AJ53">
        <v>20936</v>
      </c>
      <c r="AK53">
        <v>1780866237710</v>
      </c>
      <c r="AL53">
        <v>5686354852069</v>
      </c>
      <c r="AM53">
        <v>1741009015</v>
      </c>
      <c r="AN53">
        <v>0</v>
      </c>
      <c r="AO53">
        <v>1160570264</v>
      </c>
      <c r="AP53">
        <v>1741009015</v>
      </c>
      <c r="AQ53">
        <v>2901579279</v>
      </c>
      <c r="AR53">
        <v>58033633</v>
      </c>
      <c r="AS53">
        <v>0</v>
      </c>
      <c r="AT53">
        <v>38685675</v>
      </c>
      <c r="AU53">
        <v>58033633</v>
      </c>
      <c r="AV53">
        <v>96719309</v>
      </c>
      <c r="AW53">
        <v>25.0123</v>
      </c>
      <c r="AX53">
        <v>11.9649</v>
      </c>
      <c r="AY53">
        <v>5464.88</v>
      </c>
      <c r="AZ53">
        <v>4159.3100000000004</v>
      </c>
      <c r="BA53">
        <v>1752</v>
      </c>
      <c r="BB53">
        <v>294</v>
      </c>
      <c r="BC53" t="str">
        <f t="shared" si="0"/>
        <v>u=40% k=2x10^6</v>
      </c>
    </row>
    <row r="54" spans="1:55">
      <c r="A54" t="s">
        <v>247</v>
      </c>
      <c r="B54" t="s">
        <v>83</v>
      </c>
      <c r="C54">
        <v>72</v>
      </c>
      <c r="D54" t="s">
        <v>64</v>
      </c>
      <c r="E54" t="s">
        <v>60</v>
      </c>
      <c r="F54" t="s">
        <v>61</v>
      </c>
      <c r="G54">
        <v>30000</v>
      </c>
      <c r="H54">
        <v>20</v>
      </c>
      <c r="I54">
        <v>20</v>
      </c>
      <c r="J54">
        <v>0</v>
      </c>
      <c r="K54">
        <v>1</v>
      </c>
      <c r="L54">
        <v>20000000</v>
      </c>
      <c r="M54">
        <v>190</v>
      </c>
      <c r="N54">
        <v>190</v>
      </c>
      <c r="O54">
        <v>190</v>
      </c>
      <c r="P54">
        <v>0</v>
      </c>
      <c r="Q54" t="s">
        <v>62</v>
      </c>
      <c r="R54">
        <v>100014116048572</v>
      </c>
      <c r="S54">
        <v>10002303</v>
      </c>
      <c r="T54">
        <v>100014116048572</v>
      </c>
      <c r="U54">
        <v>10002303</v>
      </c>
      <c r="V54" t="s">
        <v>71</v>
      </c>
      <c r="W54">
        <v>7</v>
      </c>
      <c r="X54">
        <v>1676646</v>
      </c>
      <c r="Y54">
        <v>11546400</v>
      </c>
      <c r="Z54">
        <v>13223046</v>
      </c>
      <c r="AA54">
        <v>10002303</v>
      </c>
      <c r="AB54">
        <v>7.8866100000000001</v>
      </c>
      <c r="AC54">
        <v>0.86626999999999998</v>
      </c>
      <c r="AD54">
        <v>1.7564299999999999</v>
      </c>
      <c r="AE54">
        <v>4.0101699999999996</v>
      </c>
      <c r="AF54">
        <v>318874128</v>
      </c>
      <c r="AG54" t="s">
        <v>248</v>
      </c>
      <c r="AH54" t="s">
        <v>249</v>
      </c>
      <c r="AI54">
        <v>2951393</v>
      </c>
      <c r="AJ54">
        <v>22120</v>
      </c>
      <c r="AK54">
        <v>1161630881250</v>
      </c>
      <c r="AL54">
        <v>5686354668176</v>
      </c>
      <c r="AM54">
        <v>1740150430</v>
      </c>
      <c r="AN54">
        <v>0</v>
      </c>
      <c r="AO54">
        <v>1160081159</v>
      </c>
      <c r="AP54">
        <v>1740150430</v>
      </c>
      <c r="AQ54">
        <v>2900231589</v>
      </c>
      <c r="AR54">
        <v>58005014</v>
      </c>
      <c r="AS54">
        <v>0</v>
      </c>
      <c r="AT54">
        <v>38669371</v>
      </c>
      <c r="AU54">
        <v>58005014</v>
      </c>
      <c r="AV54">
        <v>96674386</v>
      </c>
      <c r="AW54">
        <v>28.685600000000001</v>
      </c>
      <c r="AX54">
        <v>15.3109</v>
      </c>
      <c r="AY54">
        <v>5296.44</v>
      </c>
      <c r="AZ54">
        <v>3610.05</v>
      </c>
      <c r="BA54">
        <v>2945</v>
      </c>
      <c r="BB54">
        <v>356</v>
      </c>
      <c r="BC54" t="str">
        <f t="shared" si="0"/>
        <v>u=40% k=2x10^7</v>
      </c>
    </row>
    <row r="55" spans="1:55">
      <c r="A55" t="s">
        <v>250</v>
      </c>
      <c r="B55" t="s">
        <v>83</v>
      </c>
      <c r="C55">
        <v>72</v>
      </c>
      <c r="D55" t="s">
        <v>64</v>
      </c>
      <c r="E55" t="s">
        <v>60</v>
      </c>
      <c r="F55" t="s">
        <v>61</v>
      </c>
      <c r="G55">
        <v>30000</v>
      </c>
      <c r="H55">
        <v>20</v>
      </c>
      <c r="I55">
        <v>20</v>
      </c>
      <c r="J55">
        <v>0</v>
      </c>
      <c r="K55">
        <v>1</v>
      </c>
      <c r="L55">
        <v>200000000</v>
      </c>
      <c r="M55">
        <v>190</v>
      </c>
      <c r="N55">
        <v>190</v>
      </c>
      <c r="O55">
        <v>190</v>
      </c>
      <c r="P55">
        <v>0</v>
      </c>
      <c r="Q55" t="s">
        <v>62</v>
      </c>
      <c r="R55">
        <v>1.00003283328422E+16</v>
      </c>
      <c r="S55">
        <v>100001424</v>
      </c>
      <c r="T55">
        <v>1.00003283328422E+16</v>
      </c>
      <c r="U55">
        <v>100001424</v>
      </c>
      <c r="V55" t="s">
        <v>71</v>
      </c>
      <c r="W55">
        <v>7</v>
      </c>
      <c r="X55">
        <v>11011150</v>
      </c>
      <c r="Y55">
        <v>110002521</v>
      </c>
      <c r="Z55">
        <v>121013671</v>
      </c>
      <c r="AA55">
        <v>100001424</v>
      </c>
      <c r="AB55">
        <v>10.9901</v>
      </c>
      <c r="AC55">
        <v>0.90908299999999997</v>
      </c>
      <c r="AD55">
        <v>1.82636</v>
      </c>
      <c r="AE55">
        <v>4</v>
      </c>
      <c r="AF55">
        <v>2640932320</v>
      </c>
      <c r="AG55" t="s">
        <v>251</v>
      </c>
      <c r="AH55" t="s">
        <v>252</v>
      </c>
      <c r="AI55">
        <v>516497</v>
      </c>
      <c r="AJ55">
        <v>12730</v>
      </c>
      <c r="AK55">
        <v>1146159633604</v>
      </c>
      <c r="AL55">
        <v>5704923043698</v>
      </c>
      <c r="AM55">
        <v>1500012601</v>
      </c>
      <c r="AN55">
        <v>0</v>
      </c>
      <c r="AO55">
        <v>1000042053</v>
      </c>
      <c r="AP55">
        <v>1500012601</v>
      </c>
      <c r="AQ55">
        <v>2500054654</v>
      </c>
      <c r="AR55">
        <v>50000420</v>
      </c>
      <c r="AS55">
        <v>0</v>
      </c>
      <c r="AT55">
        <v>33334735</v>
      </c>
      <c r="AU55">
        <v>50000420</v>
      </c>
      <c r="AV55">
        <v>83335155</v>
      </c>
      <c r="AW55">
        <v>31.586300000000001</v>
      </c>
      <c r="AX55">
        <v>17.651499999999999</v>
      </c>
      <c r="AY55">
        <v>5717.26</v>
      </c>
      <c r="AZ55">
        <v>4223.51</v>
      </c>
      <c r="BA55">
        <v>14413</v>
      </c>
      <c r="BB55">
        <v>1092</v>
      </c>
      <c r="BC55" t="str">
        <f t="shared" si="0"/>
        <v>u=40% k=2x10^8</v>
      </c>
    </row>
    <row r="56" spans="1:55">
      <c r="A56" t="s">
        <v>93</v>
      </c>
      <c r="B56" t="s">
        <v>82</v>
      </c>
      <c r="C56">
        <v>64</v>
      </c>
      <c r="D56" t="s">
        <v>64</v>
      </c>
      <c r="E56" t="s">
        <v>60</v>
      </c>
      <c r="F56" t="s">
        <v>61</v>
      </c>
      <c r="G56">
        <v>30000</v>
      </c>
      <c r="H56">
        <v>0.5</v>
      </c>
      <c r="I56">
        <v>0.5</v>
      </c>
      <c r="J56">
        <v>0</v>
      </c>
      <c r="K56">
        <v>1</v>
      </c>
      <c r="L56">
        <v>2000000</v>
      </c>
      <c r="M56">
        <v>190</v>
      </c>
      <c r="N56">
        <v>190</v>
      </c>
      <c r="O56">
        <v>190</v>
      </c>
      <c r="P56">
        <v>0</v>
      </c>
      <c r="Q56" t="s">
        <v>62</v>
      </c>
      <c r="R56">
        <v>1000153106207</v>
      </c>
      <c r="S56">
        <v>1000133</v>
      </c>
      <c r="T56">
        <v>1000153106207</v>
      </c>
      <c r="U56">
        <v>1000133</v>
      </c>
      <c r="V56" t="s">
        <v>71</v>
      </c>
      <c r="W56">
        <v>6</v>
      </c>
      <c r="X56">
        <v>61988</v>
      </c>
      <c r="Y56">
        <v>1091197</v>
      </c>
      <c r="Z56">
        <v>1153185</v>
      </c>
      <c r="AA56">
        <v>1000133</v>
      </c>
      <c r="AB56">
        <v>18.603400000000001</v>
      </c>
      <c r="AC56">
        <v>0.916547</v>
      </c>
      <c r="AD56">
        <v>1.8672800000000001</v>
      </c>
      <c r="AE56">
        <v>3.0606100000000001</v>
      </c>
      <c r="AF56">
        <v>21951520</v>
      </c>
      <c r="AG56" t="s">
        <v>255</v>
      </c>
      <c r="AH56" t="s">
        <v>256</v>
      </c>
      <c r="AI56">
        <v>74551</v>
      </c>
      <c r="AJ56">
        <v>31212</v>
      </c>
      <c r="AK56">
        <v>34476275614</v>
      </c>
      <c r="AL56">
        <v>5686372731845</v>
      </c>
      <c r="AM56">
        <v>4812021427</v>
      </c>
      <c r="AN56">
        <v>0</v>
      </c>
      <c r="AO56">
        <v>48610015</v>
      </c>
      <c r="AP56">
        <v>4812021427</v>
      </c>
      <c r="AQ56">
        <v>4860631442</v>
      </c>
      <c r="AR56">
        <v>160400714</v>
      </c>
      <c r="AS56">
        <v>0</v>
      </c>
      <c r="AT56">
        <v>1620333</v>
      </c>
      <c r="AU56">
        <v>160400714</v>
      </c>
      <c r="AV56">
        <v>162021048</v>
      </c>
      <c r="AW56">
        <v>11.168699999999999</v>
      </c>
      <c r="AX56">
        <v>0.610734</v>
      </c>
      <c r="AY56">
        <v>3267.84</v>
      </c>
      <c r="AZ56">
        <v>2517.7600000000002</v>
      </c>
      <c r="BA56">
        <v>1280</v>
      </c>
      <c r="BB56">
        <v>274</v>
      </c>
      <c r="BC56" t="str">
        <f t="shared" si="0"/>
        <v>u=1% k=2x10^6</v>
      </c>
    </row>
    <row r="57" spans="1:55">
      <c r="A57" t="s">
        <v>96</v>
      </c>
      <c r="B57" t="s">
        <v>82</v>
      </c>
      <c r="C57">
        <v>64</v>
      </c>
      <c r="D57" t="s">
        <v>64</v>
      </c>
      <c r="E57" t="s">
        <v>60</v>
      </c>
      <c r="F57" t="s">
        <v>61</v>
      </c>
      <c r="G57">
        <v>30000</v>
      </c>
      <c r="H57">
        <v>0.5</v>
      </c>
      <c r="I57">
        <v>0.5</v>
      </c>
      <c r="J57">
        <v>0</v>
      </c>
      <c r="K57">
        <v>1</v>
      </c>
      <c r="L57">
        <v>20000000</v>
      </c>
      <c r="M57">
        <v>190</v>
      </c>
      <c r="N57">
        <v>190</v>
      </c>
      <c r="O57">
        <v>190</v>
      </c>
      <c r="P57">
        <v>0</v>
      </c>
      <c r="Q57" t="s">
        <v>62</v>
      </c>
      <c r="R57">
        <v>100010972792757</v>
      </c>
      <c r="S57">
        <v>10000510</v>
      </c>
      <c r="T57">
        <v>100010972792757</v>
      </c>
      <c r="U57">
        <v>10000510</v>
      </c>
      <c r="V57" t="s">
        <v>71</v>
      </c>
      <c r="W57">
        <v>7</v>
      </c>
      <c r="X57">
        <v>1892266</v>
      </c>
      <c r="Y57">
        <v>11999314</v>
      </c>
      <c r="Z57">
        <v>13891580</v>
      </c>
      <c r="AA57">
        <v>10000510</v>
      </c>
      <c r="AB57">
        <v>7.34124</v>
      </c>
      <c r="AC57">
        <v>0.83342300000000002</v>
      </c>
      <c r="AD57">
        <v>1.7199</v>
      </c>
      <c r="AE57">
        <v>4.0534100000000004</v>
      </c>
      <c r="AF57">
        <v>328253648</v>
      </c>
      <c r="AG57" t="s">
        <v>257</v>
      </c>
      <c r="AH57" t="s">
        <v>258</v>
      </c>
      <c r="AI57">
        <v>15045</v>
      </c>
      <c r="AJ57">
        <v>24770</v>
      </c>
      <c r="AK57">
        <v>63146950699</v>
      </c>
      <c r="AL57">
        <v>5686373822410</v>
      </c>
      <c r="AM57">
        <v>4182526577</v>
      </c>
      <c r="AN57">
        <v>0</v>
      </c>
      <c r="AO57">
        <v>42252241</v>
      </c>
      <c r="AP57">
        <v>4182526577</v>
      </c>
      <c r="AQ57">
        <v>4224778818</v>
      </c>
      <c r="AR57">
        <v>139417552</v>
      </c>
      <c r="AS57">
        <v>0</v>
      </c>
      <c r="AT57">
        <v>1408408</v>
      </c>
      <c r="AU57">
        <v>139417552</v>
      </c>
      <c r="AV57">
        <v>140825960</v>
      </c>
      <c r="AW57">
        <v>16.869499999999999</v>
      </c>
      <c r="AX57">
        <v>6.6715499999999999</v>
      </c>
      <c r="AY57">
        <v>3730.19</v>
      </c>
      <c r="AZ57">
        <v>2957.79</v>
      </c>
      <c r="BA57">
        <v>2468</v>
      </c>
      <c r="BB57">
        <v>381</v>
      </c>
      <c r="BC57" t="str">
        <f t="shared" si="0"/>
        <v>u=1% k=2x10^7</v>
      </c>
    </row>
    <row r="58" spans="1:55">
      <c r="A58" t="s">
        <v>99</v>
      </c>
      <c r="B58" t="s">
        <v>82</v>
      </c>
      <c r="C58">
        <v>64</v>
      </c>
      <c r="D58" t="s">
        <v>64</v>
      </c>
      <c r="E58" t="s">
        <v>60</v>
      </c>
      <c r="F58" t="s">
        <v>61</v>
      </c>
      <c r="G58">
        <v>30000</v>
      </c>
      <c r="H58">
        <v>0.5</v>
      </c>
      <c r="I58">
        <v>0.5</v>
      </c>
      <c r="J58">
        <v>0</v>
      </c>
      <c r="K58">
        <v>1</v>
      </c>
      <c r="L58">
        <v>200000000</v>
      </c>
      <c r="M58">
        <v>190</v>
      </c>
      <c r="N58">
        <v>190</v>
      </c>
      <c r="O58">
        <v>190</v>
      </c>
      <c r="P58">
        <v>0</v>
      </c>
      <c r="Q58" t="s">
        <v>62</v>
      </c>
      <c r="R58">
        <v>9999914657377230</v>
      </c>
      <c r="S58">
        <v>100001998</v>
      </c>
      <c r="T58">
        <v>9999914657377230</v>
      </c>
      <c r="U58">
        <v>100001998</v>
      </c>
      <c r="V58" t="s">
        <v>71</v>
      </c>
      <c r="W58">
        <v>7</v>
      </c>
      <c r="X58">
        <v>14729953</v>
      </c>
      <c r="Y58">
        <v>117794739</v>
      </c>
      <c r="Z58">
        <v>132524692</v>
      </c>
      <c r="AA58">
        <v>100001998</v>
      </c>
      <c r="AB58">
        <v>8.99695</v>
      </c>
      <c r="AC58">
        <v>0.84895100000000001</v>
      </c>
      <c r="AD58">
        <v>1.7545900000000001</v>
      </c>
      <c r="AE58">
        <v>4.0761399999999997</v>
      </c>
      <c r="AF58">
        <v>2949448664</v>
      </c>
      <c r="AG58" t="s">
        <v>259</v>
      </c>
      <c r="AH58" t="s">
        <v>259</v>
      </c>
      <c r="AI58">
        <v>5</v>
      </c>
      <c r="AJ58">
        <v>23742</v>
      </c>
      <c r="AK58">
        <v>12138306538</v>
      </c>
      <c r="AL58">
        <v>5686374747500</v>
      </c>
      <c r="AM58">
        <v>3956423576</v>
      </c>
      <c r="AN58">
        <v>0</v>
      </c>
      <c r="AO58">
        <v>39965520</v>
      </c>
      <c r="AP58">
        <v>3956423576</v>
      </c>
      <c r="AQ58">
        <v>3996389096</v>
      </c>
      <c r="AR58">
        <v>131880785</v>
      </c>
      <c r="AS58">
        <v>0</v>
      </c>
      <c r="AT58">
        <v>1332184</v>
      </c>
      <c r="AU58">
        <v>131880785</v>
      </c>
      <c r="AV58">
        <v>133212969</v>
      </c>
      <c r="AW58">
        <v>19.637899999999998</v>
      </c>
      <c r="AX58">
        <v>9.5074699999999996</v>
      </c>
      <c r="AY58">
        <v>3970.93</v>
      </c>
      <c r="AZ58">
        <v>3229.06</v>
      </c>
      <c r="BA58">
        <v>8023</v>
      </c>
      <c r="BB58">
        <v>1145</v>
      </c>
      <c r="BC58" t="str">
        <f t="shared" si="0"/>
        <v>u=1% k=2x10^8</v>
      </c>
    </row>
    <row r="59" spans="1:55">
      <c r="A59" t="s">
        <v>101</v>
      </c>
      <c r="B59" t="s">
        <v>82</v>
      </c>
      <c r="C59">
        <v>64</v>
      </c>
      <c r="D59" t="s">
        <v>64</v>
      </c>
      <c r="E59" t="s">
        <v>60</v>
      </c>
      <c r="F59" t="s">
        <v>61</v>
      </c>
      <c r="G59">
        <v>30000</v>
      </c>
      <c r="H59">
        <v>5</v>
      </c>
      <c r="I59">
        <v>5</v>
      </c>
      <c r="J59">
        <v>0</v>
      </c>
      <c r="K59">
        <v>1</v>
      </c>
      <c r="L59">
        <v>2000000</v>
      </c>
      <c r="M59">
        <v>190</v>
      </c>
      <c r="N59">
        <v>190</v>
      </c>
      <c r="O59">
        <v>190</v>
      </c>
      <c r="P59">
        <v>0</v>
      </c>
      <c r="Q59" t="s">
        <v>62</v>
      </c>
      <c r="R59">
        <v>999576895925</v>
      </c>
      <c r="S59">
        <v>999765</v>
      </c>
      <c r="T59">
        <v>999576895925</v>
      </c>
      <c r="U59">
        <v>999765</v>
      </c>
      <c r="V59" t="s">
        <v>71</v>
      </c>
      <c r="W59">
        <v>6</v>
      </c>
      <c r="X59">
        <v>64093</v>
      </c>
      <c r="Y59">
        <v>1095010</v>
      </c>
      <c r="Z59">
        <v>1159103</v>
      </c>
      <c r="AA59">
        <v>999765</v>
      </c>
      <c r="AB59">
        <v>18.084700000000002</v>
      </c>
      <c r="AC59">
        <v>0.91301900000000002</v>
      </c>
      <c r="AD59">
        <v>1.86253</v>
      </c>
      <c r="AE59">
        <v>3.0651799999999998</v>
      </c>
      <c r="AF59">
        <v>22167688</v>
      </c>
      <c r="AG59" t="s">
        <v>260</v>
      </c>
      <c r="AH59" t="s">
        <v>261</v>
      </c>
      <c r="AI59">
        <v>221127</v>
      </c>
      <c r="AJ59">
        <v>7694</v>
      </c>
      <c r="AK59">
        <v>96435374538</v>
      </c>
      <c r="AL59">
        <v>5686375050727</v>
      </c>
      <c r="AM59">
        <v>1000579484</v>
      </c>
      <c r="AN59">
        <v>0</v>
      </c>
      <c r="AO59">
        <v>111172157</v>
      </c>
      <c r="AP59">
        <v>1000579484</v>
      </c>
      <c r="AQ59">
        <v>1111751641</v>
      </c>
      <c r="AR59">
        <v>33352649</v>
      </c>
      <c r="AS59">
        <v>0</v>
      </c>
      <c r="AT59">
        <v>3705738</v>
      </c>
      <c r="AU59">
        <v>33352649</v>
      </c>
      <c r="AV59">
        <v>37058388</v>
      </c>
      <c r="AW59">
        <v>17.736999999999998</v>
      </c>
      <c r="AX59">
        <v>4.1356200000000003</v>
      </c>
      <c r="AY59">
        <v>14283.2</v>
      </c>
      <c r="AZ59">
        <v>13317.8</v>
      </c>
      <c r="BA59">
        <v>1298</v>
      </c>
      <c r="BB59">
        <v>282</v>
      </c>
      <c r="BC59" t="str">
        <f t="shared" si="0"/>
        <v>u=10% k=2x10^6</v>
      </c>
    </row>
    <row r="60" spans="1:55">
      <c r="A60" t="s">
        <v>104</v>
      </c>
      <c r="B60" t="s">
        <v>82</v>
      </c>
      <c r="C60">
        <v>64</v>
      </c>
      <c r="D60" t="s">
        <v>64</v>
      </c>
      <c r="E60" t="s">
        <v>60</v>
      </c>
      <c r="F60" t="s">
        <v>61</v>
      </c>
      <c r="G60">
        <v>30000</v>
      </c>
      <c r="H60">
        <v>5</v>
      </c>
      <c r="I60">
        <v>5</v>
      </c>
      <c r="J60">
        <v>0</v>
      </c>
      <c r="K60">
        <v>1</v>
      </c>
      <c r="L60">
        <v>20000000</v>
      </c>
      <c r="M60">
        <v>190</v>
      </c>
      <c r="N60">
        <v>190</v>
      </c>
      <c r="O60">
        <v>190</v>
      </c>
      <c r="P60">
        <v>0</v>
      </c>
      <c r="Q60" t="s">
        <v>62</v>
      </c>
      <c r="R60">
        <v>99988074948758</v>
      </c>
      <c r="S60">
        <v>9999290</v>
      </c>
      <c r="T60">
        <v>99988074948758</v>
      </c>
      <c r="U60">
        <v>9999290</v>
      </c>
      <c r="V60" t="s">
        <v>71</v>
      </c>
      <c r="W60">
        <v>7</v>
      </c>
      <c r="X60">
        <v>1906663</v>
      </c>
      <c r="Y60">
        <v>12036739</v>
      </c>
      <c r="Z60">
        <v>13943402</v>
      </c>
      <c r="AA60">
        <v>9999290</v>
      </c>
      <c r="AB60">
        <v>7.3129900000000001</v>
      </c>
      <c r="AC60">
        <v>0.830731</v>
      </c>
      <c r="AD60">
        <v>1.71713</v>
      </c>
      <c r="AE60">
        <v>4.0559799999999999</v>
      </c>
      <c r="AF60">
        <v>329909048</v>
      </c>
      <c r="AG60" t="s">
        <v>262</v>
      </c>
      <c r="AH60" t="s">
        <v>263</v>
      </c>
      <c r="AI60">
        <v>57384</v>
      </c>
      <c r="AJ60">
        <v>7782</v>
      </c>
      <c r="AK60">
        <v>150135323931</v>
      </c>
      <c r="AL60">
        <v>5686374155199</v>
      </c>
      <c r="AM60">
        <v>1018205979</v>
      </c>
      <c r="AN60">
        <v>0</v>
      </c>
      <c r="AO60">
        <v>113157590</v>
      </c>
      <c r="AP60">
        <v>1018205979</v>
      </c>
      <c r="AQ60">
        <v>1131363569</v>
      </c>
      <c r="AR60">
        <v>33940199</v>
      </c>
      <c r="AS60">
        <v>0</v>
      </c>
      <c r="AT60">
        <v>3771919</v>
      </c>
      <c r="AU60">
        <v>33940199</v>
      </c>
      <c r="AV60">
        <v>37712118</v>
      </c>
      <c r="AW60">
        <v>21.767600000000002</v>
      </c>
      <c r="AX60">
        <v>9.1628799999999995</v>
      </c>
      <c r="AY60">
        <v>13888.7</v>
      </c>
      <c r="AZ60">
        <v>12883.3</v>
      </c>
      <c r="BA60">
        <v>2541</v>
      </c>
      <c r="BB60">
        <v>362</v>
      </c>
      <c r="BC60" t="str">
        <f t="shared" si="0"/>
        <v>u=10% k=2x10^7</v>
      </c>
    </row>
    <row r="61" spans="1:55">
      <c r="A61" t="s">
        <v>107</v>
      </c>
      <c r="B61" t="s">
        <v>82</v>
      </c>
      <c r="C61">
        <v>64</v>
      </c>
      <c r="D61" t="s">
        <v>64</v>
      </c>
      <c r="E61" t="s">
        <v>60</v>
      </c>
      <c r="F61" t="s">
        <v>61</v>
      </c>
      <c r="G61">
        <v>30000</v>
      </c>
      <c r="H61">
        <v>5</v>
      </c>
      <c r="I61">
        <v>5</v>
      </c>
      <c r="J61">
        <v>0</v>
      </c>
      <c r="K61">
        <v>1</v>
      </c>
      <c r="L61">
        <v>200000000</v>
      </c>
      <c r="M61">
        <v>190</v>
      </c>
      <c r="N61">
        <v>190</v>
      </c>
      <c r="O61">
        <v>190</v>
      </c>
      <c r="P61">
        <v>0</v>
      </c>
      <c r="Q61" t="s">
        <v>62</v>
      </c>
      <c r="R61">
        <v>9999480938076500</v>
      </c>
      <c r="S61">
        <v>99999666</v>
      </c>
      <c r="T61">
        <v>9999480938076500</v>
      </c>
      <c r="U61">
        <v>99999666</v>
      </c>
      <c r="V61" t="s">
        <v>71</v>
      </c>
      <c r="W61">
        <v>7</v>
      </c>
      <c r="X61">
        <v>14410521</v>
      </c>
      <c r="Y61">
        <v>117034462</v>
      </c>
      <c r="Z61">
        <v>131444983</v>
      </c>
      <c r="AA61">
        <v>99999666</v>
      </c>
      <c r="AB61">
        <v>9.1214600000000008</v>
      </c>
      <c r="AC61">
        <v>0.85444600000000004</v>
      </c>
      <c r="AD61">
        <v>1.7607699999999999</v>
      </c>
      <c r="AE61">
        <v>4.07064</v>
      </c>
      <c r="AF61">
        <v>2913042168</v>
      </c>
      <c r="AG61" t="s">
        <v>264</v>
      </c>
      <c r="AH61" t="s">
        <v>265</v>
      </c>
      <c r="AI61">
        <v>11284</v>
      </c>
      <c r="AJ61">
        <v>7560</v>
      </c>
      <c r="AK61">
        <v>195886220316</v>
      </c>
      <c r="AL61">
        <v>5686376295373</v>
      </c>
      <c r="AM61">
        <v>1082259435</v>
      </c>
      <c r="AN61">
        <v>0</v>
      </c>
      <c r="AO61">
        <v>120236160</v>
      </c>
      <c r="AP61">
        <v>1082259435</v>
      </c>
      <c r="AQ61">
        <v>1202495595</v>
      </c>
      <c r="AR61">
        <v>36075314</v>
      </c>
      <c r="AS61">
        <v>0</v>
      </c>
      <c r="AT61">
        <v>4007872</v>
      </c>
      <c r="AU61">
        <v>36075314</v>
      </c>
      <c r="AV61">
        <v>40083186</v>
      </c>
      <c r="AW61">
        <v>21.993099999999998</v>
      </c>
      <c r="AX61">
        <v>10.7325</v>
      </c>
      <c r="AY61">
        <v>12841.2</v>
      </c>
      <c r="AZ61">
        <v>11947.9</v>
      </c>
      <c r="BA61">
        <v>12751</v>
      </c>
      <c r="BB61">
        <v>1060</v>
      </c>
      <c r="BC61" t="str">
        <f t="shared" si="0"/>
        <v>u=10% k=2x10^8</v>
      </c>
    </row>
    <row r="62" spans="1:55">
      <c r="A62" t="s">
        <v>110</v>
      </c>
      <c r="B62" t="s">
        <v>82</v>
      </c>
      <c r="C62">
        <v>64</v>
      </c>
      <c r="D62" t="s">
        <v>64</v>
      </c>
      <c r="E62" t="s">
        <v>60</v>
      </c>
      <c r="F62" t="s">
        <v>61</v>
      </c>
      <c r="G62">
        <v>30000</v>
      </c>
      <c r="H62">
        <v>20</v>
      </c>
      <c r="I62">
        <v>20</v>
      </c>
      <c r="J62">
        <v>0</v>
      </c>
      <c r="K62">
        <v>1</v>
      </c>
      <c r="L62">
        <v>2000000</v>
      </c>
      <c r="M62">
        <v>190</v>
      </c>
      <c r="N62">
        <v>190</v>
      </c>
      <c r="O62">
        <v>190</v>
      </c>
      <c r="P62">
        <v>0</v>
      </c>
      <c r="Q62" t="s">
        <v>62</v>
      </c>
      <c r="R62">
        <v>1000934071738</v>
      </c>
      <c r="S62">
        <v>1000694</v>
      </c>
      <c r="T62">
        <v>1000934071738</v>
      </c>
      <c r="U62">
        <v>1000694</v>
      </c>
      <c r="V62" t="s">
        <v>71</v>
      </c>
      <c r="W62">
        <v>6</v>
      </c>
      <c r="X62">
        <v>66235</v>
      </c>
      <c r="Y62">
        <v>1100440</v>
      </c>
      <c r="Z62">
        <v>1166675</v>
      </c>
      <c r="AA62">
        <v>1000694</v>
      </c>
      <c r="AB62">
        <v>17.6142</v>
      </c>
      <c r="AC62">
        <v>0.909358</v>
      </c>
      <c r="AD62">
        <v>1.8577300000000001</v>
      </c>
      <c r="AE62">
        <v>3.07</v>
      </c>
      <c r="AF62">
        <v>22414920</v>
      </c>
      <c r="AG62" t="s">
        <v>266</v>
      </c>
      <c r="AH62" t="s">
        <v>267</v>
      </c>
      <c r="AI62">
        <v>498193</v>
      </c>
      <c r="AJ62">
        <v>3168</v>
      </c>
      <c r="AK62">
        <v>204330609332</v>
      </c>
      <c r="AL62">
        <v>5686377863388</v>
      </c>
      <c r="AM62">
        <v>271724019</v>
      </c>
      <c r="AN62">
        <v>0</v>
      </c>
      <c r="AO62">
        <v>181182922</v>
      </c>
      <c r="AP62">
        <v>271724019</v>
      </c>
      <c r="AQ62">
        <v>452906941</v>
      </c>
      <c r="AR62">
        <v>9057467</v>
      </c>
      <c r="AS62">
        <v>0</v>
      </c>
      <c r="AT62">
        <v>6039430</v>
      </c>
      <c r="AU62">
        <v>9057467</v>
      </c>
      <c r="AV62">
        <v>15096898</v>
      </c>
      <c r="AW62">
        <v>26.401800000000001</v>
      </c>
      <c r="AX62">
        <v>10.835800000000001</v>
      </c>
      <c r="AY62">
        <v>35045.599999999999</v>
      </c>
      <c r="AZ62">
        <v>33196.199999999997</v>
      </c>
      <c r="BA62">
        <v>1328</v>
      </c>
      <c r="BB62">
        <v>303</v>
      </c>
      <c r="BC62" t="str">
        <f t="shared" si="0"/>
        <v>u=40% k=2x10^6</v>
      </c>
    </row>
    <row r="63" spans="1:55">
      <c r="A63" t="s">
        <v>113</v>
      </c>
      <c r="B63" t="s">
        <v>82</v>
      </c>
      <c r="C63">
        <v>64</v>
      </c>
      <c r="D63" t="s">
        <v>64</v>
      </c>
      <c r="E63" t="s">
        <v>60</v>
      </c>
      <c r="F63" t="s">
        <v>61</v>
      </c>
      <c r="G63">
        <v>30000</v>
      </c>
      <c r="H63">
        <v>20</v>
      </c>
      <c r="I63">
        <v>20</v>
      </c>
      <c r="J63">
        <v>0</v>
      </c>
      <c r="K63">
        <v>1</v>
      </c>
      <c r="L63">
        <v>20000000</v>
      </c>
      <c r="M63">
        <v>190</v>
      </c>
      <c r="N63">
        <v>190</v>
      </c>
      <c r="O63">
        <v>190</v>
      </c>
      <c r="P63">
        <v>0</v>
      </c>
      <c r="Q63" t="s">
        <v>62</v>
      </c>
      <c r="R63">
        <v>100048930423061</v>
      </c>
      <c r="S63">
        <v>10002485</v>
      </c>
      <c r="T63">
        <v>100048930423061</v>
      </c>
      <c r="U63">
        <v>10002485</v>
      </c>
      <c r="V63" t="s">
        <v>71</v>
      </c>
      <c r="W63">
        <v>7</v>
      </c>
      <c r="X63">
        <v>1799880</v>
      </c>
      <c r="Y63">
        <v>11801276</v>
      </c>
      <c r="Z63">
        <v>13601156</v>
      </c>
      <c r="AA63">
        <v>10002485</v>
      </c>
      <c r="AB63">
        <v>7.5567000000000002</v>
      </c>
      <c r="AC63">
        <v>0.84757700000000002</v>
      </c>
      <c r="AD63">
        <v>1.7354099999999999</v>
      </c>
      <c r="AE63">
        <v>4.0348300000000004</v>
      </c>
      <c r="AF63">
        <v>318414416</v>
      </c>
      <c r="AG63" t="s">
        <v>268</v>
      </c>
      <c r="AH63" t="s">
        <v>269</v>
      </c>
      <c r="AI63">
        <v>139744</v>
      </c>
      <c r="AJ63">
        <v>3502</v>
      </c>
      <c r="AK63">
        <v>304114957580</v>
      </c>
      <c r="AL63">
        <v>5686378999052</v>
      </c>
      <c r="AM63">
        <v>279032478</v>
      </c>
      <c r="AN63">
        <v>0</v>
      </c>
      <c r="AO63">
        <v>186035083</v>
      </c>
      <c r="AP63">
        <v>279032478</v>
      </c>
      <c r="AQ63">
        <v>465067561</v>
      </c>
      <c r="AR63">
        <v>9301082</v>
      </c>
      <c r="AS63">
        <v>0</v>
      </c>
      <c r="AT63">
        <v>6201169</v>
      </c>
      <c r="AU63">
        <v>9301082</v>
      </c>
      <c r="AV63">
        <v>15502252</v>
      </c>
      <c r="AW63">
        <v>32.8127</v>
      </c>
      <c r="AX63">
        <v>16.844999999999999</v>
      </c>
      <c r="AY63">
        <v>33539.300000000003</v>
      </c>
      <c r="AZ63">
        <v>31118</v>
      </c>
      <c r="BA63">
        <v>2680</v>
      </c>
      <c r="BB63">
        <v>355</v>
      </c>
      <c r="BC63" t="str">
        <f t="shared" si="0"/>
        <v>u=40% k=2x10^7</v>
      </c>
    </row>
    <row r="64" spans="1:55">
      <c r="A64" t="s">
        <v>116</v>
      </c>
      <c r="B64" t="s">
        <v>82</v>
      </c>
      <c r="C64">
        <v>64</v>
      </c>
      <c r="D64" t="s">
        <v>64</v>
      </c>
      <c r="E64" t="s">
        <v>60</v>
      </c>
      <c r="F64" t="s">
        <v>61</v>
      </c>
      <c r="G64">
        <v>30000</v>
      </c>
      <c r="H64">
        <v>20</v>
      </c>
      <c r="I64">
        <v>20</v>
      </c>
      <c r="J64">
        <v>0</v>
      </c>
      <c r="K64">
        <v>1</v>
      </c>
      <c r="L64">
        <v>200000000</v>
      </c>
      <c r="M64">
        <v>190</v>
      </c>
      <c r="N64">
        <v>190</v>
      </c>
      <c r="O64">
        <v>190</v>
      </c>
      <c r="P64">
        <v>0</v>
      </c>
      <c r="Q64" t="s">
        <v>62</v>
      </c>
      <c r="R64">
        <v>1.00003132153151E+16</v>
      </c>
      <c r="S64">
        <v>99999670</v>
      </c>
      <c r="T64">
        <v>1.00003132153151E+16</v>
      </c>
      <c r="U64">
        <v>99999670</v>
      </c>
      <c r="V64" t="s">
        <v>71</v>
      </c>
      <c r="W64">
        <v>7</v>
      </c>
      <c r="X64">
        <v>14829530</v>
      </c>
      <c r="Y64">
        <v>118020512</v>
      </c>
      <c r="Z64">
        <v>132850042</v>
      </c>
      <c r="AA64">
        <v>99999670</v>
      </c>
      <c r="AB64">
        <v>8.9584799999999998</v>
      </c>
      <c r="AC64">
        <v>0.84730799999999995</v>
      </c>
      <c r="AD64">
        <v>1.7527299999999999</v>
      </c>
      <c r="AE64">
        <v>4.0787899999999997</v>
      </c>
      <c r="AF64">
        <v>2960340336</v>
      </c>
      <c r="AG64" t="s">
        <v>270</v>
      </c>
      <c r="AH64" t="s">
        <v>271</v>
      </c>
      <c r="AI64">
        <v>21758</v>
      </c>
      <c r="AJ64">
        <v>3048</v>
      </c>
      <c r="AK64">
        <v>328956037755</v>
      </c>
      <c r="AL64">
        <v>5686428648345</v>
      </c>
      <c r="AM64">
        <v>281949052</v>
      </c>
      <c r="AN64">
        <v>0</v>
      </c>
      <c r="AO64">
        <v>187980491</v>
      </c>
      <c r="AP64">
        <v>281949052</v>
      </c>
      <c r="AQ64">
        <v>469929543</v>
      </c>
      <c r="AR64">
        <v>9398301</v>
      </c>
      <c r="AS64">
        <v>0</v>
      </c>
      <c r="AT64">
        <v>6266016</v>
      </c>
      <c r="AU64">
        <v>9398301</v>
      </c>
      <c r="AV64">
        <v>15664318</v>
      </c>
      <c r="AW64">
        <v>30.648</v>
      </c>
      <c r="AX64">
        <v>16.104700000000001</v>
      </c>
      <c r="AY64">
        <v>31844.2</v>
      </c>
      <c r="AZ64">
        <v>30101.200000000001</v>
      </c>
      <c r="BA64">
        <v>12926</v>
      </c>
      <c r="BB64">
        <v>1160</v>
      </c>
      <c r="BC64" t="str">
        <f t="shared" si="0"/>
        <v>u=40% k=2x10^8</v>
      </c>
    </row>
    <row r="65" spans="1:55">
      <c r="A65" t="s">
        <v>119</v>
      </c>
      <c r="B65" t="s">
        <v>82</v>
      </c>
      <c r="C65">
        <v>64</v>
      </c>
      <c r="D65" t="s">
        <v>64</v>
      </c>
      <c r="E65" t="s">
        <v>60</v>
      </c>
      <c r="F65" t="s">
        <v>61</v>
      </c>
      <c r="G65">
        <v>30000</v>
      </c>
      <c r="H65">
        <v>0.5</v>
      </c>
      <c r="I65">
        <v>0.5</v>
      </c>
      <c r="J65">
        <v>0</v>
      </c>
      <c r="K65">
        <v>1</v>
      </c>
      <c r="L65">
        <v>2000000</v>
      </c>
      <c r="M65">
        <v>190</v>
      </c>
      <c r="N65">
        <v>190</v>
      </c>
      <c r="O65">
        <v>190</v>
      </c>
      <c r="P65">
        <v>0</v>
      </c>
      <c r="Q65" t="s">
        <v>62</v>
      </c>
      <c r="R65">
        <v>1001489920234</v>
      </c>
      <c r="S65">
        <v>1000648</v>
      </c>
      <c r="T65">
        <v>1001489920234</v>
      </c>
      <c r="U65">
        <v>1000648</v>
      </c>
      <c r="V65" t="s">
        <v>71</v>
      </c>
      <c r="W65">
        <v>6</v>
      </c>
      <c r="X65">
        <v>69750</v>
      </c>
      <c r="Y65">
        <v>1107881</v>
      </c>
      <c r="Z65">
        <v>1177631</v>
      </c>
      <c r="AA65">
        <v>1000648</v>
      </c>
      <c r="AB65">
        <v>16.883600000000001</v>
      </c>
      <c r="AC65">
        <v>0.90320900000000004</v>
      </c>
      <c r="AD65">
        <v>1.84971</v>
      </c>
      <c r="AE65">
        <v>3.0777399999999999</v>
      </c>
      <c r="AF65">
        <v>22795696</v>
      </c>
      <c r="AG65" t="s">
        <v>272</v>
      </c>
      <c r="AH65" t="s">
        <v>273</v>
      </c>
      <c r="AI65">
        <v>75356</v>
      </c>
      <c r="AJ65">
        <v>31054</v>
      </c>
      <c r="AK65">
        <v>34776771274</v>
      </c>
      <c r="AL65">
        <v>5686378818135</v>
      </c>
      <c r="AM65">
        <v>4818627704</v>
      </c>
      <c r="AN65">
        <v>0</v>
      </c>
      <c r="AO65">
        <v>48682656</v>
      </c>
      <c r="AP65">
        <v>4818627704</v>
      </c>
      <c r="AQ65">
        <v>4867310360</v>
      </c>
      <c r="AR65">
        <v>160620923</v>
      </c>
      <c r="AS65">
        <v>0</v>
      </c>
      <c r="AT65">
        <v>1622755</v>
      </c>
      <c r="AU65">
        <v>160620923</v>
      </c>
      <c r="AV65">
        <v>162243678</v>
      </c>
      <c r="AW65">
        <v>11.328799999999999</v>
      </c>
      <c r="AX65">
        <v>0.64051899999999995</v>
      </c>
      <c r="AY65">
        <v>3263.35</v>
      </c>
      <c r="AZ65">
        <v>2508.65</v>
      </c>
      <c r="BA65">
        <v>1277</v>
      </c>
      <c r="BB65">
        <v>357</v>
      </c>
      <c r="BC65" t="str">
        <f t="shared" si="0"/>
        <v>u=1% k=2x10^6</v>
      </c>
    </row>
    <row r="66" spans="1:55">
      <c r="A66" t="s">
        <v>122</v>
      </c>
      <c r="B66" t="s">
        <v>82</v>
      </c>
      <c r="C66">
        <v>64</v>
      </c>
      <c r="D66" t="s">
        <v>64</v>
      </c>
      <c r="E66" t="s">
        <v>60</v>
      </c>
      <c r="F66" t="s">
        <v>61</v>
      </c>
      <c r="G66">
        <v>30000</v>
      </c>
      <c r="H66">
        <v>0.5</v>
      </c>
      <c r="I66">
        <v>0.5</v>
      </c>
      <c r="J66">
        <v>0</v>
      </c>
      <c r="K66">
        <v>1</v>
      </c>
      <c r="L66">
        <v>20000000</v>
      </c>
      <c r="M66">
        <v>190</v>
      </c>
      <c r="N66">
        <v>190</v>
      </c>
      <c r="O66">
        <v>190</v>
      </c>
      <c r="P66">
        <v>0</v>
      </c>
      <c r="Q66" t="s">
        <v>62</v>
      </c>
      <c r="R66">
        <v>99959238532695</v>
      </c>
      <c r="S66">
        <v>9996551</v>
      </c>
      <c r="T66">
        <v>99959238532695</v>
      </c>
      <c r="U66">
        <v>9996551</v>
      </c>
      <c r="V66" t="s">
        <v>71</v>
      </c>
      <c r="W66">
        <v>7</v>
      </c>
      <c r="X66">
        <v>1888749</v>
      </c>
      <c r="Y66">
        <v>11987357</v>
      </c>
      <c r="Z66">
        <v>13876106</v>
      </c>
      <c r="AA66">
        <v>9996551</v>
      </c>
      <c r="AB66">
        <v>7.3467200000000004</v>
      </c>
      <c r="AC66">
        <v>0.83392500000000003</v>
      </c>
      <c r="AD66">
        <v>1.72041</v>
      </c>
      <c r="AE66">
        <v>4.05281</v>
      </c>
      <c r="AF66">
        <v>327807640</v>
      </c>
      <c r="AG66" t="s">
        <v>274</v>
      </c>
      <c r="AH66" t="s">
        <v>275</v>
      </c>
      <c r="AI66">
        <v>15845</v>
      </c>
      <c r="AJ66">
        <v>24912</v>
      </c>
      <c r="AK66">
        <v>62153476625</v>
      </c>
      <c r="AL66">
        <v>5686379275582</v>
      </c>
      <c r="AM66">
        <v>4173770174</v>
      </c>
      <c r="AN66">
        <v>0</v>
      </c>
      <c r="AO66">
        <v>42158669</v>
      </c>
      <c r="AP66">
        <v>4173770174</v>
      </c>
      <c r="AQ66">
        <v>4215928843</v>
      </c>
      <c r="AR66">
        <v>139125672</v>
      </c>
      <c r="AS66">
        <v>0</v>
      </c>
      <c r="AT66">
        <v>1405288</v>
      </c>
      <c r="AU66">
        <v>139125672</v>
      </c>
      <c r="AV66">
        <v>140530961</v>
      </c>
      <c r="AW66">
        <v>16.972000000000001</v>
      </c>
      <c r="AX66">
        <v>6.6773300000000004</v>
      </c>
      <c r="AY66">
        <v>3738.57</v>
      </c>
      <c r="AZ66">
        <v>2972.24</v>
      </c>
      <c r="BA66">
        <v>2476</v>
      </c>
      <c r="BB66">
        <v>318</v>
      </c>
      <c r="BC66" t="str">
        <f t="shared" si="0"/>
        <v>u=1% k=2x10^7</v>
      </c>
    </row>
    <row r="67" spans="1:55">
      <c r="A67" t="s">
        <v>125</v>
      </c>
      <c r="B67" t="s">
        <v>82</v>
      </c>
      <c r="C67">
        <v>64</v>
      </c>
      <c r="D67" t="s">
        <v>64</v>
      </c>
      <c r="E67" t="s">
        <v>60</v>
      </c>
      <c r="F67" t="s">
        <v>61</v>
      </c>
      <c r="G67">
        <v>30000</v>
      </c>
      <c r="H67">
        <v>0.5</v>
      </c>
      <c r="I67">
        <v>0.5</v>
      </c>
      <c r="J67">
        <v>0</v>
      </c>
      <c r="K67">
        <v>1</v>
      </c>
      <c r="L67">
        <v>200000000</v>
      </c>
      <c r="M67">
        <v>190</v>
      </c>
      <c r="N67">
        <v>190</v>
      </c>
      <c r="O67">
        <v>190</v>
      </c>
      <c r="P67">
        <v>0</v>
      </c>
      <c r="Q67" t="s">
        <v>62</v>
      </c>
      <c r="R67">
        <v>9999767632111370</v>
      </c>
      <c r="S67">
        <v>100000331</v>
      </c>
      <c r="T67">
        <v>9999767632111370</v>
      </c>
      <c r="U67">
        <v>100000331</v>
      </c>
      <c r="V67" t="s">
        <v>71</v>
      </c>
      <c r="W67">
        <v>7</v>
      </c>
      <c r="X67">
        <v>14723330</v>
      </c>
      <c r="Y67">
        <v>117784057</v>
      </c>
      <c r="Z67">
        <v>132507387</v>
      </c>
      <c r="AA67">
        <v>100000331</v>
      </c>
      <c r="AB67">
        <v>8.9998199999999997</v>
      </c>
      <c r="AC67">
        <v>0.84901400000000005</v>
      </c>
      <c r="AD67">
        <v>1.75468</v>
      </c>
      <c r="AE67">
        <v>4.0759699999999999</v>
      </c>
      <c r="AF67">
        <v>2948796256</v>
      </c>
      <c r="AG67" t="s">
        <v>276</v>
      </c>
      <c r="AH67" t="s">
        <v>276</v>
      </c>
      <c r="AI67">
        <v>3</v>
      </c>
      <c r="AJ67">
        <v>23964</v>
      </c>
      <c r="AK67">
        <v>12079965154</v>
      </c>
      <c r="AL67">
        <v>5686380184576</v>
      </c>
      <c r="AM67">
        <v>3967613741</v>
      </c>
      <c r="AN67">
        <v>0</v>
      </c>
      <c r="AO67">
        <v>40087152</v>
      </c>
      <c r="AP67">
        <v>3967613741</v>
      </c>
      <c r="AQ67">
        <v>4007700893</v>
      </c>
      <c r="AR67">
        <v>132253791</v>
      </c>
      <c r="AS67">
        <v>0</v>
      </c>
      <c r="AT67">
        <v>1336238</v>
      </c>
      <c r="AU67">
        <v>132253791</v>
      </c>
      <c r="AV67">
        <v>133590029</v>
      </c>
      <c r="AW67">
        <v>19.6218</v>
      </c>
      <c r="AX67">
        <v>9.5011299999999999</v>
      </c>
      <c r="AY67">
        <v>3959.57</v>
      </c>
      <c r="AZ67">
        <v>3218.41</v>
      </c>
      <c r="BA67">
        <v>8025</v>
      </c>
      <c r="BB67">
        <v>1107</v>
      </c>
      <c r="BC67" t="str">
        <f t="shared" ref="BC67:BC109" si="1">"u="&amp;(H67+I67)&amp;"% k=2x10^"&amp;LOG10(L67/2)</f>
        <v>u=1% k=2x10^8</v>
      </c>
    </row>
    <row r="68" spans="1:55">
      <c r="A68" t="s">
        <v>128</v>
      </c>
      <c r="B68" t="s">
        <v>82</v>
      </c>
      <c r="C68">
        <v>64</v>
      </c>
      <c r="D68" t="s">
        <v>64</v>
      </c>
      <c r="E68" t="s">
        <v>60</v>
      </c>
      <c r="F68" t="s">
        <v>61</v>
      </c>
      <c r="G68">
        <v>30000</v>
      </c>
      <c r="H68">
        <v>5</v>
      </c>
      <c r="I68">
        <v>5</v>
      </c>
      <c r="J68">
        <v>0</v>
      </c>
      <c r="K68">
        <v>1</v>
      </c>
      <c r="L68">
        <v>2000000</v>
      </c>
      <c r="M68">
        <v>190</v>
      </c>
      <c r="N68">
        <v>190</v>
      </c>
      <c r="O68">
        <v>190</v>
      </c>
      <c r="P68">
        <v>0</v>
      </c>
      <c r="Q68" t="s">
        <v>62</v>
      </c>
      <c r="R68">
        <v>999492850581</v>
      </c>
      <c r="S68">
        <v>999608</v>
      </c>
      <c r="T68">
        <v>999492850581</v>
      </c>
      <c r="U68">
        <v>999608</v>
      </c>
      <c r="V68" t="s">
        <v>71</v>
      </c>
      <c r="W68">
        <v>6</v>
      </c>
      <c r="X68">
        <v>82080</v>
      </c>
      <c r="Y68">
        <v>1133152</v>
      </c>
      <c r="Z68">
        <v>1215232</v>
      </c>
      <c r="AA68">
        <v>999608</v>
      </c>
      <c r="AB68">
        <v>14.8055</v>
      </c>
      <c r="AC68">
        <v>0.88214800000000004</v>
      </c>
      <c r="AD68">
        <v>1.82257</v>
      </c>
      <c r="AE68">
        <v>3.1063999999999998</v>
      </c>
      <c r="AF68">
        <v>24129744</v>
      </c>
      <c r="AG68" t="s">
        <v>277</v>
      </c>
      <c r="AH68" t="s">
        <v>278</v>
      </c>
      <c r="AI68">
        <v>222571</v>
      </c>
      <c r="AJ68">
        <v>7708</v>
      </c>
      <c r="AK68">
        <v>96595421745</v>
      </c>
      <c r="AL68">
        <v>5686380307481</v>
      </c>
      <c r="AM68">
        <v>1001237599</v>
      </c>
      <c r="AN68">
        <v>0</v>
      </c>
      <c r="AO68">
        <v>111257788</v>
      </c>
      <c r="AP68">
        <v>1001237599</v>
      </c>
      <c r="AQ68">
        <v>1112495387</v>
      </c>
      <c r="AR68">
        <v>33374586</v>
      </c>
      <c r="AS68">
        <v>0</v>
      </c>
      <c r="AT68">
        <v>3708592</v>
      </c>
      <c r="AU68">
        <v>33374586</v>
      </c>
      <c r="AV68">
        <v>37083179</v>
      </c>
      <c r="AW68">
        <v>17.7255</v>
      </c>
      <c r="AX68">
        <v>4.1072699999999998</v>
      </c>
      <c r="AY68">
        <v>14273.3</v>
      </c>
      <c r="AZ68">
        <v>13312.9</v>
      </c>
      <c r="BA68">
        <v>1302</v>
      </c>
      <c r="BB68">
        <v>301</v>
      </c>
      <c r="BC68" t="str">
        <f t="shared" si="1"/>
        <v>u=10% k=2x10^6</v>
      </c>
    </row>
    <row r="69" spans="1:55">
      <c r="A69" t="s">
        <v>131</v>
      </c>
      <c r="B69" t="s">
        <v>82</v>
      </c>
      <c r="C69">
        <v>64</v>
      </c>
      <c r="D69" t="s">
        <v>64</v>
      </c>
      <c r="E69" t="s">
        <v>60</v>
      </c>
      <c r="F69" t="s">
        <v>61</v>
      </c>
      <c r="G69">
        <v>30000</v>
      </c>
      <c r="H69">
        <v>5</v>
      </c>
      <c r="I69">
        <v>5</v>
      </c>
      <c r="J69">
        <v>0</v>
      </c>
      <c r="K69">
        <v>1</v>
      </c>
      <c r="L69">
        <v>20000000</v>
      </c>
      <c r="M69">
        <v>190</v>
      </c>
      <c r="N69">
        <v>190</v>
      </c>
      <c r="O69">
        <v>190</v>
      </c>
      <c r="P69">
        <v>0</v>
      </c>
      <c r="Q69" t="s">
        <v>62</v>
      </c>
      <c r="R69">
        <v>99997921741564</v>
      </c>
      <c r="S69">
        <v>9996994</v>
      </c>
      <c r="T69">
        <v>99997921741564</v>
      </c>
      <c r="U69">
        <v>9996994</v>
      </c>
      <c r="V69" t="s">
        <v>71</v>
      </c>
      <c r="W69">
        <v>7</v>
      </c>
      <c r="X69">
        <v>1881505</v>
      </c>
      <c r="Y69">
        <v>11992118</v>
      </c>
      <c r="Z69">
        <v>13873623</v>
      </c>
      <c r="AA69">
        <v>9996994</v>
      </c>
      <c r="AB69">
        <v>7.3736800000000002</v>
      </c>
      <c r="AC69">
        <v>0.83362999999999998</v>
      </c>
      <c r="AD69">
        <v>1.72058</v>
      </c>
      <c r="AE69">
        <v>4.0495200000000002</v>
      </c>
      <c r="AF69">
        <v>327389576</v>
      </c>
      <c r="AG69" t="s">
        <v>279</v>
      </c>
      <c r="AH69" t="s">
        <v>280</v>
      </c>
      <c r="AI69">
        <v>58505</v>
      </c>
      <c r="AJ69">
        <v>7892</v>
      </c>
      <c r="AK69">
        <v>151667225842</v>
      </c>
      <c r="AL69">
        <v>5686460907962</v>
      </c>
      <c r="AM69">
        <v>1026502562</v>
      </c>
      <c r="AN69">
        <v>0</v>
      </c>
      <c r="AO69">
        <v>114051512</v>
      </c>
      <c r="AP69">
        <v>1026502562</v>
      </c>
      <c r="AQ69">
        <v>1140554074</v>
      </c>
      <c r="AR69">
        <v>34216752</v>
      </c>
      <c r="AS69">
        <v>0</v>
      </c>
      <c r="AT69">
        <v>3801717</v>
      </c>
      <c r="AU69">
        <v>34216752</v>
      </c>
      <c r="AV69">
        <v>38018469</v>
      </c>
      <c r="AW69">
        <v>21.889199999999999</v>
      </c>
      <c r="AX69">
        <v>9.1926000000000005</v>
      </c>
      <c r="AY69">
        <v>13771.4</v>
      </c>
      <c r="AZ69">
        <v>12767.4</v>
      </c>
      <c r="BA69">
        <v>2539</v>
      </c>
      <c r="BB69">
        <v>353</v>
      </c>
      <c r="BC69" t="str">
        <f t="shared" si="1"/>
        <v>u=10% k=2x10^7</v>
      </c>
    </row>
    <row r="70" spans="1:55">
      <c r="A70" t="s">
        <v>134</v>
      </c>
      <c r="B70" t="s">
        <v>82</v>
      </c>
      <c r="C70">
        <v>64</v>
      </c>
      <c r="D70" t="s">
        <v>64</v>
      </c>
      <c r="E70" t="s">
        <v>60</v>
      </c>
      <c r="F70" t="s">
        <v>61</v>
      </c>
      <c r="G70">
        <v>30000</v>
      </c>
      <c r="H70">
        <v>5</v>
      </c>
      <c r="I70">
        <v>5</v>
      </c>
      <c r="J70">
        <v>0</v>
      </c>
      <c r="K70">
        <v>1</v>
      </c>
      <c r="L70">
        <v>200000000</v>
      </c>
      <c r="M70">
        <v>190</v>
      </c>
      <c r="N70">
        <v>190</v>
      </c>
      <c r="O70">
        <v>190</v>
      </c>
      <c r="P70">
        <v>0</v>
      </c>
      <c r="Q70" t="s">
        <v>62</v>
      </c>
      <c r="R70">
        <v>1.00004471884192E+16</v>
      </c>
      <c r="S70">
        <v>100005073</v>
      </c>
      <c r="T70">
        <v>1.00004471884192E+16</v>
      </c>
      <c r="U70">
        <v>100005073</v>
      </c>
      <c r="V70" t="s">
        <v>71</v>
      </c>
      <c r="W70">
        <v>7</v>
      </c>
      <c r="X70">
        <v>14170970</v>
      </c>
      <c r="Y70">
        <v>116513246</v>
      </c>
      <c r="Z70">
        <v>130684216</v>
      </c>
      <c r="AA70">
        <v>100005073</v>
      </c>
      <c r="AB70">
        <v>9.2219700000000007</v>
      </c>
      <c r="AC70">
        <v>0.85831500000000005</v>
      </c>
      <c r="AD70">
        <v>1.7652399999999999</v>
      </c>
      <c r="AE70">
        <v>4.06548</v>
      </c>
      <c r="AF70">
        <v>2887052512</v>
      </c>
      <c r="AG70" t="s">
        <v>281</v>
      </c>
      <c r="AH70" t="s">
        <v>282</v>
      </c>
      <c r="AI70">
        <v>10122</v>
      </c>
      <c r="AJ70">
        <v>7514</v>
      </c>
      <c r="AK70">
        <v>194400423381</v>
      </c>
      <c r="AL70">
        <v>5686942763311</v>
      </c>
      <c r="AM70">
        <v>1058985626</v>
      </c>
      <c r="AN70">
        <v>0</v>
      </c>
      <c r="AO70">
        <v>117648809</v>
      </c>
      <c r="AP70">
        <v>1058985626</v>
      </c>
      <c r="AQ70">
        <v>1176634435</v>
      </c>
      <c r="AR70">
        <v>35299520</v>
      </c>
      <c r="AS70">
        <v>0</v>
      </c>
      <c r="AT70">
        <v>3921626</v>
      </c>
      <c r="AU70">
        <v>35299520</v>
      </c>
      <c r="AV70">
        <v>39221147</v>
      </c>
      <c r="AW70">
        <v>22.258800000000001</v>
      </c>
      <c r="AX70">
        <v>10.8026</v>
      </c>
      <c r="AY70">
        <v>13131.3</v>
      </c>
      <c r="AZ70">
        <v>12232.1</v>
      </c>
      <c r="BA70">
        <v>12727</v>
      </c>
      <c r="BB70">
        <v>1152</v>
      </c>
      <c r="BC70" t="str">
        <f t="shared" si="1"/>
        <v>u=10% k=2x10^8</v>
      </c>
    </row>
    <row r="71" spans="1:55">
      <c r="A71" t="s">
        <v>137</v>
      </c>
      <c r="B71" t="s">
        <v>82</v>
      </c>
      <c r="C71">
        <v>64</v>
      </c>
      <c r="D71" t="s">
        <v>64</v>
      </c>
      <c r="E71" t="s">
        <v>60</v>
      </c>
      <c r="F71" t="s">
        <v>61</v>
      </c>
      <c r="G71">
        <v>30000</v>
      </c>
      <c r="H71">
        <v>20</v>
      </c>
      <c r="I71">
        <v>20</v>
      </c>
      <c r="J71">
        <v>0</v>
      </c>
      <c r="K71">
        <v>1</v>
      </c>
      <c r="L71">
        <v>2000000</v>
      </c>
      <c r="M71">
        <v>190</v>
      </c>
      <c r="N71">
        <v>190</v>
      </c>
      <c r="O71">
        <v>190</v>
      </c>
      <c r="P71">
        <v>0</v>
      </c>
      <c r="Q71" t="s">
        <v>62</v>
      </c>
      <c r="R71">
        <v>1000451603955</v>
      </c>
      <c r="S71">
        <v>1000389</v>
      </c>
      <c r="T71">
        <v>1000451603955</v>
      </c>
      <c r="U71">
        <v>1000389</v>
      </c>
      <c r="V71" t="s">
        <v>71</v>
      </c>
      <c r="W71">
        <v>6</v>
      </c>
      <c r="X71">
        <v>58937</v>
      </c>
      <c r="Y71">
        <v>1085047</v>
      </c>
      <c r="Z71">
        <v>1143984</v>
      </c>
      <c r="AA71">
        <v>1000389</v>
      </c>
      <c r="AB71">
        <v>19.410299999999999</v>
      </c>
      <c r="AC71">
        <v>0.92197799999999996</v>
      </c>
      <c r="AD71">
        <v>1.8744799999999999</v>
      </c>
      <c r="AE71">
        <v>3.0539299999999998</v>
      </c>
      <c r="AF71">
        <v>21627720</v>
      </c>
      <c r="AG71" t="s">
        <v>283</v>
      </c>
      <c r="AH71" t="s">
        <v>284</v>
      </c>
      <c r="AI71">
        <v>502847</v>
      </c>
      <c r="AJ71">
        <v>3178</v>
      </c>
      <c r="AK71">
        <v>203675144020</v>
      </c>
      <c r="AL71">
        <v>5686382026701</v>
      </c>
      <c r="AM71">
        <v>270290966</v>
      </c>
      <c r="AN71">
        <v>0</v>
      </c>
      <c r="AO71">
        <v>180191206</v>
      </c>
      <c r="AP71">
        <v>270290966</v>
      </c>
      <c r="AQ71">
        <v>450482172</v>
      </c>
      <c r="AR71">
        <v>9009698</v>
      </c>
      <c r="AS71">
        <v>0</v>
      </c>
      <c r="AT71">
        <v>6006373</v>
      </c>
      <c r="AU71">
        <v>9009698</v>
      </c>
      <c r="AV71">
        <v>15016072</v>
      </c>
      <c r="AW71">
        <v>26.3339</v>
      </c>
      <c r="AX71">
        <v>10.824</v>
      </c>
      <c r="AY71">
        <v>35233.300000000003</v>
      </c>
      <c r="AZ71">
        <v>33349.5</v>
      </c>
      <c r="BA71">
        <v>1328</v>
      </c>
      <c r="BB71">
        <v>252</v>
      </c>
      <c r="BC71" t="str">
        <f t="shared" si="1"/>
        <v>u=40% k=2x10^6</v>
      </c>
    </row>
    <row r="72" spans="1:55">
      <c r="A72" t="s">
        <v>140</v>
      </c>
      <c r="B72" t="s">
        <v>82</v>
      </c>
      <c r="C72">
        <v>64</v>
      </c>
      <c r="D72" t="s">
        <v>64</v>
      </c>
      <c r="E72" t="s">
        <v>60</v>
      </c>
      <c r="F72" t="s">
        <v>61</v>
      </c>
      <c r="G72">
        <v>30000</v>
      </c>
      <c r="H72">
        <v>20</v>
      </c>
      <c r="I72">
        <v>20</v>
      </c>
      <c r="J72">
        <v>0</v>
      </c>
      <c r="K72">
        <v>1</v>
      </c>
      <c r="L72">
        <v>20000000</v>
      </c>
      <c r="M72">
        <v>190</v>
      </c>
      <c r="N72">
        <v>190</v>
      </c>
      <c r="O72">
        <v>190</v>
      </c>
      <c r="P72">
        <v>0</v>
      </c>
      <c r="Q72" t="s">
        <v>62</v>
      </c>
      <c r="R72">
        <v>99994297506556</v>
      </c>
      <c r="S72">
        <v>9999755</v>
      </c>
      <c r="T72">
        <v>99994297506556</v>
      </c>
      <c r="U72">
        <v>9999755</v>
      </c>
      <c r="V72" t="s">
        <v>71</v>
      </c>
      <c r="W72">
        <v>7</v>
      </c>
      <c r="X72">
        <v>1873865</v>
      </c>
      <c r="Y72">
        <v>11957119</v>
      </c>
      <c r="Z72">
        <v>13830984</v>
      </c>
      <c r="AA72">
        <v>9999755</v>
      </c>
      <c r="AB72">
        <v>7.3809899999999997</v>
      </c>
      <c r="AC72">
        <v>0.83630099999999996</v>
      </c>
      <c r="AD72">
        <v>1.7230000000000001</v>
      </c>
      <c r="AE72">
        <v>4.0497100000000001</v>
      </c>
      <c r="AF72">
        <v>326246888</v>
      </c>
      <c r="AG72" t="s">
        <v>285</v>
      </c>
      <c r="AH72" t="s">
        <v>286</v>
      </c>
      <c r="AI72">
        <v>138198</v>
      </c>
      <c r="AJ72">
        <v>3520</v>
      </c>
      <c r="AK72">
        <v>303241634619</v>
      </c>
      <c r="AL72">
        <v>5686385533614</v>
      </c>
      <c r="AM72">
        <v>280301286</v>
      </c>
      <c r="AN72">
        <v>0</v>
      </c>
      <c r="AO72">
        <v>186875574</v>
      </c>
      <c r="AP72">
        <v>280301286</v>
      </c>
      <c r="AQ72">
        <v>467176860</v>
      </c>
      <c r="AR72">
        <v>9343376</v>
      </c>
      <c r="AS72">
        <v>0</v>
      </c>
      <c r="AT72">
        <v>6229185</v>
      </c>
      <c r="AU72">
        <v>9343376</v>
      </c>
      <c r="AV72">
        <v>15572562</v>
      </c>
      <c r="AW72">
        <v>32.582999999999998</v>
      </c>
      <c r="AX72">
        <v>16.717700000000001</v>
      </c>
      <c r="AY72">
        <v>33396</v>
      </c>
      <c r="AZ72">
        <v>30979.8</v>
      </c>
      <c r="BA72">
        <v>2658</v>
      </c>
      <c r="BB72">
        <v>405</v>
      </c>
      <c r="BC72" t="str">
        <f t="shared" si="1"/>
        <v>u=40% k=2x10^7</v>
      </c>
    </row>
    <row r="73" spans="1:55">
      <c r="A73" t="s">
        <v>143</v>
      </c>
      <c r="B73" t="s">
        <v>82</v>
      </c>
      <c r="C73">
        <v>64</v>
      </c>
      <c r="D73" t="s">
        <v>64</v>
      </c>
      <c r="E73" t="s">
        <v>60</v>
      </c>
      <c r="F73" t="s">
        <v>61</v>
      </c>
      <c r="G73">
        <v>30000</v>
      </c>
      <c r="H73">
        <v>20</v>
      </c>
      <c r="I73">
        <v>20</v>
      </c>
      <c r="J73">
        <v>0</v>
      </c>
      <c r="K73">
        <v>1</v>
      </c>
      <c r="L73">
        <v>200000000</v>
      </c>
      <c r="M73">
        <v>190</v>
      </c>
      <c r="N73">
        <v>190</v>
      </c>
      <c r="O73">
        <v>190</v>
      </c>
      <c r="P73">
        <v>0</v>
      </c>
      <c r="Q73" t="s">
        <v>62</v>
      </c>
      <c r="R73">
        <v>9999460760685720</v>
      </c>
      <c r="S73">
        <v>100000094</v>
      </c>
      <c r="T73">
        <v>9999460760685720</v>
      </c>
      <c r="U73">
        <v>100000094</v>
      </c>
      <c r="V73" t="s">
        <v>71</v>
      </c>
      <c r="W73">
        <v>7</v>
      </c>
      <c r="X73">
        <v>14741709</v>
      </c>
      <c r="Y73">
        <v>117827871</v>
      </c>
      <c r="Z73">
        <v>132569580</v>
      </c>
      <c r="AA73">
        <v>100000094</v>
      </c>
      <c r="AB73">
        <v>8.99282</v>
      </c>
      <c r="AC73">
        <v>0.84869600000000001</v>
      </c>
      <c r="AD73">
        <v>1.7543200000000001</v>
      </c>
      <c r="AE73">
        <v>4.07646</v>
      </c>
      <c r="AF73">
        <v>2950813960</v>
      </c>
      <c r="AG73" t="s">
        <v>287</v>
      </c>
      <c r="AH73" t="s">
        <v>288</v>
      </c>
      <c r="AI73">
        <v>23068</v>
      </c>
      <c r="AJ73">
        <v>3158</v>
      </c>
      <c r="AK73">
        <v>321629439847</v>
      </c>
      <c r="AL73">
        <v>5686481986932</v>
      </c>
      <c r="AM73">
        <v>284589503</v>
      </c>
      <c r="AN73">
        <v>0</v>
      </c>
      <c r="AO73">
        <v>189751862</v>
      </c>
      <c r="AP73">
        <v>284589503</v>
      </c>
      <c r="AQ73">
        <v>474341365</v>
      </c>
      <c r="AR73">
        <v>9486316</v>
      </c>
      <c r="AS73">
        <v>0</v>
      </c>
      <c r="AT73">
        <v>6325062</v>
      </c>
      <c r="AU73">
        <v>9486316</v>
      </c>
      <c r="AV73">
        <v>15811378</v>
      </c>
      <c r="AW73">
        <v>29.580300000000001</v>
      </c>
      <c r="AX73">
        <v>15.5962</v>
      </c>
      <c r="AY73">
        <v>31755.200000000001</v>
      </c>
      <c r="AZ73">
        <v>30006.400000000001</v>
      </c>
      <c r="BA73">
        <v>12832</v>
      </c>
      <c r="BB73">
        <v>1058</v>
      </c>
      <c r="BC73" t="str">
        <f t="shared" si="1"/>
        <v>u=40% k=2x10^8</v>
      </c>
    </row>
    <row r="74" spans="1:55">
      <c r="A74" t="s">
        <v>146</v>
      </c>
      <c r="B74" t="s">
        <v>82</v>
      </c>
      <c r="C74">
        <v>64</v>
      </c>
      <c r="D74" t="s">
        <v>64</v>
      </c>
      <c r="E74" t="s">
        <v>60</v>
      </c>
      <c r="F74" t="s">
        <v>61</v>
      </c>
      <c r="G74">
        <v>30000</v>
      </c>
      <c r="H74">
        <v>0.5</v>
      </c>
      <c r="I74">
        <v>0.5</v>
      </c>
      <c r="J74">
        <v>0</v>
      </c>
      <c r="K74">
        <v>1</v>
      </c>
      <c r="L74">
        <v>2000000</v>
      </c>
      <c r="M74">
        <v>190</v>
      </c>
      <c r="N74">
        <v>190</v>
      </c>
      <c r="O74">
        <v>190</v>
      </c>
      <c r="P74">
        <v>0</v>
      </c>
      <c r="Q74" t="s">
        <v>62</v>
      </c>
      <c r="R74">
        <v>1000815132123</v>
      </c>
      <c r="S74">
        <v>1000108</v>
      </c>
      <c r="T74">
        <v>1000815132123</v>
      </c>
      <c r="U74">
        <v>1000108</v>
      </c>
      <c r="V74" t="s">
        <v>71</v>
      </c>
      <c r="W74">
        <v>6</v>
      </c>
      <c r="X74">
        <v>60205</v>
      </c>
      <c r="Y74">
        <v>1089535</v>
      </c>
      <c r="Z74">
        <v>1149740</v>
      </c>
      <c r="AA74">
        <v>1000108</v>
      </c>
      <c r="AB74">
        <v>19.097100000000001</v>
      </c>
      <c r="AC74">
        <v>0.91792200000000002</v>
      </c>
      <c r="AD74">
        <v>1.8698600000000001</v>
      </c>
      <c r="AE74">
        <v>3.05932</v>
      </c>
      <c r="AF74">
        <v>21823240</v>
      </c>
      <c r="AG74" t="s">
        <v>289</v>
      </c>
      <c r="AH74" t="s">
        <v>290</v>
      </c>
      <c r="AI74">
        <v>67218</v>
      </c>
      <c r="AJ74">
        <v>30484</v>
      </c>
      <c r="AK74">
        <v>34307602407</v>
      </c>
      <c r="AL74">
        <v>5686382759614</v>
      </c>
      <c r="AM74">
        <v>4801569486</v>
      </c>
      <c r="AN74">
        <v>0</v>
      </c>
      <c r="AO74">
        <v>48502087</v>
      </c>
      <c r="AP74">
        <v>4801569486</v>
      </c>
      <c r="AQ74">
        <v>4850071573</v>
      </c>
      <c r="AR74">
        <v>160052316</v>
      </c>
      <c r="AS74">
        <v>0</v>
      </c>
      <c r="AT74">
        <v>1616736</v>
      </c>
      <c r="AU74">
        <v>160052316</v>
      </c>
      <c r="AV74">
        <v>161669052</v>
      </c>
      <c r="AW74">
        <v>11.3491</v>
      </c>
      <c r="AX74">
        <v>0.63749100000000003</v>
      </c>
      <c r="AY74">
        <v>3274.76</v>
      </c>
      <c r="AZ74">
        <v>2524.81</v>
      </c>
      <c r="BA74">
        <v>1278</v>
      </c>
      <c r="BB74">
        <v>317</v>
      </c>
      <c r="BC74" t="str">
        <f t="shared" si="1"/>
        <v>u=1% k=2x10^6</v>
      </c>
    </row>
    <row r="75" spans="1:55">
      <c r="A75" t="s">
        <v>149</v>
      </c>
      <c r="B75" t="s">
        <v>82</v>
      </c>
      <c r="C75">
        <v>64</v>
      </c>
      <c r="D75" t="s">
        <v>64</v>
      </c>
      <c r="E75" t="s">
        <v>60</v>
      </c>
      <c r="F75" t="s">
        <v>61</v>
      </c>
      <c r="G75">
        <v>30000</v>
      </c>
      <c r="H75">
        <v>0.5</v>
      </c>
      <c r="I75">
        <v>0.5</v>
      </c>
      <c r="J75">
        <v>0</v>
      </c>
      <c r="K75">
        <v>1</v>
      </c>
      <c r="L75">
        <v>20000000</v>
      </c>
      <c r="M75">
        <v>190</v>
      </c>
      <c r="N75">
        <v>190</v>
      </c>
      <c r="O75">
        <v>190</v>
      </c>
      <c r="P75">
        <v>0</v>
      </c>
      <c r="Q75" t="s">
        <v>62</v>
      </c>
      <c r="R75">
        <v>100000568139328</v>
      </c>
      <c r="S75">
        <v>10001274</v>
      </c>
      <c r="T75">
        <v>100000568139328</v>
      </c>
      <c r="U75">
        <v>10001274</v>
      </c>
      <c r="V75" t="s">
        <v>71</v>
      </c>
      <c r="W75">
        <v>7</v>
      </c>
      <c r="X75">
        <v>1897797</v>
      </c>
      <c r="Y75">
        <v>12012125</v>
      </c>
      <c r="Z75">
        <v>13909922</v>
      </c>
      <c r="AA75">
        <v>10001274</v>
      </c>
      <c r="AB75">
        <v>7.32951</v>
      </c>
      <c r="AC75">
        <v>0.83259799999999995</v>
      </c>
      <c r="AD75">
        <v>1.7190000000000001</v>
      </c>
      <c r="AE75">
        <v>4.0545099999999996</v>
      </c>
      <c r="AF75">
        <v>328860872</v>
      </c>
      <c r="AG75" t="s">
        <v>291</v>
      </c>
      <c r="AH75" t="s">
        <v>292</v>
      </c>
      <c r="AI75">
        <v>16621</v>
      </c>
      <c r="AJ75">
        <v>25028</v>
      </c>
      <c r="AK75">
        <v>63492760889</v>
      </c>
      <c r="AL75">
        <v>5686382947479</v>
      </c>
      <c r="AM75">
        <v>4197488102</v>
      </c>
      <c r="AN75">
        <v>0</v>
      </c>
      <c r="AO75">
        <v>42397264</v>
      </c>
      <c r="AP75">
        <v>4197488102</v>
      </c>
      <c r="AQ75">
        <v>4239885366</v>
      </c>
      <c r="AR75">
        <v>139916270</v>
      </c>
      <c r="AS75">
        <v>0</v>
      </c>
      <c r="AT75">
        <v>1413242</v>
      </c>
      <c r="AU75">
        <v>139916270</v>
      </c>
      <c r="AV75">
        <v>141329512</v>
      </c>
      <c r="AW75">
        <v>16.884</v>
      </c>
      <c r="AX75">
        <v>6.6646599999999996</v>
      </c>
      <c r="AY75">
        <v>3716.37</v>
      </c>
      <c r="AZ75">
        <v>2957.38</v>
      </c>
      <c r="BA75">
        <v>2477</v>
      </c>
      <c r="BB75">
        <v>369</v>
      </c>
      <c r="BC75" t="str">
        <f t="shared" si="1"/>
        <v>u=1% k=2x10^7</v>
      </c>
    </row>
    <row r="76" spans="1:55">
      <c r="A76" t="s">
        <v>152</v>
      </c>
      <c r="B76" t="s">
        <v>82</v>
      </c>
      <c r="C76">
        <v>64</v>
      </c>
      <c r="D76" t="s">
        <v>64</v>
      </c>
      <c r="E76" t="s">
        <v>60</v>
      </c>
      <c r="F76" t="s">
        <v>61</v>
      </c>
      <c r="G76">
        <v>30000</v>
      </c>
      <c r="H76">
        <v>0.5</v>
      </c>
      <c r="I76">
        <v>0.5</v>
      </c>
      <c r="J76">
        <v>0</v>
      </c>
      <c r="K76">
        <v>1</v>
      </c>
      <c r="L76">
        <v>200000000</v>
      </c>
      <c r="M76">
        <v>190</v>
      </c>
      <c r="N76">
        <v>190</v>
      </c>
      <c r="O76">
        <v>190</v>
      </c>
      <c r="P76">
        <v>0</v>
      </c>
      <c r="Q76" t="s">
        <v>62</v>
      </c>
      <c r="R76">
        <v>1.00000718819139E+16</v>
      </c>
      <c r="S76">
        <v>100001895</v>
      </c>
      <c r="T76">
        <v>1.00000718819139E+16</v>
      </c>
      <c r="U76">
        <v>100001895</v>
      </c>
      <c r="V76" t="s">
        <v>71</v>
      </c>
      <c r="W76">
        <v>7</v>
      </c>
      <c r="X76">
        <v>14769366</v>
      </c>
      <c r="Y76">
        <v>117888756</v>
      </c>
      <c r="Z76">
        <v>132658122</v>
      </c>
      <c r="AA76">
        <v>100001895</v>
      </c>
      <c r="AB76">
        <v>8.9819800000000001</v>
      </c>
      <c r="AC76">
        <v>0.84827300000000005</v>
      </c>
      <c r="AD76">
        <v>1.75383</v>
      </c>
      <c r="AE76">
        <v>4.0771800000000002</v>
      </c>
      <c r="AF76">
        <v>2953836096</v>
      </c>
      <c r="AG76" t="s">
        <v>293</v>
      </c>
      <c r="AH76" t="s">
        <v>294</v>
      </c>
      <c r="AI76">
        <v>4</v>
      </c>
      <c r="AJ76">
        <v>23502</v>
      </c>
      <c r="AK76">
        <v>11484498557</v>
      </c>
      <c r="AL76">
        <v>5686383518996</v>
      </c>
      <c r="AM76">
        <v>3886534718</v>
      </c>
      <c r="AN76">
        <v>0</v>
      </c>
      <c r="AO76">
        <v>39254662</v>
      </c>
      <c r="AP76">
        <v>3886534718</v>
      </c>
      <c r="AQ76">
        <v>3925789380</v>
      </c>
      <c r="AR76">
        <v>129551157</v>
      </c>
      <c r="AS76">
        <v>0</v>
      </c>
      <c r="AT76">
        <v>1308488</v>
      </c>
      <c r="AU76">
        <v>129551157</v>
      </c>
      <c r="AV76">
        <v>130859646</v>
      </c>
      <c r="AW76">
        <v>19.6614</v>
      </c>
      <c r="AX76">
        <v>9.50441</v>
      </c>
      <c r="AY76">
        <v>4042.47</v>
      </c>
      <c r="AZ76">
        <v>3284.53</v>
      </c>
      <c r="BA76">
        <v>8003</v>
      </c>
      <c r="BB76">
        <v>1113</v>
      </c>
      <c r="BC76" t="str">
        <f t="shared" si="1"/>
        <v>u=1% k=2x10^8</v>
      </c>
    </row>
    <row r="77" spans="1:55">
      <c r="A77" t="s">
        <v>154</v>
      </c>
      <c r="B77" t="s">
        <v>82</v>
      </c>
      <c r="C77">
        <v>64</v>
      </c>
      <c r="D77" t="s">
        <v>64</v>
      </c>
      <c r="E77" t="s">
        <v>60</v>
      </c>
      <c r="F77" t="s">
        <v>61</v>
      </c>
      <c r="G77">
        <v>30000</v>
      </c>
      <c r="H77">
        <v>5</v>
      </c>
      <c r="I77">
        <v>5</v>
      </c>
      <c r="J77">
        <v>0</v>
      </c>
      <c r="K77">
        <v>1</v>
      </c>
      <c r="L77">
        <v>2000000</v>
      </c>
      <c r="M77">
        <v>190</v>
      </c>
      <c r="N77">
        <v>190</v>
      </c>
      <c r="O77">
        <v>190</v>
      </c>
      <c r="P77">
        <v>0</v>
      </c>
      <c r="Q77" t="s">
        <v>62</v>
      </c>
      <c r="R77">
        <v>999750650529</v>
      </c>
      <c r="S77">
        <v>1000510</v>
      </c>
      <c r="T77">
        <v>999750650529</v>
      </c>
      <c r="U77">
        <v>1000510</v>
      </c>
      <c r="V77" t="s">
        <v>71</v>
      </c>
      <c r="W77">
        <v>6</v>
      </c>
      <c r="X77">
        <v>84136</v>
      </c>
      <c r="Y77">
        <v>1139407</v>
      </c>
      <c r="Z77">
        <v>1223543</v>
      </c>
      <c r="AA77">
        <v>1000510</v>
      </c>
      <c r="AB77">
        <v>14.542400000000001</v>
      </c>
      <c r="AC77">
        <v>0.87809700000000002</v>
      </c>
      <c r="AD77">
        <v>1.81772</v>
      </c>
      <c r="AE77">
        <v>3.1121799999999999</v>
      </c>
      <c r="AF77">
        <v>24399472</v>
      </c>
      <c r="AG77" t="s">
        <v>295</v>
      </c>
      <c r="AH77" t="s">
        <v>296</v>
      </c>
      <c r="AI77">
        <v>208378</v>
      </c>
      <c r="AJ77">
        <v>7780</v>
      </c>
      <c r="AK77">
        <v>95619346910</v>
      </c>
      <c r="AL77">
        <v>5686383541698</v>
      </c>
      <c r="AM77">
        <v>998017160</v>
      </c>
      <c r="AN77">
        <v>0</v>
      </c>
      <c r="AO77">
        <v>110888692</v>
      </c>
      <c r="AP77">
        <v>998017160</v>
      </c>
      <c r="AQ77">
        <v>1108905852</v>
      </c>
      <c r="AR77">
        <v>33267238</v>
      </c>
      <c r="AS77">
        <v>0</v>
      </c>
      <c r="AT77">
        <v>3696289</v>
      </c>
      <c r="AU77">
        <v>33267238</v>
      </c>
      <c r="AV77">
        <v>36963528</v>
      </c>
      <c r="AW77">
        <v>17.713799999999999</v>
      </c>
      <c r="AX77">
        <v>4.11111</v>
      </c>
      <c r="AY77">
        <v>14316.6</v>
      </c>
      <c r="AZ77">
        <v>13353.9</v>
      </c>
      <c r="BA77">
        <v>1303</v>
      </c>
      <c r="BB77">
        <v>329</v>
      </c>
      <c r="BC77" t="str">
        <f t="shared" si="1"/>
        <v>u=10% k=2x10^6</v>
      </c>
    </row>
    <row r="78" spans="1:55">
      <c r="A78" t="s">
        <v>157</v>
      </c>
      <c r="B78" t="s">
        <v>82</v>
      </c>
      <c r="C78">
        <v>64</v>
      </c>
      <c r="D78" t="s">
        <v>64</v>
      </c>
      <c r="E78" t="s">
        <v>60</v>
      </c>
      <c r="F78" t="s">
        <v>61</v>
      </c>
      <c r="G78">
        <v>30000</v>
      </c>
      <c r="H78">
        <v>5</v>
      </c>
      <c r="I78">
        <v>5</v>
      </c>
      <c r="J78">
        <v>0</v>
      </c>
      <c r="K78">
        <v>1</v>
      </c>
      <c r="L78">
        <v>20000000</v>
      </c>
      <c r="M78">
        <v>190</v>
      </c>
      <c r="N78">
        <v>190</v>
      </c>
      <c r="O78">
        <v>190</v>
      </c>
      <c r="P78">
        <v>0</v>
      </c>
      <c r="Q78" t="s">
        <v>62</v>
      </c>
      <c r="R78">
        <v>99989204075236</v>
      </c>
      <c r="S78">
        <v>10000473</v>
      </c>
      <c r="T78">
        <v>99989204075236</v>
      </c>
      <c r="U78">
        <v>10000473</v>
      </c>
      <c r="V78" t="s">
        <v>71</v>
      </c>
      <c r="W78">
        <v>7</v>
      </c>
      <c r="X78">
        <v>1897948</v>
      </c>
      <c r="Y78">
        <v>12023361</v>
      </c>
      <c r="Z78">
        <v>13921309</v>
      </c>
      <c r="AA78">
        <v>10000473</v>
      </c>
      <c r="AB78">
        <v>7.3349299999999999</v>
      </c>
      <c r="AC78">
        <v>0.83175399999999999</v>
      </c>
      <c r="AD78">
        <v>1.7183600000000001</v>
      </c>
      <c r="AE78">
        <v>4.0535100000000002</v>
      </c>
      <c r="AF78">
        <v>329071968</v>
      </c>
      <c r="AG78" t="s">
        <v>297</v>
      </c>
      <c r="AH78" t="s">
        <v>298</v>
      </c>
      <c r="AI78">
        <v>56668</v>
      </c>
      <c r="AJ78">
        <v>7804</v>
      </c>
      <c r="AK78">
        <v>152627340260</v>
      </c>
      <c r="AL78">
        <v>5686383725460</v>
      </c>
      <c r="AM78">
        <v>1022708878</v>
      </c>
      <c r="AN78">
        <v>0</v>
      </c>
      <c r="AO78">
        <v>113637496</v>
      </c>
      <c r="AP78">
        <v>1022708878</v>
      </c>
      <c r="AQ78">
        <v>1136346374</v>
      </c>
      <c r="AR78">
        <v>34090295</v>
      </c>
      <c r="AS78">
        <v>0</v>
      </c>
      <c r="AT78">
        <v>3787916</v>
      </c>
      <c r="AU78">
        <v>34090295</v>
      </c>
      <c r="AV78">
        <v>37878212</v>
      </c>
      <c r="AW78">
        <v>22.574200000000001</v>
      </c>
      <c r="AX78">
        <v>9.4598700000000004</v>
      </c>
      <c r="AY78">
        <v>13816.3</v>
      </c>
      <c r="AZ78">
        <v>12804.7</v>
      </c>
      <c r="BA78">
        <v>2551</v>
      </c>
      <c r="BB78">
        <v>346</v>
      </c>
      <c r="BC78" t="str">
        <f t="shared" si="1"/>
        <v>u=10% k=2x10^7</v>
      </c>
    </row>
    <row r="79" spans="1:55">
      <c r="A79" t="s">
        <v>160</v>
      </c>
      <c r="B79" t="s">
        <v>82</v>
      </c>
      <c r="C79">
        <v>64</v>
      </c>
      <c r="D79" t="s">
        <v>64</v>
      </c>
      <c r="E79" t="s">
        <v>60</v>
      </c>
      <c r="F79" t="s">
        <v>61</v>
      </c>
      <c r="G79">
        <v>30000</v>
      </c>
      <c r="H79">
        <v>5</v>
      </c>
      <c r="I79">
        <v>5</v>
      </c>
      <c r="J79">
        <v>0</v>
      </c>
      <c r="K79">
        <v>1</v>
      </c>
      <c r="L79">
        <v>200000000</v>
      </c>
      <c r="M79">
        <v>190</v>
      </c>
      <c r="N79">
        <v>190</v>
      </c>
      <c r="O79">
        <v>190</v>
      </c>
      <c r="P79">
        <v>0</v>
      </c>
      <c r="Q79" t="s">
        <v>62</v>
      </c>
      <c r="R79">
        <v>9999308505357130</v>
      </c>
      <c r="S79">
        <v>99996037</v>
      </c>
      <c r="T79">
        <v>9999308505357130</v>
      </c>
      <c r="U79">
        <v>99996037</v>
      </c>
      <c r="V79" t="s">
        <v>71</v>
      </c>
      <c r="W79">
        <v>7</v>
      </c>
      <c r="X79">
        <v>13846991</v>
      </c>
      <c r="Y79">
        <v>115809655</v>
      </c>
      <c r="Z79">
        <v>129656646</v>
      </c>
      <c r="AA79">
        <v>99996037</v>
      </c>
      <c r="AB79">
        <v>9.3635199999999994</v>
      </c>
      <c r="AC79">
        <v>0.863452</v>
      </c>
      <c r="AD79">
        <v>1.7712399999999999</v>
      </c>
      <c r="AE79">
        <v>4.0586000000000002</v>
      </c>
      <c r="AF79">
        <v>2851985176</v>
      </c>
      <c r="AG79" t="s">
        <v>299</v>
      </c>
      <c r="AH79" t="s">
        <v>300</v>
      </c>
      <c r="AI79">
        <v>9860</v>
      </c>
      <c r="AJ79">
        <v>7266</v>
      </c>
      <c r="AK79">
        <v>198479680820</v>
      </c>
      <c r="AL79">
        <v>5686751873517</v>
      </c>
      <c r="AM79">
        <v>1033058694</v>
      </c>
      <c r="AN79">
        <v>0</v>
      </c>
      <c r="AO79">
        <v>114788235</v>
      </c>
      <c r="AP79">
        <v>1033058694</v>
      </c>
      <c r="AQ79">
        <v>1147846929</v>
      </c>
      <c r="AR79">
        <v>34435289</v>
      </c>
      <c r="AS79">
        <v>0</v>
      </c>
      <c r="AT79">
        <v>3826274</v>
      </c>
      <c r="AU79">
        <v>34435289</v>
      </c>
      <c r="AV79">
        <v>38261564</v>
      </c>
      <c r="AW79">
        <v>22.216000000000001</v>
      </c>
      <c r="AX79">
        <v>10.821400000000001</v>
      </c>
      <c r="AY79">
        <v>13460.1</v>
      </c>
      <c r="AZ79">
        <v>12559.4</v>
      </c>
      <c r="BA79">
        <v>12797</v>
      </c>
      <c r="BB79">
        <v>1137</v>
      </c>
      <c r="BC79" t="str">
        <f t="shared" si="1"/>
        <v>u=10% k=2x10^8</v>
      </c>
    </row>
    <row r="80" spans="1:55">
      <c r="A80" t="s">
        <v>163</v>
      </c>
      <c r="B80" t="s">
        <v>82</v>
      </c>
      <c r="C80">
        <v>64</v>
      </c>
      <c r="D80" t="s">
        <v>64</v>
      </c>
      <c r="E80" t="s">
        <v>60</v>
      </c>
      <c r="F80" t="s">
        <v>61</v>
      </c>
      <c r="G80">
        <v>30000</v>
      </c>
      <c r="H80">
        <v>20</v>
      </c>
      <c r="I80">
        <v>20</v>
      </c>
      <c r="J80">
        <v>0</v>
      </c>
      <c r="K80">
        <v>1</v>
      </c>
      <c r="L80">
        <v>2000000</v>
      </c>
      <c r="M80">
        <v>190</v>
      </c>
      <c r="N80">
        <v>190</v>
      </c>
      <c r="O80">
        <v>190</v>
      </c>
      <c r="P80">
        <v>0</v>
      </c>
      <c r="Q80" t="s">
        <v>62</v>
      </c>
      <c r="R80">
        <v>1001543258918</v>
      </c>
      <c r="S80">
        <v>1001438</v>
      </c>
      <c r="T80">
        <v>1001543258918</v>
      </c>
      <c r="U80">
        <v>1001438</v>
      </c>
      <c r="V80" t="s">
        <v>71</v>
      </c>
      <c r="W80">
        <v>6</v>
      </c>
      <c r="X80">
        <v>50573</v>
      </c>
      <c r="Y80">
        <v>1068830</v>
      </c>
      <c r="Z80">
        <v>1119403</v>
      </c>
      <c r="AA80">
        <v>1001438</v>
      </c>
      <c r="AB80">
        <v>22.134399999999999</v>
      </c>
      <c r="AC80">
        <v>0.936948</v>
      </c>
      <c r="AD80">
        <v>1.89462</v>
      </c>
      <c r="AE80">
        <v>3.0359699999999998</v>
      </c>
      <c r="AF80">
        <v>20752552</v>
      </c>
      <c r="AG80" t="s">
        <v>301</v>
      </c>
      <c r="AH80" t="s">
        <v>302</v>
      </c>
      <c r="AI80">
        <v>497343</v>
      </c>
      <c r="AJ80">
        <v>3156</v>
      </c>
      <c r="AK80">
        <v>204687794225</v>
      </c>
      <c r="AL80">
        <v>5686384400591</v>
      </c>
      <c r="AM80">
        <v>271021953</v>
      </c>
      <c r="AN80">
        <v>0</v>
      </c>
      <c r="AO80">
        <v>180656208</v>
      </c>
      <c r="AP80">
        <v>271021953</v>
      </c>
      <c r="AQ80">
        <v>451678161</v>
      </c>
      <c r="AR80">
        <v>9034065</v>
      </c>
      <c r="AS80">
        <v>0</v>
      </c>
      <c r="AT80">
        <v>6021873</v>
      </c>
      <c r="AU80">
        <v>9034065</v>
      </c>
      <c r="AV80">
        <v>15055938</v>
      </c>
      <c r="AW80">
        <v>26.356100000000001</v>
      </c>
      <c r="AX80">
        <v>10.8324</v>
      </c>
      <c r="AY80">
        <v>35135.4</v>
      </c>
      <c r="AZ80">
        <v>33241.599999999999</v>
      </c>
      <c r="BA80">
        <v>1327</v>
      </c>
      <c r="BB80">
        <v>321</v>
      </c>
      <c r="BC80" t="str">
        <f t="shared" si="1"/>
        <v>u=40% k=2x10^6</v>
      </c>
    </row>
    <row r="81" spans="1:55">
      <c r="A81" t="s">
        <v>166</v>
      </c>
      <c r="B81" t="s">
        <v>82</v>
      </c>
      <c r="C81">
        <v>64</v>
      </c>
      <c r="D81" t="s">
        <v>64</v>
      </c>
      <c r="E81" t="s">
        <v>60</v>
      </c>
      <c r="F81" t="s">
        <v>61</v>
      </c>
      <c r="G81">
        <v>30000</v>
      </c>
      <c r="H81">
        <v>20</v>
      </c>
      <c r="I81">
        <v>20</v>
      </c>
      <c r="J81">
        <v>0</v>
      </c>
      <c r="K81">
        <v>1</v>
      </c>
      <c r="L81">
        <v>20000000</v>
      </c>
      <c r="M81">
        <v>190</v>
      </c>
      <c r="N81">
        <v>190</v>
      </c>
      <c r="O81">
        <v>190</v>
      </c>
      <c r="P81">
        <v>0</v>
      </c>
      <c r="Q81" t="s">
        <v>62</v>
      </c>
      <c r="R81">
        <v>100048407958416</v>
      </c>
      <c r="S81">
        <v>10004056</v>
      </c>
      <c r="T81">
        <v>100048407958416</v>
      </c>
      <c r="U81">
        <v>10004056</v>
      </c>
      <c r="V81" t="s">
        <v>71</v>
      </c>
      <c r="W81">
        <v>7</v>
      </c>
      <c r="X81">
        <v>1906708</v>
      </c>
      <c r="Y81">
        <v>12036699</v>
      </c>
      <c r="Z81">
        <v>13943407</v>
      </c>
      <c r="AA81">
        <v>10004056</v>
      </c>
      <c r="AB81">
        <v>7.3128200000000003</v>
      </c>
      <c r="AC81">
        <v>0.83113000000000004</v>
      </c>
      <c r="AD81">
        <v>1.7174799999999999</v>
      </c>
      <c r="AE81">
        <v>4.05619</v>
      </c>
      <c r="AF81">
        <v>329904064</v>
      </c>
      <c r="AG81" t="s">
        <v>303</v>
      </c>
      <c r="AH81" t="s">
        <v>304</v>
      </c>
      <c r="AI81">
        <v>134833</v>
      </c>
      <c r="AJ81">
        <v>3540</v>
      </c>
      <c r="AK81">
        <v>304375137176</v>
      </c>
      <c r="AL81">
        <v>5686385533332</v>
      </c>
      <c r="AM81">
        <v>281664830</v>
      </c>
      <c r="AN81">
        <v>0</v>
      </c>
      <c r="AO81">
        <v>187751085</v>
      </c>
      <c r="AP81">
        <v>281664830</v>
      </c>
      <c r="AQ81">
        <v>469415915</v>
      </c>
      <c r="AR81">
        <v>9388827</v>
      </c>
      <c r="AS81">
        <v>0</v>
      </c>
      <c r="AT81">
        <v>6258369</v>
      </c>
      <c r="AU81">
        <v>9388827</v>
      </c>
      <c r="AV81">
        <v>15647197</v>
      </c>
      <c r="AW81">
        <v>32.719000000000001</v>
      </c>
      <c r="AX81">
        <v>16.8246</v>
      </c>
      <c r="AY81">
        <v>33227.199999999997</v>
      </c>
      <c r="AZ81">
        <v>30814.1</v>
      </c>
      <c r="BA81">
        <v>2670</v>
      </c>
      <c r="BB81">
        <v>374</v>
      </c>
      <c r="BC81" t="str">
        <f t="shared" si="1"/>
        <v>u=40% k=2x10^7</v>
      </c>
    </row>
    <row r="82" spans="1:55">
      <c r="A82" t="s">
        <v>169</v>
      </c>
      <c r="B82" t="s">
        <v>82</v>
      </c>
      <c r="C82">
        <v>64</v>
      </c>
      <c r="D82" t="s">
        <v>64</v>
      </c>
      <c r="E82" t="s">
        <v>60</v>
      </c>
      <c r="F82" t="s">
        <v>61</v>
      </c>
      <c r="G82">
        <v>30000</v>
      </c>
      <c r="H82">
        <v>20</v>
      </c>
      <c r="I82">
        <v>20</v>
      </c>
      <c r="J82">
        <v>0</v>
      </c>
      <c r="K82">
        <v>1</v>
      </c>
      <c r="L82">
        <v>200000000</v>
      </c>
      <c r="M82">
        <v>190</v>
      </c>
      <c r="N82">
        <v>190</v>
      </c>
      <c r="O82">
        <v>190</v>
      </c>
      <c r="P82">
        <v>0</v>
      </c>
      <c r="Q82" t="s">
        <v>62</v>
      </c>
      <c r="R82">
        <v>1.00005265008122E+16</v>
      </c>
      <c r="S82">
        <v>100004735</v>
      </c>
      <c r="T82">
        <v>1.00005265008122E+16</v>
      </c>
      <c r="U82">
        <v>100004735</v>
      </c>
      <c r="V82" t="s">
        <v>71</v>
      </c>
      <c r="W82">
        <v>7</v>
      </c>
      <c r="X82">
        <v>14630660</v>
      </c>
      <c r="Y82">
        <v>117564319</v>
      </c>
      <c r="Z82">
        <v>132194979</v>
      </c>
      <c r="AA82">
        <v>100004735</v>
      </c>
      <c r="AB82">
        <v>9.0354799999999997</v>
      </c>
      <c r="AC82">
        <v>0.85063800000000001</v>
      </c>
      <c r="AD82">
        <v>1.7564900000000001</v>
      </c>
      <c r="AE82">
        <v>4.0735000000000001</v>
      </c>
      <c r="AF82">
        <v>2938456832</v>
      </c>
      <c r="AG82" t="s">
        <v>305</v>
      </c>
      <c r="AH82" t="s">
        <v>306</v>
      </c>
      <c r="AI82">
        <v>23415</v>
      </c>
      <c r="AJ82">
        <v>2924</v>
      </c>
      <c r="AK82">
        <v>321271045428</v>
      </c>
      <c r="AL82">
        <v>5686384263100</v>
      </c>
      <c r="AM82">
        <v>287499416</v>
      </c>
      <c r="AN82">
        <v>0</v>
      </c>
      <c r="AO82">
        <v>191668511</v>
      </c>
      <c r="AP82">
        <v>287499416</v>
      </c>
      <c r="AQ82">
        <v>479167927</v>
      </c>
      <c r="AR82">
        <v>9583313</v>
      </c>
      <c r="AS82">
        <v>0</v>
      </c>
      <c r="AT82">
        <v>6388950</v>
      </c>
      <c r="AU82">
        <v>9583313</v>
      </c>
      <c r="AV82">
        <v>15972264</v>
      </c>
      <c r="AW82">
        <v>31.942799999999998</v>
      </c>
      <c r="AX82">
        <v>16.607299999999999</v>
      </c>
      <c r="AY82">
        <v>31548.9</v>
      </c>
      <c r="AZ82">
        <v>29797.7</v>
      </c>
      <c r="BA82">
        <v>12772</v>
      </c>
      <c r="BB82">
        <v>1046</v>
      </c>
      <c r="BC82" t="str">
        <f t="shared" si="1"/>
        <v>u=40% k=2x10^8</v>
      </c>
    </row>
    <row r="83" spans="1:55">
      <c r="A83" t="s">
        <v>172</v>
      </c>
      <c r="B83" t="s">
        <v>83</v>
      </c>
      <c r="C83">
        <v>72</v>
      </c>
      <c r="D83" t="s">
        <v>64</v>
      </c>
      <c r="E83" t="s">
        <v>60</v>
      </c>
      <c r="F83" t="s">
        <v>61</v>
      </c>
      <c r="G83">
        <v>30000</v>
      </c>
      <c r="H83">
        <v>0.5</v>
      </c>
      <c r="I83">
        <v>0.5</v>
      </c>
      <c r="J83">
        <v>0</v>
      </c>
      <c r="K83">
        <v>1</v>
      </c>
      <c r="L83">
        <v>2000000</v>
      </c>
      <c r="M83">
        <v>190</v>
      </c>
      <c r="N83">
        <v>190</v>
      </c>
      <c r="O83">
        <v>190</v>
      </c>
      <c r="P83">
        <v>0</v>
      </c>
      <c r="Q83" t="s">
        <v>62</v>
      </c>
      <c r="R83">
        <v>1000284750247</v>
      </c>
      <c r="S83">
        <v>1000229</v>
      </c>
      <c r="T83">
        <v>1000284750247</v>
      </c>
      <c r="U83">
        <v>1000229</v>
      </c>
      <c r="V83" t="s">
        <v>71</v>
      </c>
      <c r="W83">
        <v>6</v>
      </c>
      <c r="X83">
        <v>53163</v>
      </c>
      <c r="Y83">
        <v>1072845</v>
      </c>
      <c r="Z83">
        <v>1126008</v>
      </c>
      <c r="AA83">
        <v>1000229</v>
      </c>
      <c r="AB83">
        <v>21.180299999999999</v>
      </c>
      <c r="AC83">
        <v>0.932315</v>
      </c>
      <c r="AD83">
        <v>1.8883000000000001</v>
      </c>
      <c r="AE83">
        <v>3.0421299999999998</v>
      </c>
      <c r="AF83">
        <v>21438208</v>
      </c>
      <c r="AG83" t="s">
        <v>307</v>
      </c>
      <c r="AH83" t="s">
        <v>308</v>
      </c>
      <c r="AI83">
        <v>315933</v>
      </c>
      <c r="AJ83">
        <v>89004</v>
      </c>
      <c r="AK83">
        <v>117963885759</v>
      </c>
      <c r="AL83">
        <v>5686384448373</v>
      </c>
      <c r="AM83">
        <v>12830199674</v>
      </c>
      <c r="AN83">
        <v>0</v>
      </c>
      <c r="AO83">
        <v>129586724</v>
      </c>
      <c r="AP83">
        <v>12830199674</v>
      </c>
      <c r="AQ83">
        <v>12959786398</v>
      </c>
      <c r="AR83">
        <v>427673322</v>
      </c>
      <c r="AS83">
        <v>0</v>
      </c>
      <c r="AT83">
        <v>4319557</v>
      </c>
      <c r="AU83">
        <v>427673322</v>
      </c>
      <c r="AV83">
        <v>431992879</v>
      </c>
      <c r="AW83">
        <v>8.6284399999999994</v>
      </c>
      <c r="AX83">
        <v>0.413937</v>
      </c>
      <c r="AY83">
        <v>1202.21</v>
      </c>
      <c r="AZ83">
        <v>461.42500000000001</v>
      </c>
      <c r="BA83">
        <v>1424</v>
      </c>
      <c r="BB83">
        <v>219</v>
      </c>
      <c r="BC83" t="str">
        <f t="shared" si="1"/>
        <v>u=1% k=2x10^6</v>
      </c>
    </row>
    <row r="84" spans="1:55">
      <c r="A84" t="s">
        <v>175</v>
      </c>
      <c r="B84" t="s">
        <v>83</v>
      </c>
      <c r="C84">
        <v>72</v>
      </c>
      <c r="D84" t="s">
        <v>64</v>
      </c>
      <c r="E84" t="s">
        <v>60</v>
      </c>
      <c r="F84" t="s">
        <v>61</v>
      </c>
      <c r="G84">
        <v>30000</v>
      </c>
      <c r="H84">
        <v>0.5</v>
      </c>
      <c r="I84">
        <v>0.5</v>
      </c>
      <c r="J84">
        <v>0</v>
      </c>
      <c r="K84">
        <v>1</v>
      </c>
      <c r="L84">
        <v>20000000</v>
      </c>
      <c r="M84">
        <v>190</v>
      </c>
      <c r="N84">
        <v>190</v>
      </c>
      <c r="O84">
        <v>190</v>
      </c>
      <c r="P84">
        <v>0</v>
      </c>
      <c r="Q84" t="s">
        <v>62</v>
      </c>
      <c r="R84">
        <v>99969353523089</v>
      </c>
      <c r="S84">
        <v>9998942</v>
      </c>
      <c r="T84">
        <v>99969353523089</v>
      </c>
      <c r="U84">
        <v>9998942</v>
      </c>
      <c r="V84" t="s">
        <v>71</v>
      </c>
      <c r="W84">
        <v>7</v>
      </c>
      <c r="X84">
        <v>1663972</v>
      </c>
      <c r="Y84">
        <v>11517681</v>
      </c>
      <c r="Z84">
        <v>13181653</v>
      </c>
      <c r="AA84">
        <v>9998942</v>
      </c>
      <c r="AB84">
        <v>7.9218000000000002</v>
      </c>
      <c r="AC84">
        <v>0.86813799999999997</v>
      </c>
      <c r="AD84">
        <v>1.7585500000000001</v>
      </c>
      <c r="AE84">
        <v>4.0076400000000003</v>
      </c>
      <c r="AF84">
        <v>317400672</v>
      </c>
      <c r="AG84" t="s">
        <v>309</v>
      </c>
      <c r="AH84" t="s">
        <v>310</v>
      </c>
      <c r="AI84">
        <v>36790</v>
      </c>
      <c r="AJ84">
        <v>45700</v>
      </c>
      <c r="AK84">
        <v>95712922632</v>
      </c>
      <c r="AL84">
        <v>5686385244008</v>
      </c>
      <c r="AM84">
        <v>7440091040</v>
      </c>
      <c r="AN84">
        <v>0</v>
      </c>
      <c r="AO84">
        <v>75152790</v>
      </c>
      <c r="AP84">
        <v>7440091040</v>
      </c>
      <c r="AQ84">
        <v>7515243830</v>
      </c>
      <c r="AR84">
        <v>248003034</v>
      </c>
      <c r="AS84">
        <v>0</v>
      </c>
      <c r="AT84">
        <v>2505093</v>
      </c>
      <c r="AU84">
        <v>248003034</v>
      </c>
      <c r="AV84">
        <v>250508127</v>
      </c>
      <c r="AW84">
        <v>16.357299999999999</v>
      </c>
      <c r="AX84">
        <v>6.6557599999999999</v>
      </c>
      <c r="AY84">
        <v>2082.21</v>
      </c>
      <c r="AZ84">
        <v>1309.8</v>
      </c>
      <c r="BA84">
        <v>2770</v>
      </c>
      <c r="BB84">
        <v>387</v>
      </c>
      <c r="BC84" t="str">
        <f t="shared" si="1"/>
        <v>u=1% k=2x10^7</v>
      </c>
    </row>
    <row r="85" spans="1:55">
      <c r="A85" t="s">
        <v>178</v>
      </c>
      <c r="B85" t="s">
        <v>83</v>
      </c>
      <c r="C85">
        <v>72</v>
      </c>
      <c r="D85" t="s">
        <v>64</v>
      </c>
      <c r="E85" t="s">
        <v>60</v>
      </c>
      <c r="F85" t="s">
        <v>61</v>
      </c>
      <c r="G85">
        <v>30000</v>
      </c>
      <c r="H85">
        <v>0.5</v>
      </c>
      <c r="I85">
        <v>0.5</v>
      </c>
      <c r="J85">
        <v>0</v>
      </c>
      <c r="K85">
        <v>1</v>
      </c>
      <c r="L85">
        <v>200000000</v>
      </c>
      <c r="M85">
        <v>190</v>
      </c>
      <c r="N85">
        <v>190</v>
      </c>
      <c r="O85">
        <v>190</v>
      </c>
      <c r="P85">
        <v>0</v>
      </c>
      <c r="Q85" t="s">
        <v>62</v>
      </c>
      <c r="R85">
        <v>9999288194136730</v>
      </c>
      <c r="S85">
        <v>99997681</v>
      </c>
      <c r="T85">
        <v>9999288194136730</v>
      </c>
      <c r="U85">
        <v>99997681</v>
      </c>
      <c r="V85" t="s">
        <v>71</v>
      </c>
      <c r="W85">
        <v>7</v>
      </c>
      <c r="X85">
        <v>12559555</v>
      </c>
      <c r="Y85">
        <v>113131288</v>
      </c>
      <c r="Z85">
        <v>125690843</v>
      </c>
      <c r="AA85">
        <v>99997681</v>
      </c>
      <c r="AB85">
        <v>10.0076</v>
      </c>
      <c r="AC85">
        <v>0.88390800000000003</v>
      </c>
      <c r="AD85">
        <v>1.79558</v>
      </c>
      <c r="AE85">
        <v>4.0315700000000003</v>
      </c>
      <c r="AF85">
        <v>2815510464</v>
      </c>
      <c r="AG85" t="s">
        <v>311</v>
      </c>
      <c r="AH85" t="s">
        <v>312</v>
      </c>
      <c r="AI85">
        <v>4171</v>
      </c>
      <c r="AJ85">
        <v>32504</v>
      </c>
      <c r="AK85">
        <v>119791479470</v>
      </c>
      <c r="AL85">
        <v>5686434545914</v>
      </c>
      <c r="AM85">
        <v>5625222435</v>
      </c>
      <c r="AN85">
        <v>0</v>
      </c>
      <c r="AO85">
        <v>56818597</v>
      </c>
      <c r="AP85">
        <v>5625222435</v>
      </c>
      <c r="AQ85">
        <v>5682041032</v>
      </c>
      <c r="AR85">
        <v>187507414</v>
      </c>
      <c r="AS85">
        <v>0</v>
      </c>
      <c r="AT85">
        <v>1893953</v>
      </c>
      <c r="AU85">
        <v>187507414</v>
      </c>
      <c r="AV85">
        <v>189401367</v>
      </c>
      <c r="AW85">
        <v>19.454799999999999</v>
      </c>
      <c r="AX85">
        <v>9.5846599999999995</v>
      </c>
      <c r="AY85">
        <v>2733.43</v>
      </c>
      <c r="AZ85">
        <v>1979.16</v>
      </c>
      <c r="BA85">
        <v>13353</v>
      </c>
      <c r="BB85">
        <v>1079</v>
      </c>
      <c r="BC85" t="str">
        <f t="shared" si="1"/>
        <v>u=1% k=2x10^8</v>
      </c>
    </row>
    <row r="86" spans="1:55">
      <c r="A86" t="s">
        <v>181</v>
      </c>
      <c r="B86" t="s">
        <v>83</v>
      </c>
      <c r="C86">
        <v>72</v>
      </c>
      <c r="D86" t="s">
        <v>64</v>
      </c>
      <c r="E86" t="s">
        <v>60</v>
      </c>
      <c r="F86" t="s">
        <v>61</v>
      </c>
      <c r="G86">
        <v>30000</v>
      </c>
      <c r="H86">
        <v>5</v>
      </c>
      <c r="I86">
        <v>5</v>
      </c>
      <c r="J86">
        <v>0</v>
      </c>
      <c r="K86">
        <v>1</v>
      </c>
      <c r="L86">
        <v>2000000</v>
      </c>
      <c r="M86">
        <v>190</v>
      </c>
      <c r="N86">
        <v>190</v>
      </c>
      <c r="O86">
        <v>190</v>
      </c>
      <c r="P86">
        <v>0</v>
      </c>
      <c r="Q86" t="s">
        <v>62</v>
      </c>
      <c r="R86">
        <v>999177149883</v>
      </c>
      <c r="S86">
        <v>999051</v>
      </c>
      <c r="T86">
        <v>999177149883</v>
      </c>
      <c r="U86">
        <v>999051</v>
      </c>
      <c r="V86" t="s">
        <v>71</v>
      </c>
      <c r="W86">
        <v>6</v>
      </c>
      <c r="X86">
        <v>54993</v>
      </c>
      <c r="Y86">
        <v>1075993</v>
      </c>
      <c r="Z86">
        <v>1130986</v>
      </c>
      <c r="AA86">
        <v>999051</v>
      </c>
      <c r="AB86">
        <v>20.565999999999999</v>
      </c>
      <c r="AC86">
        <v>0.92849199999999998</v>
      </c>
      <c r="AD86">
        <v>1.8833500000000001</v>
      </c>
      <c r="AE86">
        <v>3.0460400000000001</v>
      </c>
      <c r="AF86">
        <v>21636928</v>
      </c>
      <c r="AG86" t="s">
        <v>313</v>
      </c>
      <c r="AH86" t="s">
        <v>314</v>
      </c>
      <c r="AI86">
        <v>8095348</v>
      </c>
      <c r="AJ86">
        <v>50130</v>
      </c>
      <c r="AK86">
        <v>883849119403</v>
      </c>
      <c r="AL86">
        <v>5686386609768</v>
      </c>
      <c r="AM86">
        <v>6610113456</v>
      </c>
      <c r="AN86">
        <v>0</v>
      </c>
      <c r="AO86">
        <v>734469936</v>
      </c>
      <c r="AP86">
        <v>6610113456</v>
      </c>
      <c r="AQ86">
        <v>7344583392</v>
      </c>
      <c r="AR86">
        <v>220337115</v>
      </c>
      <c r="AS86">
        <v>0</v>
      </c>
      <c r="AT86">
        <v>24482331</v>
      </c>
      <c r="AU86">
        <v>220337115</v>
      </c>
      <c r="AV86">
        <v>244819446</v>
      </c>
      <c r="AW86">
        <v>12.365600000000001</v>
      </c>
      <c r="AX86">
        <v>3.1585299999999998</v>
      </c>
      <c r="AY86">
        <v>2147.36</v>
      </c>
      <c r="AZ86">
        <v>1313.48</v>
      </c>
      <c r="BA86">
        <v>1621</v>
      </c>
      <c r="BB86">
        <v>379</v>
      </c>
      <c r="BC86" t="str">
        <f t="shared" si="1"/>
        <v>u=10% k=2x10^6</v>
      </c>
    </row>
    <row r="87" spans="1:55">
      <c r="A87" t="s">
        <v>184</v>
      </c>
      <c r="B87" t="s">
        <v>83</v>
      </c>
      <c r="C87">
        <v>72</v>
      </c>
      <c r="D87" t="s">
        <v>64</v>
      </c>
      <c r="E87" t="s">
        <v>60</v>
      </c>
      <c r="F87" t="s">
        <v>61</v>
      </c>
      <c r="G87">
        <v>30000</v>
      </c>
      <c r="H87">
        <v>5</v>
      </c>
      <c r="I87">
        <v>5</v>
      </c>
      <c r="J87">
        <v>0</v>
      </c>
      <c r="K87">
        <v>1</v>
      </c>
      <c r="L87">
        <v>20000000</v>
      </c>
      <c r="M87">
        <v>190</v>
      </c>
      <c r="N87">
        <v>190</v>
      </c>
      <c r="O87">
        <v>190</v>
      </c>
      <c r="P87">
        <v>0</v>
      </c>
      <c r="Q87" t="s">
        <v>62</v>
      </c>
      <c r="R87">
        <v>100017988455965</v>
      </c>
      <c r="S87">
        <v>9999448</v>
      </c>
      <c r="T87">
        <v>100017988455965</v>
      </c>
      <c r="U87">
        <v>9999448</v>
      </c>
      <c r="V87" t="s">
        <v>71</v>
      </c>
      <c r="W87">
        <v>7</v>
      </c>
      <c r="X87">
        <v>1777488</v>
      </c>
      <c r="Y87">
        <v>11752493</v>
      </c>
      <c r="Z87">
        <v>13529981</v>
      </c>
      <c r="AA87">
        <v>9999448</v>
      </c>
      <c r="AB87">
        <v>7.6118600000000001</v>
      </c>
      <c r="AC87">
        <v>0.85083600000000004</v>
      </c>
      <c r="AD87">
        <v>1.7390600000000001</v>
      </c>
      <c r="AE87">
        <v>4.0303500000000003</v>
      </c>
      <c r="AF87">
        <v>330240672</v>
      </c>
      <c r="AG87" t="s">
        <v>315</v>
      </c>
      <c r="AH87" t="s">
        <v>316</v>
      </c>
      <c r="AI87">
        <v>839830</v>
      </c>
      <c r="AJ87">
        <v>35800</v>
      </c>
      <c r="AK87">
        <v>554596732618</v>
      </c>
      <c r="AL87">
        <v>5686385217725</v>
      </c>
      <c r="AM87">
        <v>4957236191</v>
      </c>
      <c r="AN87">
        <v>0</v>
      </c>
      <c r="AO87">
        <v>550824787</v>
      </c>
      <c r="AP87">
        <v>4957236191</v>
      </c>
      <c r="AQ87">
        <v>5508060978</v>
      </c>
      <c r="AR87">
        <v>165241206</v>
      </c>
      <c r="AS87">
        <v>0</v>
      </c>
      <c r="AT87">
        <v>18360826</v>
      </c>
      <c r="AU87">
        <v>165241206</v>
      </c>
      <c r="AV87">
        <v>183602032</v>
      </c>
      <c r="AW87">
        <v>19.2441</v>
      </c>
      <c r="AX87">
        <v>8.5628100000000007</v>
      </c>
      <c r="AY87">
        <v>2820.79</v>
      </c>
      <c r="AZ87">
        <v>1894.25</v>
      </c>
      <c r="BA87">
        <v>2869</v>
      </c>
      <c r="BB87">
        <v>383</v>
      </c>
      <c r="BC87" t="str">
        <f t="shared" si="1"/>
        <v>u=10% k=2x10^7</v>
      </c>
    </row>
    <row r="88" spans="1:55">
      <c r="A88" t="s">
        <v>187</v>
      </c>
      <c r="B88" t="s">
        <v>83</v>
      </c>
      <c r="C88">
        <v>72</v>
      </c>
      <c r="D88" t="s">
        <v>64</v>
      </c>
      <c r="E88" t="s">
        <v>60</v>
      </c>
      <c r="F88" t="s">
        <v>61</v>
      </c>
      <c r="G88">
        <v>30000</v>
      </c>
      <c r="H88">
        <v>5</v>
      </c>
      <c r="I88">
        <v>5</v>
      </c>
      <c r="J88">
        <v>0</v>
      </c>
      <c r="K88">
        <v>1</v>
      </c>
      <c r="L88">
        <v>200000000</v>
      </c>
      <c r="M88">
        <v>190</v>
      </c>
      <c r="N88">
        <v>190</v>
      </c>
      <c r="O88">
        <v>190</v>
      </c>
      <c r="P88">
        <v>0</v>
      </c>
      <c r="Q88" t="s">
        <v>62</v>
      </c>
      <c r="R88">
        <v>9999626699984640</v>
      </c>
      <c r="S88">
        <v>100000647</v>
      </c>
      <c r="T88">
        <v>9999626699984640</v>
      </c>
      <c r="U88">
        <v>100000647</v>
      </c>
      <c r="V88" t="s">
        <v>71</v>
      </c>
      <c r="W88">
        <v>7</v>
      </c>
      <c r="X88">
        <v>14859966</v>
      </c>
      <c r="Y88">
        <v>118060389</v>
      </c>
      <c r="Z88">
        <v>132920355</v>
      </c>
      <c r="AA88">
        <v>100000647</v>
      </c>
      <c r="AB88">
        <v>8.9448600000000003</v>
      </c>
      <c r="AC88">
        <v>0.84702999999999995</v>
      </c>
      <c r="AD88">
        <v>1.75234</v>
      </c>
      <c r="AE88">
        <v>4.0803799999999999</v>
      </c>
      <c r="AF88">
        <v>3081693136</v>
      </c>
      <c r="AG88" t="s">
        <v>317</v>
      </c>
      <c r="AH88" t="s">
        <v>318</v>
      </c>
      <c r="AI88">
        <v>131746</v>
      </c>
      <c r="AJ88">
        <v>19052</v>
      </c>
      <c r="AK88">
        <v>570717630430</v>
      </c>
      <c r="AL88">
        <v>5686632609211</v>
      </c>
      <c r="AM88">
        <v>3849678782</v>
      </c>
      <c r="AN88">
        <v>0</v>
      </c>
      <c r="AO88">
        <v>427777649</v>
      </c>
      <c r="AP88">
        <v>3849678782</v>
      </c>
      <c r="AQ88">
        <v>4277456431</v>
      </c>
      <c r="AR88">
        <v>128322626</v>
      </c>
      <c r="AS88">
        <v>0</v>
      </c>
      <c r="AT88">
        <v>14259254</v>
      </c>
      <c r="AU88">
        <v>128322626</v>
      </c>
      <c r="AV88">
        <v>142581881</v>
      </c>
      <c r="AW88">
        <v>22.2029</v>
      </c>
      <c r="AX88">
        <v>11.2865</v>
      </c>
      <c r="AY88">
        <v>3433.98</v>
      </c>
      <c r="AZ88">
        <v>2552.56</v>
      </c>
      <c r="BA88">
        <v>14270</v>
      </c>
      <c r="BB88">
        <v>1149</v>
      </c>
      <c r="BC88" t="str">
        <f t="shared" si="1"/>
        <v>u=10% k=2x10^8</v>
      </c>
    </row>
    <row r="89" spans="1:55">
      <c r="A89" t="s">
        <v>190</v>
      </c>
      <c r="B89" t="s">
        <v>83</v>
      </c>
      <c r="C89">
        <v>72</v>
      </c>
      <c r="D89" t="s">
        <v>64</v>
      </c>
      <c r="E89" t="s">
        <v>60</v>
      </c>
      <c r="F89" t="s">
        <v>61</v>
      </c>
      <c r="G89">
        <v>30000</v>
      </c>
      <c r="H89">
        <v>20</v>
      </c>
      <c r="I89">
        <v>20</v>
      </c>
      <c r="J89">
        <v>0</v>
      </c>
      <c r="K89">
        <v>1</v>
      </c>
      <c r="L89">
        <v>2000000</v>
      </c>
      <c r="M89">
        <v>190</v>
      </c>
      <c r="N89">
        <v>190</v>
      </c>
      <c r="O89">
        <v>190</v>
      </c>
      <c r="P89">
        <v>0</v>
      </c>
      <c r="Q89" t="s">
        <v>62</v>
      </c>
      <c r="R89">
        <v>1000862106862</v>
      </c>
      <c r="S89">
        <v>1000455</v>
      </c>
      <c r="T89">
        <v>1000862106862</v>
      </c>
      <c r="U89">
        <v>1000455</v>
      </c>
      <c r="V89" t="s">
        <v>71</v>
      </c>
      <c r="W89">
        <v>6</v>
      </c>
      <c r="X89">
        <v>54071</v>
      </c>
      <c r="Y89">
        <v>1075160</v>
      </c>
      <c r="Z89">
        <v>1129231</v>
      </c>
      <c r="AA89">
        <v>1000455</v>
      </c>
      <c r="AB89">
        <v>20.8842</v>
      </c>
      <c r="AC89">
        <v>0.93051700000000004</v>
      </c>
      <c r="AD89">
        <v>1.8859600000000001</v>
      </c>
      <c r="AE89">
        <v>3.0440399999999999</v>
      </c>
      <c r="AF89">
        <v>21549840</v>
      </c>
      <c r="AG89" t="s">
        <v>319</v>
      </c>
      <c r="AH89" t="s">
        <v>320</v>
      </c>
      <c r="AI89">
        <v>24588188</v>
      </c>
      <c r="AJ89">
        <v>20940</v>
      </c>
      <c r="AK89">
        <v>1785073504800</v>
      </c>
      <c r="AL89">
        <v>5686387675965</v>
      </c>
      <c r="AM89">
        <v>1739774551</v>
      </c>
      <c r="AN89">
        <v>0</v>
      </c>
      <c r="AO89">
        <v>1159795347</v>
      </c>
      <c r="AP89">
        <v>1739774551</v>
      </c>
      <c r="AQ89">
        <v>2899569898</v>
      </c>
      <c r="AR89">
        <v>57992485</v>
      </c>
      <c r="AS89">
        <v>0</v>
      </c>
      <c r="AT89">
        <v>38659844</v>
      </c>
      <c r="AU89">
        <v>57992485</v>
      </c>
      <c r="AV89">
        <v>96652329</v>
      </c>
      <c r="AW89">
        <v>25.030799999999999</v>
      </c>
      <c r="AX89">
        <v>11.9498</v>
      </c>
      <c r="AY89">
        <v>5469.77</v>
      </c>
      <c r="AZ89">
        <v>4166.6000000000004</v>
      </c>
      <c r="BA89">
        <v>1758</v>
      </c>
      <c r="BB89">
        <v>356</v>
      </c>
      <c r="BC89" t="str">
        <f t="shared" si="1"/>
        <v>u=40% k=2x10^6</v>
      </c>
    </row>
    <row r="90" spans="1:55">
      <c r="A90" t="s">
        <v>193</v>
      </c>
      <c r="B90" t="s">
        <v>83</v>
      </c>
      <c r="C90">
        <v>72</v>
      </c>
      <c r="D90" t="s">
        <v>64</v>
      </c>
      <c r="E90" t="s">
        <v>60</v>
      </c>
      <c r="F90" t="s">
        <v>61</v>
      </c>
      <c r="G90">
        <v>30000</v>
      </c>
      <c r="H90">
        <v>20</v>
      </c>
      <c r="I90">
        <v>20</v>
      </c>
      <c r="J90">
        <v>0</v>
      </c>
      <c r="K90">
        <v>1</v>
      </c>
      <c r="L90">
        <v>20000000</v>
      </c>
      <c r="M90">
        <v>190</v>
      </c>
      <c r="N90">
        <v>190</v>
      </c>
      <c r="O90">
        <v>190</v>
      </c>
      <c r="P90">
        <v>0</v>
      </c>
      <c r="Q90" t="s">
        <v>62</v>
      </c>
      <c r="R90">
        <v>99949978079096</v>
      </c>
      <c r="S90">
        <v>9997206</v>
      </c>
      <c r="T90">
        <v>99949978079096</v>
      </c>
      <c r="U90">
        <v>9997206</v>
      </c>
      <c r="V90" t="s">
        <v>71</v>
      </c>
      <c r="W90">
        <v>7</v>
      </c>
      <c r="X90">
        <v>1704537</v>
      </c>
      <c r="Y90">
        <v>11598412</v>
      </c>
      <c r="Z90">
        <v>13302949</v>
      </c>
      <c r="AA90">
        <v>9997206</v>
      </c>
      <c r="AB90">
        <v>7.8044399999999996</v>
      </c>
      <c r="AC90">
        <v>0.86194599999999999</v>
      </c>
      <c r="AD90">
        <v>1.7515000000000001</v>
      </c>
      <c r="AE90">
        <v>4.01586</v>
      </c>
      <c r="AF90">
        <v>321937680</v>
      </c>
      <c r="AG90" t="s">
        <v>321</v>
      </c>
      <c r="AH90" t="s">
        <v>322</v>
      </c>
      <c r="AI90">
        <v>2939248</v>
      </c>
      <c r="AJ90">
        <v>22018</v>
      </c>
      <c r="AK90">
        <v>1162796130121</v>
      </c>
      <c r="AL90">
        <v>5686538843628</v>
      </c>
      <c r="AM90">
        <v>1740364941</v>
      </c>
      <c r="AN90">
        <v>0</v>
      </c>
      <c r="AO90">
        <v>1160181679</v>
      </c>
      <c r="AP90">
        <v>1740364941</v>
      </c>
      <c r="AQ90">
        <v>2900546620</v>
      </c>
      <c r="AR90">
        <v>58012164</v>
      </c>
      <c r="AS90">
        <v>0</v>
      </c>
      <c r="AT90">
        <v>38672722</v>
      </c>
      <c r="AU90">
        <v>58012164</v>
      </c>
      <c r="AV90">
        <v>96684887</v>
      </c>
      <c r="AW90">
        <v>28.6554</v>
      </c>
      <c r="AX90">
        <v>15.3133</v>
      </c>
      <c r="AY90">
        <v>5298.35</v>
      </c>
      <c r="AZ90">
        <v>3613.82</v>
      </c>
      <c r="BA90">
        <v>2938</v>
      </c>
      <c r="BB90">
        <v>390</v>
      </c>
      <c r="BC90" t="str">
        <f t="shared" si="1"/>
        <v>u=40% k=2x10^7</v>
      </c>
    </row>
    <row r="91" spans="1:55">
      <c r="A91" t="s">
        <v>196</v>
      </c>
      <c r="B91" t="s">
        <v>83</v>
      </c>
      <c r="C91">
        <v>72</v>
      </c>
      <c r="D91" t="s">
        <v>64</v>
      </c>
      <c r="E91" t="s">
        <v>60</v>
      </c>
      <c r="F91" t="s">
        <v>61</v>
      </c>
      <c r="G91">
        <v>30000</v>
      </c>
      <c r="H91">
        <v>20</v>
      </c>
      <c r="I91">
        <v>20</v>
      </c>
      <c r="J91">
        <v>0</v>
      </c>
      <c r="K91">
        <v>1</v>
      </c>
      <c r="L91">
        <v>200000000</v>
      </c>
      <c r="M91">
        <v>190</v>
      </c>
      <c r="N91">
        <v>190</v>
      </c>
      <c r="O91">
        <v>190</v>
      </c>
      <c r="P91">
        <v>0</v>
      </c>
      <c r="Q91" t="s">
        <v>62</v>
      </c>
      <c r="R91">
        <v>9998417224710940</v>
      </c>
      <c r="S91">
        <v>99991700</v>
      </c>
      <c r="T91">
        <v>9998417224710940</v>
      </c>
      <c r="U91">
        <v>99991700</v>
      </c>
      <c r="V91" t="s">
        <v>71</v>
      </c>
      <c r="W91">
        <v>7</v>
      </c>
      <c r="X91">
        <v>11653555</v>
      </c>
      <c r="Y91">
        <v>111284343</v>
      </c>
      <c r="Z91">
        <v>122937898</v>
      </c>
      <c r="AA91">
        <v>99991700</v>
      </c>
      <c r="AB91">
        <v>10.5494</v>
      </c>
      <c r="AC91">
        <v>0.89852399999999999</v>
      </c>
      <c r="AD91">
        <v>1.81335</v>
      </c>
      <c r="AE91">
        <v>4.0129900000000003</v>
      </c>
      <c r="AF91">
        <v>2712956128</v>
      </c>
      <c r="AG91" t="s">
        <v>323</v>
      </c>
      <c r="AH91" t="s">
        <v>324</v>
      </c>
      <c r="AI91">
        <v>518197</v>
      </c>
      <c r="AJ91">
        <v>12726</v>
      </c>
      <c r="AK91">
        <v>1141379068891</v>
      </c>
      <c r="AL91">
        <v>5686892112458</v>
      </c>
      <c r="AM91">
        <v>1504015826</v>
      </c>
      <c r="AN91">
        <v>0</v>
      </c>
      <c r="AO91">
        <v>1002692786</v>
      </c>
      <c r="AP91">
        <v>1504015826</v>
      </c>
      <c r="AQ91">
        <v>2506708612</v>
      </c>
      <c r="AR91">
        <v>50133860</v>
      </c>
      <c r="AS91">
        <v>0</v>
      </c>
      <c r="AT91">
        <v>33423092</v>
      </c>
      <c r="AU91">
        <v>50133860</v>
      </c>
      <c r="AV91">
        <v>83556953</v>
      </c>
      <c r="AW91">
        <v>31.607299999999999</v>
      </c>
      <c r="AX91">
        <v>17.659500000000001</v>
      </c>
      <c r="AY91">
        <v>5687.69</v>
      </c>
      <c r="AZ91">
        <v>4211.6000000000004</v>
      </c>
      <c r="BA91">
        <v>14420</v>
      </c>
      <c r="BB91">
        <v>1107</v>
      </c>
      <c r="BC91" t="str">
        <f t="shared" si="1"/>
        <v>u=40% k=2x10^8</v>
      </c>
    </row>
    <row r="92" spans="1:55">
      <c r="A92" t="s">
        <v>199</v>
      </c>
      <c r="B92" t="s">
        <v>83</v>
      </c>
      <c r="C92">
        <v>72</v>
      </c>
      <c r="D92" t="s">
        <v>64</v>
      </c>
      <c r="E92" t="s">
        <v>60</v>
      </c>
      <c r="F92" t="s">
        <v>61</v>
      </c>
      <c r="G92">
        <v>30000</v>
      </c>
      <c r="H92">
        <v>0.5</v>
      </c>
      <c r="I92">
        <v>0.5</v>
      </c>
      <c r="J92">
        <v>0</v>
      </c>
      <c r="K92">
        <v>1</v>
      </c>
      <c r="L92">
        <v>2000000</v>
      </c>
      <c r="M92">
        <v>190</v>
      </c>
      <c r="N92">
        <v>190</v>
      </c>
      <c r="O92">
        <v>190</v>
      </c>
      <c r="P92">
        <v>0</v>
      </c>
      <c r="Q92" t="s">
        <v>62</v>
      </c>
      <c r="R92">
        <v>1000459076577</v>
      </c>
      <c r="S92">
        <v>999566</v>
      </c>
      <c r="T92">
        <v>1000459076577</v>
      </c>
      <c r="U92">
        <v>999566</v>
      </c>
      <c r="V92" t="s">
        <v>71</v>
      </c>
      <c r="W92">
        <v>6</v>
      </c>
      <c r="X92">
        <v>55352</v>
      </c>
      <c r="Y92">
        <v>1076449</v>
      </c>
      <c r="Z92">
        <v>1131801</v>
      </c>
      <c r="AA92">
        <v>999566</v>
      </c>
      <c r="AB92">
        <v>20.447299999999998</v>
      </c>
      <c r="AC92">
        <v>0.92857699999999999</v>
      </c>
      <c r="AD92">
        <v>1.8831599999999999</v>
      </c>
      <c r="AE92">
        <v>3.04677</v>
      </c>
      <c r="AF92">
        <v>21673760</v>
      </c>
      <c r="AG92" t="s">
        <v>325</v>
      </c>
      <c r="AH92" t="s">
        <v>326</v>
      </c>
      <c r="AI92">
        <v>320433</v>
      </c>
      <c r="AJ92">
        <v>89930</v>
      </c>
      <c r="AK92">
        <v>118009083094</v>
      </c>
      <c r="AL92">
        <v>5686385841124</v>
      </c>
      <c r="AM92">
        <v>12888441911</v>
      </c>
      <c r="AN92">
        <v>0</v>
      </c>
      <c r="AO92">
        <v>130164249</v>
      </c>
      <c r="AP92">
        <v>12888441911</v>
      </c>
      <c r="AQ92">
        <v>13018606160</v>
      </c>
      <c r="AR92">
        <v>429614730</v>
      </c>
      <c r="AS92">
        <v>0</v>
      </c>
      <c r="AT92">
        <v>4338808</v>
      </c>
      <c r="AU92">
        <v>429614730</v>
      </c>
      <c r="AV92">
        <v>433953538</v>
      </c>
      <c r="AW92">
        <v>8.6439800000000009</v>
      </c>
      <c r="AX92">
        <v>0.41709499999999999</v>
      </c>
      <c r="AY92">
        <v>1198.57</v>
      </c>
      <c r="AZ92">
        <v>464.21199999999999</v>
      </c>
      <c r="BA92">
        <v>1425</v>
      </c>
      <c r="BB92">
        <v>343</v>
      </c>
      <c r="BC92" t="str">
        <f t="shared" si="1"/>
        <v>u=1% k=2x10^6</v>
      </c>
    </row>
    <row r="93" spans="1:55">
      <c r="A93" t="s">
        <v>202</v>
      </c>
      <c r="B93" t="s">
        <v>83</v>
      </c>
      <c r="C93">
        <v>72</v>
      </c>
      <c r="D93" t="s">
        <v>64</v>
      </c>
      <c r="E93" t="s">
        <v>60</v>
      </c>
      <c r="F93" t="s">
        <v>61</v>
      </c>
      <c r="G93">
        <v>30000</v>
      </c>
      <c r="H93">
        <v>0.5</v>
      </c>
      <c r="I93">
        <v>0.5</v>
      </c>
      <c r="J93">
        <v>0</v>
      </c>
      <c r="K93">
        <v>1</v>
      </c>
      <c r="L93">
        <v>20000000</v>
      </c>
      <c r="M93">
        <v>190</v>
      </c>
      <c r="N93">
        <v>190</v>
      </c>
      <c r="O93">
        <v>190</v>
      </c>
      <c r="P93">
        <v>0</v>
      </c>
      <c r="Q93" t="s">
        <v>62</v>
      </c>
      <c r="R93">
        <v>99999898449582</v>
      </c>
      <c r="S93">
        <v>9998638</v>
      </c>
      <c r="T93">
        <v>99999898449582</v>
      </c>
      <c r="U93">
        <v>9998638</v>
      </c>
      <c r="V93" t="s">
        <v>71</v>
      </c>
      <c r="W93">
        <v>7</v>
      </c>
      <c r="X93">
        <v>1667951</v>
      </c>
      <c r="Y93">
        <v>11525688</v>
      </c>
      <c r="Z93">
        <v>13193639</v>
      </c>
      <c r="AA93">
        <v>9998638</v>
      </c>
      <c r="AB93">
        <v>7.9100900000000003</v>
      </c>
      <c r="AC93">
        <v>0.86750899999999997</v>
      </c>
      <c r="AD93">
        <v>1.7578400000000001</v>
      </c>
      <c r="AE93">
        <v>4.00854</v>
      </c>
      <c r="AF93">
        <v>317847136</v>
      </c>
      <c r="AG93" t="s">
        <v>327</v>
      </c>
      <c r="AH93" t="s">
        <v>328</v>
      </c>
      <c r="AI93">
        <v>39241</v>
      </c>
      <c r="AJ93">
        <v>46376</v>
      </c>
      <c r="AK93">
        <v>95045923448</v>
      </c>
      <c r="AL93">
        <v>5686386389624</v>
      </c>
      <c r="AM93">
        <v>7440327903</v>
      </c>
      <c r="AN93">
        <v>0</v>
      </c>
      <c r="AO93">
        <v>75163539</v>
      </c>
      <c r="AP93">
        <v>7440327903</v>
      </c>
      <c r="AQ93">
        <v>7515491442</v>
      </c>
      <c r="AR93">
        <v>248010930</v>
      </c>
      <c r="AS93">
        <v>0</v>
      </c>
      <c r="AT93">
        <v>2505451</v>
      </c>
      <c r="AU93">
        <v>248010930</v>
      </c>
      <c r="AV93">
        <v>250516381</v>
      </c>
      <c r="AW93">
        <v>16.311299999999999</v>
      </c>
      <c r="AX93">
        <v>6.6559400000000002</v>
      </c>
      <c r="AY93">
        <v>2082.25</v>
      </c>
      <c r="AZ93">
        <v>1304.8599999999999</v>
      </c>
      <c r="BA93">
        <v>2771</v>
      </c>
      <c r="BB93">
        <v>402</v>
      </c>
      <c r="BC93" t="str">
        <f t="shared" si="1"/>
        <v>u=1% k=2x10^7</v>
      </c>
    </row>
    <row r="94" spans="1:55">
      <c r="A94" t="s">
        <v>205</v>
      </c>
      <c r="B94" t="s">
        <v>83</v>
      </c>
      <c r="C94">
        <v>72</v>
      </c>
      <c r="D94" t="s">
        <v>64</v>
      </c>
      <c r="E94" t="s">
        <v>60</v>
      </c>
      <c r="F94" t="s">
        <v>61</v>
      </c>
      <c r="G94">
        <v>30000</v>
      </c>
      <c r="H94">
        <v>0.5</v>
      </c>
      <c r="I94">
        <v>0.5</v>
      </c>
      <c r="J94">
        <v>0</v>
      </c>
      <c r="K94">
        <v>1</v>
      </c>
      <c r="L94">
        <v>200000000</v>
      </c>
      <c r="M94">
        <v>190</v>
      </c>
      <c r="N94">
        <v>190</v>
      </c>
      <c r="O94">
        <v>190</v>
      </c>
      <c r="P94">
        <v>0</v>
      </c>
      <c r="Q94" t="s">
        <v>62</v>
      </c>
      <c r="R94">
        <v>9999888594507530</v>
      </c>
      <c r="S94">
        <v>100006202</v>
      </c>
      <c r="T94">
        <v>9999888594507530</v>
      </c>
      <c r="U94">
        <v>100006202</v>
      </c>
      <c r="V94" t="s">
        <v>71</v>
      </c>
      <c r="W94">
        <v>7</v>
      </c>
      <c r="X94">
        <v>12612890</v>
      </c>
      <c r="Y94">
        <v>113245661</v>
      </c>
      <c r="Z94">
        <v>125858551</v>
      </c>
      <c r="AA94">
        <v>100006202</v>
      </c>
      <c r="AB94">
        <v>9.9785699999999995</v>
      </c>
      <c r="AC94">
        <v>0.88309099999999996</v>
      </c>
      <c r="AD94">
        <v>1.7945899999999999</v>
      </c>
      <c r="AE94">
        <v>4.0326700000000004</v>
      </c>
      <c r="AF94">
        <v>2821650400</v>
      </c>
      <c r="AG94" t="s">
        <v>329</v>
      </c>
      <c r="AH94" t="s">
        <v>330</v>
      </c>
      <c r="AI94">
        <v>4164</v>
      </c>
      <c r="AJ94">
        <v>33046</v>
      </c>
      <c r="AK94">
        <v>117859913897</v>
      </c>
      <c r="AL94">
        <v>5686435420195</v>
      </c>
      <c r="AM94">
        <v>5650137014</v>
      </c>
      <c r="AN94">
        <v>0</v>
      </c>
      <c r="AO94">
        <v>57068349</v>
      </c>
      <c r="AP94">
        <v>5650137014</v>
      </c>
      <c r="AQ94">
        <v>5707205363</v>
      </c>
      <c r="AR94">
        <v>188337900</v>
      </c>
      <c r="AS94">
        <v>0</v>
      </c>
      <c r="AT94">
        <v>1902278</v>
      </c>
      <c r="AU94">
        <v>188337900</v>
      </c>
      <c r="AV94">
        <v>190240178</v>
      </c>
      <c r="AW94">
        <v>19.4163</v>
      </c>
      <c r="AX94">
        <v>9.5708599999999997</v>
      </c>
      <c r="AY94">
        <v>2721.93</v>
      </c>
      <c r="AZ94">
        <v>1968.61</v>
      </c>
      <c r="BA94">
        <v>13340</v>
      </c>
      <c r="BB94">
        <v>1114</v>
      </c>
      <c r="BC94" t="str">
        <f t="shared" si="1"/>
        <v>u=1% k=2x10^8</v>
      </c>
    </row>
    <row r="95" spans="1:55">
      <c r="A95" t="s">
        <v>208</v>
      </c>
      <c r="B95" t="s">
        <v>83</v>
      </c>
      <c r="C95">
        <v>72</v>
      </c>
      <c r="D95" t="s">
        <v>64</v>
      </c>
      <c r="E95" t="s">
        <v>60</v>
      </c>
      <c r="F95" t="s">
        <v>61</v>
      </c>
      <c r="G95">
        <v>30000</v>
      </c>
      <c r="H95">
        <v>5</v>
      </c>
      <c r="I95">
        <v>5</v>
      </c>
      <c r="J95">
        <v>0</v>
      </c>
      <c r="K95">
        <v>1</v>
      </c>
      <c r="L95">
        <v>2000000</v>
      </c>
      <c r="M95">
        <v>190</v>
      </c>
      <c r="N95">
        <v>190</v>
      </c>
      <c r="O95">
        <v>190</v>
      </c>
      <c r="P95">
        <v>0</v>
      </c>
      <c r="Q95" t="s">
        <v>62</v>
      </c>
      <c r="R95">
        <v>1001193433563</v>
      </c>
      <c r="S95">
        <v>1000892</v>
      </c>
      <c r="T95">
        <v>1001193433563</v>
      </c>
      <c r="U95">
        <v>1000892</v>
      </c>
      <c r="V95" t="s">
        <v>71</v>
      </c>
      <c r="W95">
        <v>6</v>
      </c>
      <c r="X95">
        <v>33079</v>
      </c>
      <c r="Y95">
        <v>1033019</v>
      </c>
      <c r="Z95">
        <v>1066098</v>
      </c>
      <c r="AA95">
        <v>1000892</v>
      </c>
      <c r="AB95">
        <v>32.2288</v>
      </c>
      <c r="AC95">
        <v>0.96889999999999998</v>
      </c>
      <c r="AD95">
        <v>1.9388399999999999</v>
      </c>
      <c r="AE95">
        <v>3.0000900000000001</v>
      </c>
      <c r="AF95">
        <v>19174608</v>
      </c>
      <c r="AG95" t="s">
        <v>331</v>
      </c>
      <c r="AH95" t="s">
        <v>332</v>
      </c>
      <c r="AI95">
        <v>8009296</v>
      </c>
      <c r="AJ95">
        <v>50060</v>
      </c>
      <c r="AK95">
        <v>877288380424</v>
      </c>
      <c r="AL95">
        <v>5686413499064</v>
      </c>
      <c r="AM95">
        <v>6584015402</v>
      </c>
      <c r="AN95">
        <v>0</v>
      </c>
      <c r="AO95">
        <v>731582908</v>
      </c>
      <c r="AP95">
        <v>6584015402</v>
      </c>
      <c r="AQ95">
        <v>7315598310</v>
      </c>
      <c r="AR95">
        <v>219467180</v>
      </c>
      <c r="AS95">
        <v>0</v>
      </c>
      <c r="AT95">
        <v>24386096</v>
      </c>
      <c r="AU95">
        <v>219467180</v>
      </c>
      <c r="AV95">
        <v>243853277</v>
      </c>
      <c r="AW95">
        <v>12.352600000000001</v>
      </c>
      <c r="AX95">
        <v>3.1603500000000002</v>
      </c>
      <c r="AY95">
        <v>2157.23</v>
      </c>
      <c r="AZ95">
        <v>1313.19</v>
      </c>
      <c r="BA95">
        <v>1601</v>
      </c>
      <c r="BB95">
        <v>326</v>
      </c>
      <c r="BC95" t="str">
        <f t="shared" si="1"/>
        <v>u=10% k=2x10^6</v>
      </c>
    </row>
    <row r="96" spans="1:55">
      <c r="A96" t="s">
        <v>211</v>
      </c>
      <c r="B96" t="s">
        <v>83</v>
      </c>
      <c r="C96">
        <v>72</v>
      </c>
      <c r="D96" t="s">
        <v>64</v>
      </c>
      <c r="E96" t="s">
        <v>60</v>
      </c>
      <c r="F96" t="s">
        <v>61</v>
      </c>
      <c r="G96">
        <v>30000</v>
      </c>
      <c r="H96">
        <v>5</v>
      </c>
      <c r="I96">
        <v>5</v>
      </c>
      <c r="J96">
        <v>0</v>
      </c>
      <c r="K96">
        <v>1</v>
      </c>
      <c r="L96">
        <v>20000000</v>
      </c>
      <c r="M96">
        <v>190</v>
      </c>
      <c r="N96">
        <v>190</v>
      </c>
      <c r="O96">
        <v>190</v>
      </c>
      <c r="P96">
        <v>0</v>
      </c>
      <c r="Q96" t="s">
        <v>62</v>
      </c>
      <c r="R96">
        <v>100036838523441</v>
      </c>
      <c r="S96">
        <v>10001773</v>
      </c>
      <c r="T96">
        <v>100036838523441</v>
      </c>
      <c r="U96">
        <v>10001773</v>
      </c>
      <c r="V96" t="s">
        <v>71</v>
      </c>
      <c r="W96">
        <v>7</v>
      </c>
      <c r="X96">
        <v>1661454</v>
      </c>
      <c r="Y96">
        <v>11515312</v>
      </c>
      <c r="Z96">
        <v>13176766</v>
      </c>
      <c r="AA96">
        <v>10001773</v>
      </c>
      <c r="AB96">
        <v>7.93086</v>
      </c>
      <c r="AC96">
        <v>0.86856299999999997</v>
      </c>
      <c r="AD96">
        <v>1.75905</v>
      </c>
      <c r="AE96">
        <v>4.0071300000000001</v>
      </c>
      <c r="AF96">
        <v>317161312</v>
      </c>
      <c r="AG96" t="s">
        <v>333</v>
      </c>
      <c r="AH96" t="s">
        <v>334</v>
      </c>
      <c r="AI96">
        <v>842409</v>
      </c>
      <c r="AJ96">
        <v>36086</v>
      </c>
      <c r="AK96">
        <v>555539708546</v>
      </c>
      <c r="AL96">
        <v>5686398553082</v>
      </c>
      <c r="AM96">
        <v>4951469164</v>
      </c>
      <c r="AN96">
        <v>0</v>
      </c>
      <c r="AO96">
        <v>550146430</v>
      </c>
      <c r="AP96">
        <v>4951469164</v>
      </c>
      <c r="AQ96">
        <v>5501615594</v>
      </c>
      <c r="AR96">
        <v>165048972</v>
      </c>
      <c r="AS96">
        <v>0</v>
      </c>
      <c r="AT96">
        <v>18338214</v>
      </c>
      <c r="AU96">
        <v>165048972</v>
      </c>
      <c r="AV96">
        <v>183387186</v>
      </c>
      <c r="AW96">
        <v>19.247299999999999</v>
      </c>
      <c r="AX96">
        <v>8.5650999999999993</v>
      </c>
      <c r="AY96">
        <v>2821.86</v>
      </c>
      <c r="AZ96">
        <v>1891.8</v>
      </c>
      <c r="BA96">
        <v>2873</v>
      </c>
      <c r="BB96">
        <v>399</v>
      </c>
      <c r="BC96" t="str">
        <f t="shared" si="1"/>
        <v>u=10% k=2x10^7</v>
      </c>
    </row>
    <row r="97" spans="1:55">
      <c r="A97" t="s">
        <v>214</v>
      </c>
      <c r="B97" t="s">
        <v>83</v>
      </c>
      <c r="C97">
        <v>72</v>
      </c>
      <c r="D97" t="s">
        <v>64</v>
      </c>
      <c r="E97" t="s">
        <v>60</v>
      </c>
      <c r="F97" t="s">
        <v>61</v>
      </c>
      <c r="G97">
        <v>30000</v>
      </c>
      <c r="H97">
        <v>5</v>
      </c>
      <c r="I97">
        <v>5</v>
      </c>
      <c r="J97">
        <v>0</v>
      </c>
      <c r="K97">
        <v>1</v>
      </c>
      <c r="L97">
        <v>200000000</v>
      </c>
      <c r="M97">
        <v>190</v>
      </c>
      <c r="N97">
        <v>190</v>
      </c>
      <c r="O97">
        <v>190</v>
      </c>
      <c r="P97">
        <v>0</v>
      </c>
      <c r="Q97" t="s">
        <v>62</v>
      </c>
      <c r="R97">
        <v>1.00000763171644E+16</v>
      </c>
      <c r="S97">
        <v>99998747</v>
      </c>
      <c r="T97">
        <v>1.00000763171644E+16</v>
      </c>
      <c r="U97">
        <v>99998747</v>
      </c>
      <c r="V97" t="s">
        <v>71</v>
      </c>
      <c r="W97">
        <v>7</v>
      </c>
      <c r="X97">
        <v>14889819</v>
      </c>
      <c r="Y97">
        <v>118120362</v>
      </c>
      <c r="Z97">
        <v>133010181</v>
      </c>
      <c r="AA97">
        <v>99998747</v>
      </c>
      <c r="AB97">
        <v>8.9329599999999996</v>
      </c>
      <c r="AC97">
        <v>0.84658299999999997</v>
      </c>
      <c r="AD97">
        <v>1.7518100000000001</v>
      </c>
      <c r="AE97">
        <v>4.0810399999999998</v>
      </c>
      <c r="AF97">
        <v>3085129184</v>
      </c>
      <c r="AG97" t="s">
        <v>335</v>
      </c>
      <c r="AH97" t="s">
        <v>336</v>
      </c>
      <c r="AI97">
        <v>130652</v>
      </c>
      <c r="AJ97">
        <v>19188</v>
      </c>
      <c r="AK97">
        <v>567550168973</v>
      </c>
      <c r="AL97">
        <v>5686569846918</v>
      </c>
      <c r="AM97">
        <v>3857404846</v>
      </c>
      <c r="AN97">
        <v>0</v>
      </c>
      <c r="AO97">
        <v>428606163</v>
      </c>
      <c r="AP97">
        <v>3857404846</v>
      </c>
      <c r="AQ97">
        <v>4286011009</v>
      </c>
      <c r="AR97">
        <v>128580161</v>
      </c>
      <c r="AS97">
        <v>0</v>
      </c>
      <c r="AT97">
        <v>14286872</v>
      </c>
      <c r="AU97">
        <v>128580161</v>
      </c>
      <c r="AV97">
        <v>142867033</v>
      </c>
      <c r="AW97">
        <v>22.2029</v>
      </c>
      <c r="AX97">
        <v>11.273899999999999</v>
      </c>
      <c r="AY97">
        <v>3426.42</v>
      </c>
      <c r="AZ97">
        <v>2550.15</v>
      </c>
      <c r="BA97">
        <v>14278</v>
      </c>
      <c r="BB97">
        <v>1043</v>
      </c>
      <c r="BC97" t="str">
        <f t="shared" si="1"/>
        <v>u=10% k=2x10^8</v>
      </c>
    </row>
    <row r="98" spans="1:55">
      <c r="A98" t="s">
        <v>217</v>
      </c>
      <c r="B98" t="s">
        <v>83</v>
      </c>
      <c r="C98">
        <v>72</v>
      </c>
      <c r="D98" t="s">
        <v>64</v>
      </c>
      <c r="E98" t="s">
        <v>60</v>
      </c>
      <c r="F98" t="s">
        <v>61</v>
      </c>
      <c r="G98">
        <v>30000</v>
      </c>
      <c r="H98">
        <v>20</v>
      </c>
      <c r="I98">
        <v>20</v>
      </c>
      <c r="J98">
        <v>0</v>
      </c>
      <c r="K98">
        <v>1</v>
      </c>
      <c r="L98">
        <v>2000000</v>
      </c>
      <c r="M98">
        <v>190</v>
      </c>
      <c r="N98">
        <v>190</v>
      </c>
      <c r="O98">
        <v>190</v>
      </c>
      <c r="P98">
        <v>0</v>
      </c>
      <c r="Q98" t="s">
        <v>62</v>
      </c>
      <c r="R98">
        <v>999110031434</v>
      </c>
      <c r="S98">
        <v>998768</v>
      </c>
      <c r="T98">
        <v>999110031434</v>
      </c>
      <c r="U98">
        <v>998768</v>
      </c>
      <c r="V98" t="s">
        <v>71</v>
      </c>
      <c r="W98">
        <v>6</v>
      </c>
      <c r="X98">
        <v>54781</v>
      </c>
      <c r="Y98">
        <v>1074809</v>
      </c>
      <c r="Z98">
        <v>1129590</v>
      </c>
      <c r="AA98">
        <v>998768</v>
      </c>
      <c r="AB98">
        <v>20.620100000000001</v>
      </c>
      <c r="AC98">
        <v>0.92925199999999997</v>
      </c>
      <c r="AD98">
        <v>1.88419</v>
      </c>
      <c r="AE98">
        <v>3.0455999999999999</v>
      </c>
      <c r="AF98">
        <v>21601760</v>
      </c>
      <c r="AG98" t="s">
        <v>337</v>
      </c>
      <c r="AH98" t="s">
        <v>338</v>
      </c>
      <c r="AI98">
        <v>24554171</v>
      </c>
      <c r="AJ98">
        <v>20956</v>
      </c>
      <c r="AK98">
        <v>1781223677283</v>
      </c>
      <c r="AL98">
        <v>5686388345679</v>
      </c>
      <c r="AM98">
        <v>1740235264</v>
      </c>
      <c r="AN98">
        <v>0</v>
      </c>
      <c r="AO98">
        <v>1160190122</v>
      </c>
      <c r="AP98">
        <v>1740235264</v>
      </c>
      <c r="AQ98">
        <v>2900425386</v>
      </c>
      <c r="AR98">
        <v>58007842</v>
      </c>
      <c r="AS98">
        <v>0</v>
      </c>
      <c r="AT98">
        <v>38673004</v>
      </c>
      <c r="AU98">
        <v>58007842</v>
      </c>
      <c r="AV98">
        <v>96680846</v>
      </c>
      <c r="AW98">
        <v>25.014299999999999</v>
      </c>
      <c r="AX98">
        <v>11.956899999999999</v>
      </c>
      <c r="AY98">
        <v>5466.72</v>
      </c>
      <c r="AZ98">
        <v>4160.7299999999996</v>
      </c>
      <c r="BA98">
        <v>1752</v>
      </c>
      <c r="BB98">
        <v>234</v>
      </c>
      <c r="BC98" t="str">
        <f t="shared" si="1"/>
        <v>u=40% k=2x10^6</v>
      </c>
    </row>
    <row r="99" spans="1:55">
      <c r="A99" t="s">
        <v>220</v>
      </c>
      <c r="B99" t="s">
        <v>83</v>
      </c>
      <c r="C99">
        <v>72</v>
      </c>
      <c r="D99" t="s">
        <v>64</v>
      </c>
      <c r="E99" t="s">
        <v>60</v>
      </c>
      <c r="F99" t="s">
        <v>61</v>
      </c>
      <c r="G99">
        <v>30000</v>
      </c>
      <c r="H99">
        <v>20</v>
      </c>
      <c r="I99">
        <v>20</v>
      </c>
      <c r="J99">
        <v>0</v>
      </c>
      <c r="K99">
        <v>1</v>
      </c>
      <c r="L99">
        <v>20000000</v>
      </c>
      <c r="M99">
        <v>190</v>
      </c>
      <c r="N99">
        <v>190</v>
      </c>
      <c r="O99">
        <v>190</v>
      </c>
      <c r="P99">
        <v>0</v>
      </c>
      <c r="Q99" t="s">
        <v>62</v>
      </c>
      <c r="R99">
        <v>100017107834633</v>
      </c>
      <c r="S99">
        <v>9999452</v>
      </c>
      <c r="T99">
        <v>100017107834633</v>
      </c>
      <c r="U99">
        <v>9999452</v>
      </c>
      <c r="V99" t="s">
        <v>71</v>
      </c>
      <c r="W99">
        <v>7</v>
      </c>
      <c r="X99">
        <v>1625825</v>
      </c>
      <c r="Y99">
        <v>11441866</v>
      </c>
      <c r="Z99">
        <v>13067691</v>
      </c>
      <c r="AA99">
        <v>9999452</v>
      </c>
      <c r="AB99">
        <v>8.0375800000000002</v>
      </c>
      <c r="AC99">
        <v>0.87393500000000002</v>
      </c>
      <c r="AD99">
        <v>1.7652000000000001</v>
      </c>
      <c r="AE99">
        <v>4.0000099999999996</v>
      </c>
      <c r="AF99">
        <v>313135840</v>
      </c>
      <c r="AG99" t="s">
        <v>339</v>
      </c>
      <c r="AH99" t="s">
        <v>340</v>
      </c>
      <c r="AI99">
        <v>2934187</v>
      </c>
      <c r="AJ99">
        <v>22076</v>
      </c>
      <c r="AK99">
        <v>1163360406731</v>
      </c>
      <c r="AL99">
        <v>5688170544617</v>
      </c>
      <c r="AM99">
        <v>1739824642</v>
      </c>
      <c r="AN99">
        <v>0</v>
      </c>
      <c r="AO99">
        <v>1159894014</v>
      </c>
      <c r="AP99">
        <v>1739824642</v>
      </c>
      <c r="AQ99">
        <v>2899718656</v>
      </c>
      <c r="AR99">
        <v>57994154</v>
      </c>
      <c r="AS99">
        <v>0</v>
      </c>
      <c r="AT99">
        <v>38663133</v>
      </c>
      <c r="AU99">
        <v>57994154</v>
      </c>
      <c r="AV99">
        <v>96657288</v>
      </c>
      <c r="AW99">
        <v>28.654399999999999</v>
      </c>
      <c r="AX99">
        <v>15.313800000000001</v>
      </c>
      <c r="AY99">
        <v>5304.17</v>
      </c>
      <c r="AZ99">
        <v>3615.74</v>
      </c>
      <c r="BA99">
        <v>2941</v>
      </c>
      <c r="BB99">
        <v>423</v>
      </c>
      <c r="BC99" t="str">
        <f t="shared" si="1"/>
        <v>u=40% k=2x10^7</v>
      </c>
    </row>
    <row r="100" spans="1:55">
      <c r="A100" t="s">
        <v>223</v>
      </c>
      <c r="B100" t="s">
        <v>83</v>
      </c>
      <c r="C100">
        <v>72</v>
      </c>
      <c r="D100" t="s">
        <v>64</v>
      </c>
      <c r="E100" t="s">
        <v>60</v>
      </c>
      <c r="F100" t="s">
        <v>61</v>
      </c>
      <c r="G100">
        <v>30000</v>
      </c>
      <c r="H100">
        <v>20</v>
      </c>
      <c r="I100">
        <v>20</v>
      </c>
      <c r="J100">
        <v>0</v>
      </c>
      <c r="K100">
        <v>1</v>
      </c>
      <c r="L100">
        <v>200000000</v>
      </c>
      <c r="M100">
        <v>190</v>
      </c>
      <c r="N100">
        <v>190</v>
      </c>
      <c r="O100">
        <v>190</v>
      </c>
      <c r="P100">
        <v>0</v>
      </c>
      <c r="Q100" t="s">
        <v>62</v>
      </c>
      <c r="R100">
        <v>9999324761765420</v>
      </c>
      <c r="S100">
        <v>99992642</v>
      </c>
      <c r="T100">
        <v>9999324761765420</v>
      </c>
      <c r="U100">
        <v>99992642</v>
      </c>
      <c r="V100" t="s">
        <v>71</v>
      </c>
      <c r="W100">
        <v>7</v>
      </c>
      <c r="X100">
        <v>12028928</v>
      </c>
      <c r="Y100">
        <v>112045033</v>
      </c>
      <c r="Z100">
        <v>124073961</v>
      </c>
      <c r="AA100">
        <v>99992642</v>
      </c>
      <c r="AB100">
        <v>10.3146</v>
      </c>
      <c r="AC100">
        <v>0.89243300000000003</v>
      </c>
      <c r="AD100">
        <v>1.8059099999999999</v>
      </c>
      <c r="AE100">
        <v>4.0206499999999998</v>
      </c>
      <c r="AF100">
        <v>2755328480</v>
      </c>
      <c r="AG100" t="s">
        <v>341</v>
      </c>
      <c r="AH100" t="s">
        <v>342</v>
      </c>
      <c r="AI100">
        <v>512594</v>
      </c>
      <c r="AJ100">
        <v>12772</v>
      </c>
      <c r="AK100">
        <v>1135121827884</v>
      </c>
      <c r="AL100">
        <v>5686949652599</v>
      </c>
      <c r="AM100">
        <v>1506378113</v>
      </c>
      <c r="AN100">
        <v>0</v>
      </c>
      <c r="AO100">
        <v>1004248829</v>
      </c>
      <c r="AP100">
        <v>1506378113</v>
      </c>
      <c r="AQ100">
        <v>2510626942</v>
      </c>
      <c r="AR100">
        <v>50212603</v>
      </c>
      <c r="AS100">
        <v>0</v>
      </c>
      <c r="AT100">
        <v>33474960</v>
      </c>
      <c r="AU100">
        <v>50212603</v>
      </c>
      <c r="AV100">
        <v>83687564</v>
      </c>
      <c r="AW100">
        <v>31.5078</v>
      </c>
      <c r="AX100">
        <v>17.622599999999998</v>
      </c>
      <c r="AY100">
        <v>5674.29</v>
      </c>
      <c r="AZ100">
        <v>4198.3</v>
      </c>
      <c r="BA100">
        <v>14388</v>
      </c>
      <c r="BB100">
        <v>1133</v>
      </c>
      <c r="BC100" t="str">
        <f t="shared" si="1"/>
        <v>u=40% k=2x10^8</v>
      </c>
    </row>
    <row r="101" spans="1:55">
      <c r="A101" t="s">
        <v>226</v>
      </c>
      <c r="B101" t="s">
        <v>83</v>
      </c>
      <c r="C101">
        <v>72</v>
      </c>
      <c r="D101" t="s">
        <v>64</v>
      </c>
      <c r="E101" t="s">
        <v>60</v>
      </c>
      <c r="F101" t="s">
        <v>61</v>
      </c>
      <c r="G101">
        <v>30000</v>
      </c>
      <c r="H101">
        <v>0.5</v>
      </c>
      <c r="I101">
        <v>0.5</v>
      </c>
      <c r="J101">
        <v>0</v>
      </c>
      <c r="K101">
        <v>1</v>
      </c>
      <c r="L101">
        <v>2000000</v>
      </c>
      <c r="M101">
        <v>190</v>
      </c>
      <c r="N101">
        <v>190</v>
      </c>
      <c r="O101">
        <v>190</v>
      </c>
      <c r="P101">
        <v>0</v>
      </c>
      <c r="Q101" t="s">
        <v>62</v>
      </c>
      <c r="R101">
        <v>999024926746</v>
      </c>
      <c r="S101">
        <v>998673</v>
      </c>
      <c r="T101">
        <v>999024926746</v>
      </c>
      <c r="U101">
        <v>998673</v>
      </c>
      <c r="V101" t="s">
        <v>71</v>
      </c>
      <c r="W101">
        <v>6</v>
      </c>
      <c r="X101">
        <v>54634</v>
      </c>
      <c r="Y101">
        <v>1074625</v>
      </c>
      <c r="Z101">
        <v>1129259</v>
      </c>
      <c r="AA101">
        <v>998673</v>
      </c>
      <c r="AB101">
        <v>20.669499999999999</v>
      </c>
      <c r="AC101">
        <v>0.92932199999999998</v>
      </c>
      <c r="AD101">
        <v>1.88436</v>
      </c>
      <c r="AE101">
        <v>3.0452400000000002</v>
      </c>
      <c r="AF101">
        <v>21586176</v>
      </c>
      <c r="AG101" t="s">
        <v>343</v>
      </c>
      <c r="AH101" t="s">
        <v>344</v>
      </c>
      <c r="AI101">
        <v>312124</v>
      </c>
      <c r="AJ101">
        <v>89700</v>
      </c>
      <c r="AK101">
        <v>118331925176</v>
      </c>
      <c r="AL101">
        <v>5686386379957</v>
      </c>
      <c r="AM101">
        <v>12855954850</v>
      </c>
      <c r="AN101">
        <v>0</v>
      </c>
      <c r="AO101">
        <v>129846220</v>
      </c>
      <c r="AP101">
        <v>12855954850</v>
      </c>
      <c r="AQ101">
        <v>12985801070</v>
      </c>
      <c r="AR101">
        <v>428531828</v>
      </c>
      <c r="AS101">
        <v>0</v>
      </c>
      <c r="AT101">
        <v>4328207</v>
      </c>
      <c r="AU101">
        <v>428531828</v>
      </c>
      <c r="AV101">
        <v>432860035</v>
      </c>
      <c r="AW101">
        <v>8.6643000000000008</v>
      </c>
      <c r="AX101">
        <v>0.415742</v>
      </c>
      <c r="AY101">
        <v>1201.5899999999999</v>
      </c>
      <c r="AZ101">
        <v>459.20600000000002</v>
      </c>
      <c r="BA101">
        <v>1425</v>
      </c>
      <c r="BB101">
        <v>439</v>
      </c>
      <c r="BC101" t="str">
        <f t="shared" si="1"/>
        <v>u=1% k=2x10^6</v>
      </c>
    </row>
    <row r="102" spans="1:55">
      <c r="A102" t="s">
        <v>229</v>
      </c>
      <c r="B102" t="s">
        <v>83</v>
      </c>
      <c r="C102">
        <v>72</v>
      </c>
      <c r="D102" t="s">
        <v>64</v>
      </c>
      <c r="E102" t="s">
        <v>60</v>
      </c>
      <c r="F102" t="s">
        <v>61</v>
      </c>
      <c r="G102">
        <v>30000</v>
      </c>
      <c r="H102">
        <v>0.5</v>
      </c>
      <c r="I102">
        <v>0.5</v>
      </c>
      <c r="J102">
        <v>0</v>
      </c>
      <c r="K102">
        <v>1</v>
      </c>
      <c r="L102">
        <v>20000000</v>
      </c>
      <c r="M102">
        <v>190</v>
      </c>
      <c r="N102">
        <v>190</v>
      </c>
      <c r="O102">
        <v>190</v>
      </c>
      <c r="P102">
        <v>0</v>
      </c>
      <c r="Q102" t="s">
        <v>62</v>
      </c>
      <c r="R102">
        <v>100017375333092</v>
      </c>
      <c r="S102">
        <v>10002346</v>
      </c>
      <c r="T102">
        <v>100017375333092</v>
      </c>
      <c r="U102">
        <v>10002346</v>
      </c>
      <c r="V102" t="s">
        <v>71</v>
      </c>
      <c r="W102">
        <v>7</v>
      </c>
      <c r="X102">
        <v>1716302</v>
      </c>
      <c r="Y102">
        <v>11626996</v>
      </c>
      <c r="Z102">
        <v>13343298</v>
      </c>
      <c r="AA102">
        <v>10002346</v>
      </c>
      <c r="AB102">
        <v>7.7744499999999999</v>
      </c>
      <c r="AC102">
        <v>0.86026899999999995</v>
      </c>
      <c r="AD102">
        <v>1.74962</v>
      </c>
      <c r="AE102">
        <v>4.0180999999999996</v>
      </c>
      <c r="AF102">
        <v>323336272</v>
      </c>
      <c r="AG102" t="s">
        <v>345</v>
      </c>
      <c r="AH102" t="s">
        <v>346</v>
      </c>
      <c r="AI102">
        <v>38541</v>
      </c>
      <c r="AJ102">
        <v>45566</v>
      </c>
      <c r="AK102">
        <v>97865868761</v>
      </c>
      <c r="AL102">
        <v>5686386909253</v>
      </c>
      <c r="AM102">
        <v>7465862096</v>
      </c>
      <c r="AN102">
        <v>0</v>
      </c>
      <c r="AO102">
        <v>75425349</v>
      </c>
      <c r="AP102">
        <v>7465862096</v>
      </c>
      <c r="AQ102">
        <v>7541287445</v>
      </c>
      <c r="AR102">
        <v>248862069</v>
      </c>
      <c r="AS102">
        <v>0</v>
      </c>
      <c r="AT102">
        <v>2514178</v>
      </c>
      <c r="AU102">
        <v>248862069</v>
      </c>
      <c r="AV102">
        <v>251376248</v>
      </c>
      <c r="AW102">
        <v>16.392099999999999</v>
      </c>
      <c r="AX102">
        <v>6.6518600000000001</v>
      </c>
      <c r="AY102">
        <v>2074.1799999999998</v>
      </c>
      <c r="AZ102">
        <v>1302.5999999999999</v>
      </c>
      <c r="BA102">
        <v>2771</v>
      </c>
      <c r="BB102">
        <v>386</v>
      </c>
      <c r="BC102" t="str">
        <f t="shared" si="1"/>
        <v>u=1% k=2x10^7</v>
      </c>
    </row>
    <row r="103" spans="1:55">
      <c r="A103" t="s">
        <v>232</v>
      </c>
      <c r="B103" t="s">
        <v>83</v>
      </c>
      <c r="C103">
        <v>72</v>
      </c>
      <c r="D103" t="s">
        <v>64</v>
      </c>
      <c r="E103" t="s">
        <v>60</v>
      </c>
      <c r="F103" t="s">
        <v>61</v>
      </c>
      <c r="G103">
        <v>30000</v>
      </c>
      <c r="H103">
        <v>0.5</v>
      </c>
      <c r="I103">
        <v>0.5</v>
      </c>
      <c r="J103">
        <v>0</v>
      </c>
      <c r="K103">
        <v>1</v>
      </c>
      <c r="L103">
        <v>200000000</v>
      </c>
      <c r="M103">
        <v>190</v>
      </c>
      <c r="N103">
        <v>190</v>
      </c>
      <c r="O103">
        <v>190</v>
      </c>
      <c r="P103">
        <v>0</v>
      </c>
      <c r="Q103" t="s">
        <v>62</v>
      </c>
      <c r="R103">
        <v>1.00004008016568E+16</v>
      </c>
      <c r="S103">
        <v>99998589</v>
      </c>
      <c r="T103">
        <v>1.00004008016568E+16</v>
      </c>
      <c r="U103">
        <v>99998589</v>
      </c>
      <c r="V103" t="s">
        <v>71</v>
      </c>
      <c r="W103">
        <v>7</v>
      </c>
      <c r="X103">
        <v>12593131</v>
      </c>
      <c r="Y103">
        <v>113201041</v>
      </c>
      <c r="Z103">
        <v>125794172</v>
      </c>
      <c r="AA103">
        <v>99998589</v>
      </c>
      <c r="AB103">
        <v>9.9891100000000002</v>
      </c>
      <c r="AC103">
        <v>0.88337200000000005</v>
      </c>
      <c r="AD103">
        <v>1.79494</v>
      </c>
      <c r="AE103">
        <v>4.0322699999999996</v>
      </c>
      <c r="AF103">
        <v>2819344768</v>
      </c>
      <c r="AG103" t="s">
        <v>347</v>
      </c>
      <c r="AH103" t="s">
        <v>348</v>
      </c>
      <c r="AI103">
        <v>4472</v>
      </c>
      <c r="AJ103">
        <v>32876</v>
      </c>
      <c r="AK103">
        <v>117444434831</v>
      </c>
      <c r="AL103">
        <v>5686386559499</v>
      </c>
      <c r="AM103">
        <v>5641463688</v>
      </c>
      <c r="AN103">
        <v>0</v>
      </c>
      <c r="AO103">
        <v>56983148</v>
      </c>
      <c r="AP103">
        <v>5641463688</v>
      </c>
      <c r="AQ103">
        <v>5698446836</v>
      </c>
      <c r="AR103">
        <v>188048789</v>
      </c>
      <c r="AS103">
        <v>0</v>
      </c>
      <c r="AT103">
        <v>1899438</v>
      </c>
      <c r="AU103">
        <v>188048789</v>
      </c>
      <c r="AV103">
        <v>189948227</v>
      </c>
      <c r="AW103">
        <v>19.508099999999999</v>
      </c>
      <c r="AX103">
        <v>9.5819799999999997</v>
      </c>
      <c r="AY103">
        <v>2725.79</v>
      </c>
      <c r="AZ103">
        <v>1969.93</v>
      </c>
      <c r="BA103">
        <v>13340</v>
      </c>
      <c r="BB103">
        <v>1059</v>
      </c>
      <c r="BC103" t="str">
        <f t="shared" si="1"/>
        <v>u=1% k=2x10^8</v>
      </c>
    </row>
    <row r="104" spans="1:55">
      <c r="A104" t="s">
        <v>235</v>
      </c>
      <c r="B104" t="s">
        <v>83</v>
      </c>
      <c r="C104">
        <v>72</v>
      </c>
      <c r="D104" t="s">
        <v>64</v>
      </c>
      <c r="E104" t="s">
        <v>60</v>
      </c>
      <c r="F104" t="s">
        <v>61</v>
      </c>
      <c r="G104">
        <v>30000</v>
      </c>
      <c r="H104">
        <v>5</v>
      </c>
      <c r="I104">
        <v>5</v>
      </c>
      <c r="J104">
        <v>0</v>
      </c>
      <c r="K104">
        <v>1</v>
      </c>
      <c r="L104">
        <v>2000000</v>
      </c>
      <c r="M104">
        <v>190</v>
      </c>
      <c r="N104">
        <v>190</v>
      </c>
      <c r="O104">
        <v>190</v>
      </c>
      <c r="P104">
        <v>0</v>
      </c>
      <c r="Q104" t="s">
        <v>62</v>
      </c>
      <c r="R104">
        <v>998923030868</v>
      </c>
      <c r="S104">
        <v>998936</v>
      </c>
      <c r="T104">
        <v>998923030868</v>
      </c>
      <c r="U104">
        <v>998936</v>
      </c>
      <c r="V104" t="s">
        <v>71</v>
      </c>
      <c r="W104">
        <v>6</v>
      </c>
      <c r="X104">
        <v>55088</v>
      </c>
      <c r="Y104">
        <v>1076040</v>
      </c>
      <c r="Z104">
        <v>1131128</v>
      </c>
      <c r="AA104">
        <v>998936</v>
      </c>
      <c r="AB104">
        <v>20.533100000000001</v>
      </c>
      <c r="AC104">
        <v>0.92834499999999998</v>
      </c>
      <c r="AD104">
        <v>1.88313</v>
      </c>
      <c r="AE104">
        <v>3.0462699999999998</v>
      </c>
      <c r="AF104">
        <v>21646464</v>
      </c>
      <c r="AG104" t="s">
        <v>349</v>
      </c>
      <c r="AH104" t="s">
        <v>350</v>
      </c>
      <c r="AI104">
        <v>8053467</v>
      </c>
      <c r="AJ104">
        <v>49836</v>
      </c>
      <c r="AK104">
        <v>880568791690</v>
      </c>
      <c r="AL104">
        <v>5686387369666</v>
      </c>
      <c r="AM104">
        <v>6597014740</v>
      </c>
      <c r="AN104">
        <v>0</v>
      </c>
      <c r="AO104">
        <v>733007565</v>
      </c>
      <c r="AP104">
        <v>6597014740</v>
      </c>
      <c r="AQ104">
        <v>7330022305</v>
      </c>
      <c r="AR104">
        <v>219900491</v>
      </c>
      <c r="AS104">
        <v>0</v>
      </c>
      <c r="AT104">
        <v>24433585</v>
      </c>
      <c r="AU104">
        <v>219900491</v>
      </c>
      <c r="AV104">
        <v>244334076</v>
      </c>
      <c r="AW104">
        <v>12.371</v>
      </c>
      <c r="AX104">
        <v>3.1550099999999999</v>
      </c>
      <c r="AY104">
        <v>2152.02</v>
      </c>
      <c r="AZ104">
        <v>1315.16</v>
      </c>
      <c r="BA104">
        <v>1610</v>
      </c>
      <c r="BB104">
        <v>365</v>
      </c>
      <c r="BC104" t="str">
        <f t="shared" si="1"/>
        <v>u=10% k=2x10^6</v>
      </c>
    </row>
    <row r="105" spans="1:55">
      <c r="A105" t="s">
        <v>238</v>
      </c>
      <c r="B105" t="s">
        <v>83</v>
      </c>
      <c r="C105">
        <v>72</v>
      </c>
      <c r="D105" t="s">
        <v>64</v>
      </c>
      <c r="E105" t="s">
        <v>60</v>
      </c>
      <c r="F105" t="s">
        <v>61</v>
      </c>
      <c r="G105">
        <v>30000</v>
      </c>
      <c r="H105">
        <v>5</v>
      </c>
      <c r="I105">
        <v>5</v>
      </c>
      <c r="J105">
        <v>0</v>
      </c>
      <c r="K105">
        <v>1</v>
      </c>
      <c r="L105">
        <v>20000000</v>
      </c>
      <c r="M105">
        <v>190</v>
      </c>
      <c r="N105">
        <v>190</v>
      </c>
      <c r="O105">
        <v>190</v>
      </c>
      <c r="P105">
        <v>0</v>
      </c>
      <c r="Q105" t="s">
        <v>62</v>
      </c>
      <c r="R105">
        <v>99977721159029</v>
      </c>
      <c r="S105">
        <v>9998583</v>
      </c>
      <c r="T105">
        <v>99977721159029</v>
      </c>
      <c r="U105">
        <v>9998583</v>
      </c>
      <c r="V105" t="s">
        <v>71</v>
      </c>
      <c r="W105">
        <v>7</v>
      </c>
      <c r="X105">
        <v>1792939</v>
      </c>
      <c r="Y105">
        <v>11787550</v>
      </c>
      <c r="Z105">
        <v>13580489</v>
      </c>
      <c r="AA105">
        <v>9998583</v>
      </c>
      <c r="AB105">
        <v>7.5744300000000004</v>
      </c>
      <c r="AC105">
        <v>0.84823199999999999</v>
      </c>
      <c r="AD105">
        <v>1.7362500000000001</v>
      </c>
      <c r="AE105">
        <v>4.0342799999999999</v>
      </c>
      <c r="AF105">
        <v>332039760</v>
      </c>
      <c r="AG105" t="s">
        <v>351</v>
      </c>
      <c r="AH105" t="s">
        <v>352</v>
      </c>
      <c r="AI105">
        <v>838387</v>
      </c>
      <c r="AJ105">
        <v>36092</v>
      </c>
      <c r="AK105">
        <v>552140945817</v>
      </c>
      <c r="AL105">
        <v>5686386711750</v>
      </c>
      <c r="AM105">
        <v>4945860864</v>
      </c>
      <c r="AN105">
        <v>0</v>
      </c>
      <c r="AO105">
        <v>549566970</v>
      </c>
      <c r="AP105">
        <v>4945860864</v>
      </c>
      <c r="AQ105">
        <v>5495427834</v>
      </c>
      <c r="AR105">
        <v>164862028</v>
      </c>
      <c r="AS105">
        <v>0</v>
      </c>
      <c r="AT105">
        <v>18318899</v>
      </c>
      <c r="AU105">
        <v>164862028</v>
      </c>
      <c r="AV105">
        <v>183180927</v>
      </c>
      <c r="AW105">
        <v>19.2407</v>
      </c>
      <c r="AX105">
        <v>8.5551700000000004</v>
      </c>
      <c r="AY105">
        <v>2827.34</v>
      </c>
      <c r="AZ105">
        <v>1893.51</v>
      </c>
      <c r="BA105">
        <v>2870</v>
      </c>
      <c r="BB105">
        <v>443</v>
      </c>
      <c r="BC105" t="str">
        <f t="shared" si="1"/>
        <v>u=10% k=2x10^7</v>
      </c>
    </row>
    <row r="106" spans="1:55">
      <c r="A106" t="s">
        <v>241</v>
      </c>
      <c r="B106" t="s">
        <v>83</v>
      </c>
      <c r="C106">
        <v>72</v>
      </c>
      <c r="D106" t="s">
        <v>64</v>
      </c>
      <c r="E106" t="s">
        <v>60</v>
      </c>
      <c r="F106" t="s">
        <v>61</v>
      </c>
      <c r="G106">
        <v>30000</v>
      </c>
      <c r="H106">
        <v>5</v>
      </c>
      <c r="I106">
        <v>5</v>
      </c>
      <c r="J106">
        <v>0</v>
      </c>
      <c r="K106">
        <v>1</v>
      </c>
      <c r="L106">
        <v>200000000</v>
      </c>
      <c r="M106">
        <v>190</v>
      </c>
      <c r="N106">
        <v>190</v>
      </c>
      <c r="O106">
        <v>190</v>
      </c>
      <c r="P106">
        <v>0</v>
      </c>
      <c r="Q106" t="s">
        <v>62</v>
      </c>
      <c r="R106">
        <v>1.00001089189206E+16</v>
      </c>
      <c r="S106">
        <v>100003262</v>
      </c>
      <c r="T106">
        <v>1.00001089189206E+16</v>
      </c>
      <c r="U106">
        <v>100003262</v>
      </c>
      <c r="V106" t="s">
        <v>71</v>
      </c>
      <c r="W106">
        <v>7</v>
      </c>
      <c r="X106">
        <v>14846813</v>
      </c>
      <c r="Y106">
        <v>118018787</v>
      </c>
      <c r="Z106">
        <v>132865600</v>
      </c>
      <c r="AA106">
        <v>100003262</v>
      </c>
      <c r="AB106">
        <v>8.9490999999999996</v>
      </c>
      <c r="AC106">
        <v>0.84735000000000005</v>
      </c>
      <c r="AD106">
        <v>1.7526600000000001</v>
      </c>
      <c r="AE106">
        <v>4.0800999999999998</v>
      </c>
      <c r="AF106">
        <v>3079915344</v>
      </c>
      <c r="AG106" t="s">
        <v>353</v>
      </c>
      <c r="AH106" t="s">
        <v>354</v>
      </c>
      <c r="AI106">
        <v>131493</v>
      </c>
      <c r="AJ106">
        <v>19106</v>
      </c>
      <c r="AK106">
        <v>570926884296</v>
      </c>
      <c r="AL106">
        <v>5686587056308</v>
      </c>
      <c r="AM106">
        <v>3845622441</v>
      </c>
      <c r="AN106">
        <v>0</v>
      </c>
      <c r="AO106">
        <v>427317711</v>
      </c>
      <c r="AP106">
        <v>3845622441</v>
      </c>
      <c r="AQ106">
        <v>4272940152</v>
      </c>
      <c r="AR106">
        <v>128187414</v>
      </c>
      <c r="AS106">
        <v>0</v>
      </c>
      <c r="AT106">
        <v>14243923</v>
      </c>
      <c r="AU106">
        <v>128187414</v>
      </c>
      <c r="AV106">
        <v>142431338</v>
      </c>
      <c r="AW106">
        <v>22.206</v>
      </c>
      <c r="AX106">
        <v>11.2841</v>
      </c>
      <c r="AY106">
        <v>3436.22</v>
      </c>
      <c r="AZ106">
        <v>2552.17</v>
      </c>
      <c r="BA106">
        <v>14269</v>
      </c>
      <c r="BB106">
        <v>1163</v>
      </c>
      <c r="BC106" t="str">
        <f t="shared" si="1"/>
        <v>u=10% k=2x10^8</v>
      </c>
    </row>
    <row r="107" spans="1:55">
      <c r="A107" t="s">
        <v>244</v>
      </c>
      <c r="B107" t="s">
        <v>83</v>
      </c>
      <c r="C107">
        <v>72</v>
      </c>
      <c r="D107" t="s">
        <v>64</v>
      </c>
      <c r="E107" t="s">
        <v>60</v>
      </c>
      <c r="F107" t="s">
        <v>61</v>
      </c>
      <c r="G107">
        <v>30000</v>
      </c>
      <c r="H107">
        <v>20</v>
      </c>
      <c r="I107">
        <v>20</v>
      </c>
      <c r="J107">
        <v>0</v>
      </c>
      <c r="K107">
        <v>1</v>
      </c>
      <c r="L107">
        <v>2000000</v>
      </c>
      <c r="M107">
        <v>190</v>
      </c>
      <c r="N107">
        <v>190</v>
      </c>
      <c r="O107">
        <v>190</v>
      </c>
      <c r="P107">
        <v>0</v>
      </c>
      <c r="Q107" t="s">
        <v>62</v>
      </c>
      <c r="R107">
        <v>999629101112</v>
      </c>
      <c r="S107">
        <v>1000014</v>
      </c>
      <c r="T107">
        <v>999629101112</v>
      </c>
      <c r="U107">
        <v>1000014</v>
      </c>
      <c r="V107" t="s">
        <v>71</v>
      </c>
      <c r="W107">
        <v>6</v>
      </c>
      <c r="X107">
        <v>49043</v>
      </c>
      <c r="Y107">
        <v>1064271</v>
      </c>
      <c r="Z107">
        <v>1113314</v>
      </c>
      <c r="AA107">
        <v>1000014</v>
      </c>
      <c r="AB107">
        <v>22.700800000000001</v>
      </c>
      <c r="AC107">
        <v>0.93962299999999999</v>
      </c>
      <c r="AD107">
        <v>1.8982300000000001</v>
      </c>
      <c r="AE107">
        <v>3.03288</v>
      </c>
      <c r="AF107">
        <v>20959984</v>
      </c>
      <c r="AG107" t="s">
        <v>355</v>
      </c>
      <c r="AH107" t="s">
        <v>356</v>
      </c>
      <c r="AI107">
        <v>24790846</v>
      </c>
      <c r="AJ107">
        <v>21010</v>
      </c>
      <c r="AK107">
        <v>1790532704091</v>
      </c>
      <c r="AL107">
        <v>5686386919518</v>
      </c>
      <c r="AM107">
        <v>1746199504</v>
      </c>
      <c r="AN107">
        <v>0</v>
      </c>
      <c r="AO107">
        <v>1164119552</v>
      </c>
      <c r="AP107">
        <v>1746199504</v>
      </c>
      <c r="AQ107">
        <v>2910319056</v>
      </c>
      <c r="AR107">
        <v>58206650</v>
      </c>
      <c r="AS107">
        <v>0</v>
      </c>
      <c r="AT107">
        <v>38803985</v>
      </c>
      <c r="AU107">
        <v>58206650</v>
      </c>
      <c r="AV107">
        <v>97010635</v>
      </c>
      <c r="AW107">
        <v>25.026299999999999</v>
      </c>
      <c r="AX107">
        <v>11.9655</v>
      </c>
      <c r="AY107">
        <v>5449.01</v>
      </c>
      <c r="AZ107">
        <v>4149.25</v>
      </c>
      <c r="BA107">
        <v>1755</v>
      </c>
      <c r="BB107">
        <v>349</v>
      </c>
      <c r="BC107" t="str">
        <f t="shared" si="1"/>
        <v>u=40% k=2x10^6</v>
      </c>
    </row>
    <row r="108" spans="1:55">
      <c r="A108" t="s">
        <v>247</v>
      </c>
      <c r="B108" t="s">
        <v>83</v>
      </c>
      <c r="C108">
        <v>72</v>
      </c>
      <c r="D108" t="s">
        <v>64</v>
      </c>
      <c r="E108" t="s">
        <v>60</v>
      </c>
      <c r="F108" t="s">
        <v>61</v>
      </c>
      <c r="G108">
        <v>30000</v>
      </c>
      <c r="H108">
        <v>20</v>
      </c>
      <c r="I108">
        <v>20</v>
      </c>
      <c r="J108">
        <v>0</v>
      </c>
      <c r="K108">
        <v>1</v>
      </c>
      <c r="L108">
        <v>20000000</v>
      </c>
      <c r="M108">
        <v>190</v>
      </c>
      <c r="N108">
        <v>190</v>
      </c>
      <c r="O108">
        <v>190</v>
      </c>
      <c r="P108">
        <v>0</v>
      </c>
      <c r="Q108" t="s">
        <v>62</v>
      </c>
      <c r="R108">
        <v>100000772885432</v>
      </c>
      <c r="S108">
        <v>10001193</v>
      </c>
      <c r="T108">
        <v>100000772885432</v>
      </c>
      <c r="U108">
        <v>10001193</v>
      </c>
      <c r="V108" t="s">
        <v>71</v>
      </c>
      <c r="W108">
        <v>7</v>
      </c>
      <c r="X108">
        <v>1901518</v>
      </c>
      <c r="Y108">
        <v>12023926</v>
      </c>
      <c r="Z108">
        <v>13925444</v>
      </c>
      <c r="AA108">
        <v>10001193</v>
      </c>
      <c r="AB108">
        <v>7.3233300000000003</v>
      </c>
      <c r="AC108">
        <v>0.83177400000000001</v>
      </c>
      <c r="AD108">
        <v>1.7181999999999999</v>
      </c>
      <c r="AE108">
        <v>4.0551000000000004</v>
      </c>
      <c r="AF108">
        <v>344537968</v>
      </c>
      <c r="AG108" t="s">
        <v>357</v>
      </c>
      <c r="AH108" t="s">
        <v>358</v>
      </c>
      <c r="AI108">
        <v>2961810</v>
      </c>
      <c r="AJ108">
        <v>22142</v>
      </c>
      <c r="AK108">
        <v>1163580053927</v>
      </c>
      <c r="AL108">
        <v>5686388705113</v>
      </c>
      <c r="AM108">
        <v>1744035020</v>
      </c>
      <c r="AN108">
        <v>0</v>
      </c>
      <c r="AO108">
        <v>1162706858</v>
      </c>
      <c r="AP108">
        <v>1744035020</v>
      </c>
      <c r="AQ108">
        <v>2906741878</v>
      </c>
      <c r="AR108">
        <v>58134500</v>
      </c>
      <c r="AS108">
        <v>0</v>
      </c>
      <c r="AT108">
        <v>38756895</v>
      </c>
      <c r="AU108">
        <v>58134500</v>
      </c>
      <c r="AV108">
        <v>96891395</v>
      </c>
      <c r="AW108">
        <v>28.6082</v>
      </c>
      <c r="AX108">
        <v>15.304600000000001</v>
      </c>
      <c r="AY108">
        <v>5287.49</v>
      </c>
      <c r="AZ108">
        <v>3609.25</v>
      </c>
      <c r="BA108">
        <v>2938</v>
      </c>
      <c r="BB108">
        <v>433</v>
      </c>
      <c r="BC108" t="str">
        <f t="shared" si="1"/>
        <v>u=40% k=2x10^7</v>
      </c>
    </row>
    <row r="109" spans="1:55">
      <c r="A109" t="s">
        <v>250</v>
      </c>
      <c r="B109" t="s">
        <v>83</v>
      </c>
      <c r="C109">
        <v>72</v>
      </c>
      <c r="D109" t="s">
        <v>64</v>
      </c>
      <c r="E109" t="s">
        <v>60</v>
      </c>
      <c r="F109" t="s">
        <v>61</v>
      </c>
      <c r="G109">
        <v>30000</v>
      </c>
      <c r="H109">
        <v>20</v>
      </c>
      <c r="I109">
        <v>20</v>
      </c>
      <c r="J109">
        <v>0</v>
      </c>
      <c r="K109">
        <v>1</v>
      </c>
      <c r="L109">
        <v>200000000</v>
      </c>
      <c r="M109">
        <v>190</v>
      </c>
      <c r="N109">
        <v>190</v>
      </c>
      <c r="O109">
        <v>190</v>
      </c>
      <c r="P109">
        <v>0</v>
      </c>
      <c r="Q109" t="s">
        <v>62</v>
      </c>
      <c r="R109">
        <v>9999667285613670</v>
      </c>
      <c r="S109">
        <v>99996202</v>
      </c>
      <c r="T109">
        <v>9999667285613670</v>
      </c>
      <c r="U109">
        <v>99996202</v>
      </c>
      <c r="V109" t="s">
        <v>71</v>
      </c>
      <c r="W109">
        <v>7</v>
      </c>
      <c r="X109">
        <v>11152663</v>
      </c>
      <c r="Y109">
        <v>110281723</v>
      </c>
      <c r="Z109">
        <v>121434386</v>
      </c>
      <c r="AA109">
        <v>99996202</v>
      </c>
      <c r="AB109">
        <v>10.888400000000001</v>
      </c>
      <c r="AC109">
        <v>0.90673400000000004</v>
      </c>
      <c r="AD109">
        <v>1.8234600000000001</v>
      </c>
      <c r="AE109">
        <v>4.0028600000000001</v>
      </c>
      <c r="AF109">
        <v>2656727136</v>
      </c>
      <c r="AG109" t="s">
        <v>359</v>
      </c>
      <c r="AH109" t="s">
        <v>360</v>
      </c>
      <c r="AI109">
        <v>513394</v>
      </c>
      <c r="AJ109">
        <v>12820</v>
      </c>
      <c r="AK109">
        <v>1150559081042</v>
      </c>
      <c r="AL109">
        <v>5689744721127</v>
      </c>
      <c r="AM109">
        <v>1500850158</v>
      </c>
      <c r="AN109">
        <v>0</v>
      </c>
      <c r="AO109">
        <v>1000531533</v>
      </c>
      <c r="AP109">
        <v>1500850158</v>
      </c>
      <c r="AQ109">
        <v>2501381691</v>
      </c>
      <c r="AR109">
        <v>50028338</v>
      </c>
      <c r="AS109">
        <v>0</v>
      </c>
      <c r="AT109">
        <v>33351051</v>
      </c>
      <c r="AU109">
        <v>50028338</v>
      </c>
      <c r="AV109">
        <v>83379389</v>
      </c>
      <c r="AW109">
        <v>31.558399999999999</v>
      </c>
      <c r="AX109">
        <v>17.658899999999999</v>
      </c>
      <c r="AY109">
        <v>5688.15</v>
      </c>
      <c r="AZ109">
        <v>4206.2299999999996</v>
      </c>
      <c r="BA109">
        <v>14405</v>
      </c>
      <c r="BB109">
        <v>1093</v>
      </c>
      <c r="BC109" t="str">
        <f t="shared" si="1"/>
        <v>u=40% k=2x10^8</v>
      </c>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9"/>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c r="AA2" t="s">
        <v>66</v>
      </c>
    </row>
    <row r="3" spans="1:27">
      <c r="Z3" s="2"/>
    </row>
    <row r="4" spans="1:27">
      <c r="A4" s="6" t="s">
        <v>63</v>
      </c>
      <c r="B4" s="6" t="s">
        <v>18</v>
      </c>
      <c r="Z4" s="2"/>
    </row>
    <row r="5" spans="1:27">
      <c r="A5" s="6" t="s">
        <v>19</v>
      </c>
      <c r="B5" t="s">
        <v>82</v>
      </c>
      <c r="C5" t="s">
        <v>83</v>
      </c>
      <c r="Z5" s="2"/>
    </row>
    <row r="6" spans="1:27">
      <c r="A6" s="7" t="s">
        <v>84</v>
      </c>
      <c r="B6" s="8">
        <v>15732866.833333334</v>
      </c>
      <c r="C6" s="8">
        <v>83437527.666666672</v>
      </c>
      <c r="N6" s="2"/>
    </row>
    <row r="7" spans="1:27">
      <c r="A7" s="7" t="s">
        <v>85</v>
      </c>
      <c r="B7" s="8">
        <v>15613780.333333334</v>
      </c>
      <c r="C7" s="8">
        <v>96688353</v>
      </c>
    </row>
    <row r="8" spans="1:27">
      <c r="A8" s="7" t="s">
        <v>86</v>
      </c>
      <c r="B8" s="8">
        <v>15067038</v>
      </c>
      <c r="C8" s="8">
        <v>96739858.833333328</v>
      </c>
      <c r="N8" s="2"/>
    </row>
    <row r="9" spans="1:27">
      <c r="A9" s="7" t="s">
        <v>87</v>
      </c>
      <c r="B9" s="8">
        <v>39070557.833333336</v>
      </c>
      <c r="C9" s="8">
        <v>142419295.66666666</v>
      </c>
    </row>
    <row r="10" spans="1:27">
      <c r="A10" s="7" t="s">
        <v>88</v>
      </c>
      <c r="B10" s="8">
        <v>37784829.666666664</v>
      </c>
      <c r="C10" s="8">
        <v>183250838.33333334</v>
      </c>
    </row>
    <row r="11" spans="1:27">
      <c r="A11" s="7" t="s">
        <v>89</v>
      </c>
      <c r="B11" s="8">
        <v>36975557.833333336</v>
      </c>
      <c r="C11" s="8">
        <v>244546823.83333334</v>
      </c>
    </row>
    <row r="12" spans="1:27">
      <c r="A12" s="7" t="s">
        <v>90</v>
      </c>
      <c r="B12" s="8">
        <v>132086282</v>
      </c>
      <c r="C12" s="8">
        <v>189844834.83333334</v>
      </c>
    </row>
    <row r="13" spans="1:27">
      <c r="A13" s="7" t="s">
        <v>91</v>
      </c>
      <c r="B13" s="8">
        <v>140740204.83333334</v>
      </c>
      <c r="C13" s="8">
        <v>250840283.66666666</v>
      </c>
      <c r="O13" s="3"/>
    </row>
    <row r="14" spans="1:27">
      <c r="A14" s="7" t="s">
        <v>92</v>
      </c>
      <c r="B14" s="8">
        <v>162177365.66666666</v>
      </c>
      <c r="C14" s="8">
        <v>433180266.83333331</v>
      </c>
      <c r="Z14" s="2"/>
    </row>
    <row r="20" spans="1:6">
      <c r="B20" t="s">
        <v>253</v>
      </c>
      <c r="C20" t="s">
        <v>254</v>
      </c>
    </row>
    <row r="21" spans="1:6">
      <c r="A21" t="str">
        <f>A6</f>
        <v>u=40% k=2x10^8</v>
      </c>
      <c r="B21" s="8">
        <f t="shared" ref="B21:C21" si="0">B6</f>
        <v>15732866.833333334</v>
      </c>
      <c r="C21" s="8">
        <f t="shared" si="0"/>
        <v>83437527.666666672</v>
      </c>
      <c r="D21" s="8"/>
      <c r="E21" s="8"/>
      <c r="F21" s="8"/>
    </row>
    <row r="22" spans="1:6">
      <c r="A22" t="str">
        <f t="shared" ref="A22:C25" si="1">A7</f>
        <v>u=40% k=2x10^7</v>
      </c>
      <c r="B22" s="8">
        <f t="shared" ref="B22:C22" si="2">B7</f>
        <v>15613780.333333334</v>
      </c>
      <c r="C22" s="8">
        <f t="shared" si="2"/>
        <v>96688353</v>
      </c>
      <c r="D22" s="8"/>
      <c r="E22" s="8"/>
      <c r="F22" s="8"/>
    </row>
    <row r="23" spans="1:6">
      <c r="A23" t="str">
        <f t="shared" si="1"/>
        <v>u=40% k=2x10^6</v>
      </c>
      <c r="B23" s="8">
        <f t="shared" ref="B23:C23" si="3">B8</f>
        <v>15067038</v>
      </c>
      <c r="C23" s="8">
        <f t="shared" si="3"/>
        <v>96739858.833333328</v>
      </c>
      <c r="D23" s="8"/>
      <c r="E23" s="8"/>
      <c r="F23" s="8"/>
    </row>
    <row r="24" spans="1:6">
      <c r="A24" t="str">
        <f t="shared" si="1"/>
        <v>u=10% k=2x10^8</v>
      </c>
      <c r="B24" s="8">
        <f t="shared" si="1"/>
        <v>39070557.833333336</v>
      </c>
      <c r="C24" s="8">
        <f t="shared" si="1"/>
        <v>142419295.66666666</v>
      </c>
      <c r="D24" s="8"/>
      <c r="E24" s="8"/>
      <c r="F24" s="8"/>
    </row>
    <row r="25" spans="1:6">
      <c r="A25" t="str">
        <f t="shared" si="1"/>
        <v>u=10% k=2x10^7</v>
      </c>
      <c r="B25" s="8">
        <f t="shared" si="1"/>
        <v>37784829.666666664</v>
      </c>
      <c r="C25" s="8">
        <f t="shared" si="1"/>
        <v>183250838.33333334</v>
      </c>
      <c r="D25" s="8"/>
      <c r="E25" s="8"/>
      <c r="F25" s="8"/>
    </row>
    <row r="26" spans="1:6">
      <c r="A26" t="str">
        <f t="shared" ref="A26:C26" si="4">A11</f>
        <v>u=10% k=2x10^6</v>
      </c>
      <c r="B26" s="8">
        <f t="shared" si="4"/>
        <v>36975557.833333336</v>
      </c>
      <c r="C26" s="8">
        <f t="shared" si="4"/>
        <v>244546823.83333334</v>
      </c>
      <c r="D26" s="8"/>
    </row>
    <row r="27" spans="1:6">
      <c r="A27" t="str">
        <f t="shared" ref="A27:C27" si="5">A12</f>
        <v>u=1% k=2x10^8</v>
      </c>
      <c r="B27" s="8">
        <f t="shared" si="5"/>
        <v>132086282</v>
      </c>
      <c r="C27" s="8">
        <f t="shared" si="5"/>
        <v>189844834.83333334</v>
      </c>
      <c r="D27" s="8"/>
    </row>
    <row r="28" spans="1:6">
      <c r="A28" t="str">
        <f t="shared" ref="A28:C28" si="6">A13</f>
        <v>u=1% k=2x10^7</v>
      </c>
      <c r="B28" s="8">
        <f t="shared" si="6"/>
        <v>140740204.83333334</v>
      </c>
      <c r="C28" s="8">
        <f t="shared" si="6"/>
        <v>250840283.66666666</v>
      </c>
      <c r="D28" s="8"/>
    </row>
    <row r="29" spans="1:6">
      <c r="A29" t="str">
        <f t="shared" ref="A29:C29" si="7">A14</f>
        <v>u=1% k=2x10^6</v>
      </c>
      <c r="B29" s="8">
        <f t="shared" si="7"/>
        <v>162177365.66666666</v>
      </c>
      <c r="C29" s="8">
        <f t="shared" si="7"/>
        <v>433180266.83333331</v>
      </c>
      <c r="D29" s="8"/>
    </row>
    <row r="30" spans="1:6">
      <c r="B30" s="8"/>
      <c r="C30" s="8"/>
      <c r="D30" s="8"/>
    </row>
    <row r="31" spans="1:6">
      <c r="B31" s="8"/>
      <c r="C31" s="8"/>
      <c r="D31" s="8"/>
    </row>
    <row r="32" spans="1:6">
      <c r="B32" s="8"/>
      <c r="C32" s="8"/>
      <c r="D32" s="8"/>
    </row>
    <row r="33" spans="2:4">
      <c r="B33" s="8"/>
      <c r="C33" s="8"/>
      <c r="D33" s="8"/>
    </row>
    <row r="34" spans="2:4">
      <c r="B34" s="8"/>
      <c r="C34" s="8"/>
      <c r="D34" s="8"/>
    </row>
    <row r="35" spans="2:4">
      <c r="B35" s="8"/>
      <c r="C35" s="8"/>
      <c r="D35" s="8"/>
    </row>
    <row r="36" spans="2:4">
      <c r="B36" s="8"/>
      <c r="C36" s="8"/>
      <c r="D36" s="8"/>
    </row>
    <row r="37" spans="2:4">
      <c r="B37" s="8"/>
      <c r="C37" s="8"/>
      <c r="D37" s="8"/>
    </row>
    <row r="38" spans="2:4">
      <c r="B38" s="8"/>
      <c r="C38" s="8"/>
      <c r="D38" s="8"/>
    </row>
    <row r="39" spans="2:4">
      <c r="B39" s="8"/>
      <c r="C39" s="8"/>
      <c r="D39" s="8"/>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data</vt:lpstr>
      <vt:lpstr>pivot</vt:lpstr>
      <vt:lpstr>data!ExternalData_11</vt:lpstr>
      <vt:lpstr>data!ExternalData_12</vt:lpstr>
      <vt:lpstr>data!ExternalData_13</vt:lpstr>
      <vt:lpstr>data!ExternalData_14</vt:lpstr>
      <vt:lpstr>data!ExternalData_15</vt:lpstr>
      <vt:lpstr>data!ExternalData_16</vt:lpstr>
      <vt:lpstr>data!ExternalData_17</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2019-06-06T18:23:42Z</dcterms:modified>
</cp:coreProperties>
</file>