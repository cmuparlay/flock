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01" codeName="{0111311B-0956-48F4-D2DB-CD56BCBECE7C}"/>
  <workbookPr codeName="ThisWorkbook"/>
  <mc:AlternateContent xmlns:mc="http://schemas.openxmlformats.org/markup-compatibility/2006">
    <mc:Choice Requires="x15">
      <x15ac:absPath xmlns:x15ac="http://schemas.microsoft.com/office/spreadsheetml/2010/11/ac" url="C:\OneDrive\synced-documents\bitbucket\gitlab_setbench\microbench\experiments\istree_exp9_zipf\"/>
    </mc:Choice>
  </mc:AlternateContent>
  <xr:revisionPtr revIDLastSave="0" documentId="13_ncr:1_{40C09041-7DB4-47CF-8D94-41A6EA377B6C}" xr6:coauthVersionLast="43" xr6:coauthVersionMax="43" xr10:uidLastSave="{00000000-0000-0000-0000-000000000000}"/>
  <bookViews>
    <workbookView xWindow="3694" yWindow="1337" windowWidth="27069" windowHeight="15240" activeTab="4" xr2:uid="{00000000-000D-0000-FFFF-FFFF00000000}"/>
  </bookViews>
  <sheets>
    <sheet name="instructions" sheetId="3" r:id="rId1"/>
    <sheet name="data" sheetId="2" r:id="rId2"/>
    <sheet name="maxresident (no)" sheetId="4" state="hidden" r:id="rId3"/>
    <sheet name="cycles (maybe no)" sheetId="6" state="hidden" r:id="rId4"/>
    <sheet name="throughput" sheetId="1" r:id="rId5"/>
    <sheet name="height (no)" sheetId="7" state="hidden" r:id="rId6"/>
    <sheet name="prefilling (no)" sheetId="9" state="hidden" r:id="rId7"/>
    <sheet name="cycle_breakdown (replaced)" sheetId="10" state="hidden" r:id="rId8"/>
  </sheets>
  <functionGroups builtInGroupCount="19"/>
  <definedNames>
    <definedName name="_xlnm._FilterDatabase" localSheetId="1" hidden="1">data!$A$1:$BF$641</definedName>
    <definedName name="ExternalData_11" localSheetId="1">data!$A$1:$AP$1943</definedName>
    <definedName name="ExternalData_12" localSheetId="1">data!$A$1:$AT$406</definedName>
    <definedName name="ExternalData_13" localSheetId="1">data!$A$1:$AU$321</definedName>
    <definedName name="ExternalData_14" localSheetId="1">data!$A$1:$AV$641</definedName>
  </definedNames>
  <calcPr calcId="181029"/>
  <pivotCaches>
    <pivotCache cacheId="142" r:id="rId9"/>
    <pivotCache cacheId="147" r:id="rId1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 i="1" l="1"/>
  <c r="BF3" i="2"/>
  <c r="BG3" i="2"/>
  <c r="BF4" i="2"/>
  <c r="BG4" i="2"/>
  <c r="BF5" i="2"/>
  <c r="BG5" i="2"/>
  <c r="BF6" i="2"/>
  <c r="BG6" i="2"/>
  <c r="BF7" i="2"/>
  <c r="BG7" i="2"/>
  <c r="BF8" i="2"/>
  <c r="BG8" i="2"/>
  <c r="BF9" i="2"/>
  <c r="BG9" i="2"/>
  <c r="BF10" i="2"/>
  <c r="BG10" i="2"/>
  <c r="BF11" i="2"/>
  <c r="BG11" i="2"/>
  <c r="BF12" i="2"/>
  <c r="BG12" i="2"/>
  <c r="BF13" i="2"/>
  <c r="BG13" i="2"/>
  <c r="BF14" i="2"/>
  <c r="BG14" i="2"/>
  <c r="BF15" i="2"/>
  <c r="BG15" i="2"/>
  <c r="BF16" i="2"/>
  <c r="BG16" i="2"/>
  <c r="BF17" i="2"/>
  <c r="BG17" i="2"/>
  <c r="BF18" i="2"/>
  <c r="BG18" i="2"/>
  <c r="BF19" i="2"/>
  <c r="BG19" i="2"/>
  <c r="BF20" i="2"/>
  <c r="BG20" i="2"/>
  <c r="BF21" i="2"/>
  <c r="BG21" i="2"/>
  <c r="BF22" i="2"/>
  <c r="BG22" i="2"/>
  <c r="BF23" i="2"/>
  <c r="BG23" i="2"/>
  <c r="BF24" i="2"/>
  <c r="BG24" i="2"/>
  <c r="BF25" i="2"/>
  <c r="BG25" i="2"/>
  <c r="BF26" i="2"/>
  <c r="BG26" i="2"/>
  <c r="BF27" i="2"/>
  <c r="BG27" i="2"/>
  <c r="BF28" i="2"/>
  <c r="BG28" i="2"/>
  <c r="BF29" i="2"/>
  <c r="BG29" i="2"/>
  <c r="BF30" i="2"/>
  <c r="BG30" i="2"/>
  <c r="BF31" i="2"/>
  <c r="BG31" i="2"/>
  <c r="BF32" i="2"/>
  <c r="BG32" i="2"/>
  <c r="BF33" i="2"/>
  <c r="BG33" i="2"/>
  <c r="BF34" i="2"/>
  <c r="BG34" i="2"/>
  <c r="BF35" i="2"/>
  <c r="BG35" i="2"/>
  <c r="BF36" i="2"/>
  <c r="BG36" i="2"/>
  <c r="BF37" i="2"/>
  <c r="BG37" i="2"/>
  <c r="BF38" i="2"/>
  <c r="BG38" i="2"/>
  <c r="BF39" i="2"/>
  <c r="BG39" i="2"/>
  <c r="BF40" i="2"/>
  <c r="BG40" i="2"/>
  <c r="BF41" i="2"/>
  <c r="BG41" i="2"/>
  <c r="BF42" i="2"/>
  <c r="BG42" i="2"/>
  <c r="BF43" i="2"/>
  <c r="BG43" i="2"/>
  <c r="BF44" i="2"/>
  <c r="BG44" i="2"/>
  <c r="BF45" i="2"/>
  <c r="BG45" i="2"/>
  <c r="BF46" i="2"/>
  <c r="BG46" i="2"/>
  <c r="BF47" i="2"/>
  <c r="BG47" i="2"/>
  <c r="BF48" i="2"/>
  <c r="BG48" i="2"/>
  <c r="BF49" i="2"/>
  <c r="BG49" i="2"/>
  <c r="BF50" i="2"/>
  <c r="BG50" i="2"/>
  <c r="BF51" i="2"/>
  <c r="BG51" i="2"/>
  <c r="BF52" i="2"/>
  <c r="BG52" i="2"/>
  <c r="BF53" i="2"/>
  <c r="BG53" i="2"/>
  <c r="BF54" i="2"/>
  <c r="BG54" i="2"/>
  <c r="BF55" i="2"/>
  <c r="BG55" i="2"/>
  <c r="BF56" i="2"/>
  <c r="BG56" i="2"/>
  <c r="BF57" i="2"/>
  <c r="BG57" i="2"/>
  <c r="BF58" i="2"/>
  <c r="BG58" i="2"/>
  <c r="BF59" i="2"/>
  <c r="BG59" i="2"/>
  <c r="BF60" i="2"/>
  <c r="BG60" i="2"/>
  <c r="BF61" i="2"/>
  <c r="BG61" i="2"/>
  <c r="BG2" i="2" l="1"/>
  <c r="BF2" i="2" l="1"/>
  <c r="B83" i="1" l="1"/>
  <c r="C83" i="1"/>
  <c r="D83" i="1"/>
  <c r="E83" i="1"/>
  <c r="B77" i="1"/>
  <c r="C77" i="1"/>
  <c r="D77" i="1"/>
  <c r="E77" i="1"/>
  <c r="A82" i="1"/>
  <c r="A83" i="1"/>
  <c r="A78" i="1"/>
  <c r="A79" i="1"/>
  <c r="A80" i="1"/>
  <c r="A81" i="1"/>
  <c r="A77" i="1"/>
  <c r="C56" i="1"/>
  <c r="D56" i="1"/>
  <c r="E56" i="1"/>
  <c r="B56" i="1"/>
  <c r="B50" i="1"/>
  <c r="C50" i="1"/>
  <c r="D50" i="1"/>
  <c r="E50" i="1"/>
  <c r="A51" i="1"/>
  <c r="A52" i="1"/>
  <c r="A53" i="1"/>
  <c r="A54" i="1"/>
  <c r="A55" i="1"/>
  <c r="A56" i="1"/>
  <c r="A50" i="1"/>
  <c r="C21" i="10" l="1"/>
  <c r="C22" i="10"/>
  <c r="C23" i="10"/>
  <c r="C24" i="10"/>
  <c r="B22" i="10"/>
  <c r="B23" i="10"/>
  <c r="B24" i="10"/>
  <c r="B25" i="10"/>
  <c r="B21" i="10"/>
  <c r="A25" i="10"/>
  <c r="A20" i="10"/>
  <c r="F25" i="10"/>
  <c r="E25" i="10"/>
  <c r="D25" i="10"/>
  <c r="C25" i="10"/>
  <c r="F24" i="10"/>
  <c r="E24" i="10"/>
  <c r="D24" i="10"/>
  <c r="F23" i="10"/>
  <c r="E23" i="10"/>
  <c r="D23" i="10"/>
  <c r="F22" i="10"/>
  <c r="E22" i="10"/>
  <c r="D22" i="10"/>
  <c r="F21" i="10"/>
  <c r="E21" i="10"/>
  <c r="D21" i="10"/>
  <c r="F20" i="10"/>
  <c r="E20" i="10"/>
  <c r="D20" i="10"/>
  <c r="F25" i="9"/>
  <c r="E25" i="9"/>
  <c r="D25" i="9"/>
  <c r="C25" i="9"/>
  <c r="B25" i="9"/>
  <c r="A25" i="9"/>
  <c r="F24" i="9"/>
  <c r="E24" i="9"/>
  <c r="D24" i="9"/>
  <c r="C24" i="9"/>
  <c r="B24" i="9"/>
  <c r="A24" i="9"/>
  <c r="F23" i="9"/>
  <c r="E23" i="9"/>
  <c r="D23" i="9"/>
  <c r="C23" i="9"/>
  <c r="B23" i="9"/>
  <c r="A23" i="9"/>
  <c r="F22" i="9"/>
  <c r="E22" i="9"/>
  <c r="D22" i="9"/>
  <c r="C22" i="9"/>
  <c r="B22" i="9"/>
  <c r="A22" i="9"/>
  <c r="F21" i="9"/>
  <c r="E21" i="9"/>
  <c r="D21" i="9"/>
  <c r="C21" i="9"/>
  <c r="B21" i="9"/>
  <c r="A21" i="9"/>
  <c r="F20" i="9"/>
  <c r="E20" i="9"/>
  <c r="D20" i="9"/>
  <c r="C20" i="9"/>
  <c r="B20" i="9"/>
  <c r="F25" i="7"/>
  <c r="E25" i="7"/>
  <c r="D25" i="7"/>
  <c r="C25" i="7"/>
  <c r="B25" i="7"/>
  <c r="A25" i="7"/>
  <c r="F24" i="7"/>
  <c r="E24" i="7"/>
  <c r="D24" i="7"/>
  <c r="C24" i="7"/>
  <c r="B24" i="7"/>
  <c r="A24" i="7"/>
  <c r="F23" i="7"/>
  <c r="E23" i="7"/>
  <c r="D23" i="7"/>
  <c r="C23" i="7"/>
  <c r="B23" i="7"/>
  <c r="A23" i="7"/>
  <c r="F22" i="7"/>
  <c r="E22" i="7"/>
  <c r="D22" i="7"/>
  <c r="C22" i="7"/>
  <c r="B22" i="7"/>
  <c r="A22" i="7"/>
  <c r="F21" i="7"/>
  <c r="E21" i="7"/>
  <c r="D21" i="7"/>
  <c r="C21" i="7"/>
  <c r="B21" i="7"/>
  <c r="A21" i="7"/>
  <c r="F20" i="7"/>
  <c r="E20" i="7"/>
  <c r="D20" i="7"/>
  <c r="C20" i="7"/>
  <c r="B20" i="7"/>
  <c r="F25" i="6"/>
  <c r="E25" i="6"/>
  <c r="D25" i="6"/>
  <c r="C25" i="6"/>
  <c r="B25" i="6"/>
  <c r="A25" i="6"/>
  <c r="F24" i="6"/>
  <c r="E24" i="6"/>
  <c r="D24" i="6"/>
  <c r="C24" i="6"/>
  <c r="B24" i="6"/>
  <c r="A24" i="6"/>
  <c r="F23" i="6"/>
  <c r="E23" i="6"/>
  <c r="D23" i="6"/>
  <c r="C23" i="6"/>
  <c r="B23" i="6"/>
  <c r="A23" i="6"/>
  <c r="F22" i="6"/>
  <c r="E22" i="6"/>
  <c r="D22" i="6"/>
  <c r="C22" i="6"/>
  <c r="B22" i="6"/>
  <c r="A22" i="6"/>
  <c r="F21" i="6"/>
  <c r="E21" i="6"/>
  <c r="D21" i="6"/>
  <c r="C21" i="6"/>
  <c r="B21" i="6"/>
  <c r="A21" i="6"/>
  <c r="F20" i="6"/>
  <c r="E20" i="6"/>
  <c r="D20" i="6"/>
  <c r="C20" i="6"/>
  <c r="B20" i="6"/>
  <c r="F25" i="4"/>
  <c r="E25" i="4"/>
  <c r="D25" i="4"/>
  <c r="C25" i="4"/>
  <c r="B25" i="4"/>
  <c r="A25" i="4"/>
  <c r="F24" i="4"/>
  <c r="E24" i="4"/>
  <c r="D24" i="4"/>
  <c r="C24" i="4"/>
  <c r="B24" i="4"/>
  <c r="A24" i="4"/>
  <c r="F23" i="4"/>
  <c r="E23" i="4"/>
  <c r="D23" i="4"/>
  <c r="C23" i="4"/>
  <c r="B23" i="4"/>
  <c r="A23" i="4"/>
  <c r="F22" i="4"/>
  <c r="E22" i="4"/>
  <c r="D22" i="4"/>
  <c r="C22" i="4"/>
  <c r="B22" i="4"/>
  <c r="A22" i="4"/>
  <c r="F21" i="4"/>
  <c r="E21" i="4"/>
  <c r="D21" i="4"/>
  <c r="C21" i="4"/>
  <c r="B21" i="4"/>
  <c r="A21" i="4"/>
  <c r="F20" i="4"/>
  <c r="E20" i="4"/>
  <c r="D20" i="4"/>
  <c r="C20" i="4"/>
  <c r="B20" i="4"/>
  <c r="A24" i="1" l="1"/>
  <c r="B24" i="1"/>
  <c r="C24" i="1"/>
  <c r="D24" i="1"/>
  <c r="E24" i="1"/>
  <c r="F24" i="1"/>
  <c r="A25" i="1"/>
  <c r="B25" i="1"/>
  <c r="C25" i="1"/>
  <c r="D25" i="1"/>
  <c r="E25" i="1"/>
  <c r="F25" i="1"/>
  <c r="E55" i="1" l="1"/>
  <c r="E82" i="1"/>
  <c r="D55" i="1"/>
  <c r="D82" i="1"/>
  <c r="C55" i="1"/>
  <c r="C82" i="1"/>
  <c r="B55" i="1"/>
  <c r="B82" i="1"/>
  <c r="E54" i="1"/>
  <c r="E81" i="1"/>
  <c r="D54" i="1"/>
  <c r="D81" i="1"/>
  <c r="C54" i="1"/>
  <c r="C81" i="1"/>
  <c r="B54" i="1"/>
  <c r="B81" i="1"/>
  <c r="A23" i="1"/>
  <c r="A22" i="1"/>
  <c r="A21" i="1"/>
  <c r="F23" i="1"/>
  <c r="E23" i="1"/>
  <c r="D23" i="1"/>
  <c r="C23" i="1"/>
  <c r="B23" i="1"/>
  <c r="F22" i="1"/>
  <c r="E22" i="1"/>
  <c r="D22" i="1"/>
  <c r="C22" i="1"/>
  <c r="B22" i="1"/>
  <c r="F21" i="1"/>
  <c r="E21" i="1"/>
  <c r="D21" i="1"/>
  <c r="C21" i="1"/>
  <c r="B21" i="1"/>
  <c r="F20" i="1"/>
  <c r="C52" i="1" l="1"/>
  <c r="C79" i="1"/>
  <c r="D52" i="1"/>
  <c r="D79" i="1"/>
  <c r="C53" i="1"/>
  <c r="C80" i="1"/>
  <c r="D53" i="1"/>
  <c r="D80" i="1"/>
  <c r="B52" i="1"/>
  <c r="B79" i="1"/>
  <c r="E52" i="1"/>
  <c r="E79" i="1"/>
  <c r="B53" i="1"/>
  <c r="B80" i="1"/>
  <c r="B51" i="1"/>
  <c r="B78" i="1"/>
  <c r="C51" i="1"/>
  <c r="C78" i="1"/>
  <c r="E53" i="1"/>
  <c r="E80" i="1"/>
  <c r="D51" i="1"/>
  <c r="D78" i="1"/>
  <c r="E51" i="1"/>
  <c r="E7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6" refreshedVersion="6" deleted="1" background="1" saveData="1">
    <textPr sourceFile="C:\Users\t35brown\Documents\bitbucket\setbench\microbench\experiments\istree_scaling_threads\data_filtered.csv" comma="1">
      <textFields>
        <textField/>
      </textFields>
    </textPr>
  </connection>
  <connection id="2" xr16:uid="{00000000-0015-0000-FFFF-FFFF01000000}" name="Connection1" type="6" refreshedVersion="6" deleted="1" background="1" saveData="1">
    <textPr sourceFile="C:\Users\t35brown\Documents\bitbucket\setbench\microbench\experiments\istree_scaling_threads\scaling_threads.csv" comma="1">
      <textFields>
        <textField/>
      </textFields>
    </textPr>
  </connection>
  <connection id="3" xr16:uid="{00000000-0015-0000-FFFF-FFFF02000000}" name="Connection2" type="6" refreshedVersion="6" deleted="1" background="1" saveData="1">
    <textPr sourceFile="C:\Users\t35brown\Documents\bitbucket\setbench\microbench\experiments\istree_scaling_threads\scaling_threads.csv" comma="1">
      <textFields>
        <textField/>
      </textFields>
    </textPr>
  </connection>
  <connection id="4" xr16:uid="{00000000-0015-0000-FFFF-FFFF03000000}" name="Connection7" type="6" refreshedVersion="5" deleted="1"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<sst xmlns="http://schemas.openxmlformats.org/spreadsheetml/2006/main" count="672" uniqueCount="232">
  <si>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</si>
  <si>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</si>
  <si>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</si>
  <si>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</si>
  <si>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</si>
  <si>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</si>
  <si>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</si>
  <si>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</si>
  <si>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</si>
  <si>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</si>
  <si>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</si>
  <si>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</si>
  <si>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</si>
  <si>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</si>
  <si>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</si>
  <si>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</si>
  <si>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</si>
  <si>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</si>
  <si>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</si>
  <si>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</si>
  <si>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</si>
  <si>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</si>
  <si>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</si>
  <si>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</si>
  <si>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</si>
  <si>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</si>
  <si>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</si>
  <si>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</si>
  <si>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</si>
  <si>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</si>
  <si>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</si>
  <si>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</si>
  <si>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</si>
  <si>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</si>
  <si>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</si>
  <si>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</si>
  <si>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</si>
  <si>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</si>
  <si>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</si>
  <si>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</si>
  <si>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</si>
  <si>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</si>
  <si>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</si>
  <si>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</si>
  <si>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</si>
  <si>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</si>
  <si>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</si>
  <si>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</si>
  <si>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</si>
  <si>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</si>
  <si>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</si>
  <si>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</si>
  <si>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</si>
  <si>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</si>
  <si>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</si>
  <si>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</si>
  <si>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</si>
  <si>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</si>
  <si>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</si>
  <si>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</si>
  <si>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</si>
  <si>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</si>
  <si>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</si>
  <si>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</si>
  <si>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</si>
  <si>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</si>
  <si>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</si>
  <si>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</si>
  <si>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</si>
  <si>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</si>
  <si>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</si>
  <si>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</si>
  <si>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</si>
  <si>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</si>
  <si>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</si>
  <si>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</si>
  <si>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</si>
  <si>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</si>
  <si>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</si>
  <si>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</si>
  <si>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</si>
  <si>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</si>
  <si>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PAPI_RES_STL</t>
  </si>
  <si>
    <t>Average of maxresident_mb</t>
  </si>
  <si>
    <t>Average of PAPI_TOT_CYC</t>
  </si>
  <si>
    <t>Average of PAPI_RES_STL</t>
  </si>
  <si>
    <t>Average of tree_stats_height</t>
  </si>
  <si>
    <t>Average of prefill_elapsed_ms</t>
  </si>
  <si>
    <t>WARNING: THIS COMPARISON IS NOT FAIR.</t>
  </si>
  <si>
    <t>we build an ideal tree rather than doing repeated insertion.</t>
  </si>
  <si>
    <t>could try repeated insertion and see how it compares…</t>
  </si>
  <si>
    <t>other</t>
  </si>
  <si>
    <t>resource stall</t>
  </si>
  <si>
    <t>BCCO</t>
  </si>
  <si>
    <t>NM</t>
  </si>
  <si>
    <t>ABTree</t>
  </si>
  <si>
    <t>ISTree</t>
  </si>
  <si>
    <t>(All)</t>
  </si>
  <si>
    <t>Min of total_throughput</t>
  </si>
  <si>
    <t>Max of total_throughput</t>
  </si>
  <si>
    <t>full_rebuild_count</t>
  </si>
  <si>
    <t>sum_duration_all_ops_total</t>
  </si>
  <si>
    <t>sum_duration_markAndCount_total</t>
  </si>
  <si>
    <t>sum_duration_wastedWorkBuilding_total</t>
  </si>
  <si>
    <t>sum_duration_buildAndReplace_total</t>
  </si>
  <si>
    <t>sum_duration_rotateAndFree_total</t>
  </si>
  <si>
    <t>sum_duration_traverseAndRetire_total</t>
  </si>
  <si>
    <t>istree_exp9_zipf/step10001.txt</t>
  </si>
  <si>
    <t>istree_exp9_zipf/step10002.txt</t>
  </si>
  <si>
    <t>istree_exp9_zipf/step10003.txt</t>
  </si>
  <si>
    <t>istree_exp9_zipf/step10004.txt</t>
  </si>
  <si>
    <t>istree_exp9_zipf/step10005.txt</t>
  </si>
  <si>
    <t>istree_exp9_zipf/step10006.txt</t>
  </si>
  <si>
    <t>3736 121076</t>
  </si>
  <si>
    <t>istree_exp9_zipf/step10007.txt</t>
  </si>
  <si>
    <t>980 51874</t>
  </si>
  <si>
    <t>istree_exp9_zipf/step10008.txt</t>
  </si>
  <si>
    <t>346 24678</t>
  </si>
  <si>
    <t>istree_exp9_zipf/step10009.txt</t>
  </si>
  <si>
    <t>308 15504</t>
  </si>
  <si>
    <t>istree_exp9_zipf/step10010.txt</t>
  </si>
  <si>
    <t>262 11696</t>
  </si>
  <si>
    <t>istree_exp9_zipf/step10011.txt</t>
  </si>
  <si>
    <t>3646 78104</t>
  </si>
  <si>
    <t>istree_exp9_zipf/step10012.txt</t>
  </si>
  <si>
    <t>898 34488</t>
  </si>
  <si>
    <t>istree_exp9_zipf/step10013.txt</t>
  </si>
  <si>
    <t>224 17730</t>
  </si>
  <si>
    <t>istree_exp9_zipf/step10014.txt</t>
  </si>
  <si>
    <t>148 11176</t>
  </si>
  <si>
    <t>istree_exp9_zipf/step10015.txt</t>
  </si>
  <si>
    <t>124 8456</t>
  </si>
  <si>
    <t>istree_exp9_zipf/step10016.txt</t>
  </si>
  <si>
    <t>3662 72162</t>
  </si>
  <si>
    <t>istree_exp9_zipf/step10017.txt</t>
  </si>
  <si>
    <t>900 32314</t>
  </si>
  <si>
    <t>istree_exp9_zipf/step10018.txt</t>
  </si>
  <si>
    <t>222 17048</t>
  </si>
  <si>
    <t>istree_exp9_zipf/step10019.txt</t>
  </si>
  <si>
    <t>160 11008</t>
  </si>
  <si>
    <t>istree_exp9_zipf/step10020.txt</t>
  </si>
  <si>
    <t>126 8474</t>
  </si>
  <si>
    <t>istree_exp9_zipf/step10021.txt</t>
  </si>
  <si>
    <t>0 0 19327 470983 8926</t>
  </si>
  <si>
    <t>istree_exp9_zipf/step10022.txt</t>
  </si>
  <si>
    <t>1 3093 68274 728591 15371</t>
  </si>
  <si>
    <t>1 3093 68272 728591 15371</t>
  </si>
  <si>
    <t>istree_exp9_zipf/step10023.txt</t>
  </si>
  <si>
    <t>1 6537 102489 1424907 31854</t>
  </si>
  <si>
    <t>1 6537 102488 1424907 31854</t>
  </si>
  <si>
    <t>istree_exp9_zipf/step10024.txt</t>
  </si>
  <si>
    <t>3 6659 76860 1929410 35342</t>
  </si>
  <si>
    <t>2 6659 76859 1929407 35342</t>
  </si>
  <si>
    <t>istree_exp9_zipf/step10025.txt</t>
  </si>
  <si>
    <t>2 10480 85724 2342404 45198</t>
  </si>
  <si>
    <t>2 10480 85724 2342401 45198</t>
  </si>
  <si>
    <t>istree_exp9_zipf/step10026.txt</t>
  </si>
  <si>
    <t>3722 120290</t>
  </si>
  <si>
    <t>istree_exp9_zipf/step10027.txt</t>
  </si>
  <si>
    <t>976 51412</t>
  </si>
  <si>
    <t>istree_exp9_zipf/step10028.txt</t>
  </si>
  <si>
    <t>336 24158</t>
  </si>
  <si>
    <t>istree_exp9_zipf/step10029.txt</t>
  </si>
  <si>
    <t>294 15156</t>
  </si>
  <si>
    <t>istree_exp9_zipf/step10030.txt</t>
  </si>
  <si>
    <t>250 11438</t>
  </si>
  <si>
    <t>istree_exp9_zipf/step10031.txt</t>
  </si>
  <si>
    <t>3650 77456</t>
  </si>
  <si>
    <t>istree_exp9_zipf/step10032.txt</t>
  </si>
  <si>
    <t>898 34138</t>
  </si>
  <si>
    <t>istree_exp9_zipf/step10033.txt</t>
  </si>
  <si>
    <t>230 17276</t>
  </si>
  <si>
    <t>istree_exp9_zipf/step10034.txt</t>
  </si>
  <si>
    <t>160 10890</t>
  </si>
  <si>
    <t>istree_exp9_zipf/step10035.txt</t>
  </si>
  <si>
    <t>116 8216</t>
  </si>
  <si>
    <t>istree_exp9_zipf/step10036.txt</t>
  </si>
  <si>
    <t>3640 71494</t>
  </si>
  <si>
    <t>istree_exp9_zipf/step10037.txt</t>
  </si>
  <si>
    <t>896 31968</t>
  </si>
  <si>
    <t>istree_exp9_zipf/step10038.txt</t>
  </si>
  <si>
    <t>236 16642</t>
  </si>
  <si>
    <t>istree_exp9_zipf/step10039.txt</t>
  </si>
  <si>
    <t>160 10674</t>
  </si>
  <si>
    <t>istree_exp9_zipf/step10040.txt</t>
  </si>
  <si>
    <t>124 8174</t>
  </si>
  <si>
    <t>istree_exp9_zipf/step10041.txt</t>
  </si>
  <si>
    <t>4 11017 405648 4160605 115335</t>
  </si>
  <si>
    <t>4 11007 405642 4160600 115335</t>
  </si>
  <si>
    <t>istree_exp9_zipf/step10042.txt</t>
  </si>
  <si>
    <t>7 23026 633073 7114134 202197</t>
  </si>
  <si>
    <t>6 23015 633062 7114122 202197</t>
  </si>
  <si>
    <t>istree_exp9_zipf/step10043.txt</t>
  </si>
  <si>
    <t>9 35878 725932 11352475 756089</t>
  </si>
  <si>
    <t>8 35871 725889 11352447 756089</t>
  </si>
  <si>
    <t>istree_exp9_zipf/step10044.txt</t>
  </si>
  <si>
    <t>15 49134 827806 14776223 1091172</t>
  </si>
  <si>
    <t>10 49133 827764 14776176 1091171</t>
  </si>
  <si>
    <t>istree_exp9_zipf/step10045.txt</t>
  </si>
  <si>
    <t>18 56388 739558 17265252 1407175</t>
  </si>
  <si>
    <t>11 56384 739499 17265188 1407174</t>
  </si>
  <si>
    <t>istree_exp9_zipf/step10046.txt</t>
  </si>
  <si>
    <t>3736 113856</t>
  </si>
  <si>
    <t>istree_exp9_zipf/step10047.txt</t>
  </si>
  <si>
    <t>974 48372</t>
  </si>
  <si>
    <t>istree_exp9_zipf/step10048.txt</t>
  </si>
  <si>
    <t>356 22386</t>
  </si>
  <si>
    <t>istree_exp9_zipf/step10049.txt</t>
  </si>
  <si>
    <t>280 13864</t>
  </si>
  <si>
    <t>istree_exp9_zipf/step10050.txt</t>
  </si>
  <si>
    <t>252 10452</t>
  </si>
  <si>
    <t>istree_exp9_zipf/step10051.txt</t>
  </si>
  <si>
    <t>3654 74456</t>
  </si>
  <si>
    <t>istree_exp9_zipf/step10052.txt</t>
  </si>
  <si>
    <t>896 32322</t>
  </si>
  <si>
    <t>istree_exp9_zipf/step10053.txt</t>
  </si>
  <si>
    <t>458 15844</t>
  </si>
  <si>
    <t>istree_exp9_zipf/step10054.txt</t>
  </si>
  <si>
    <t>162 9846</t>
  </si>
  <si>
    <t>istree_exp9_zipf/step10055.txt</t>
  </si>
  <si>
    <t>114 7404</t>
  </si>
  <si>
    <t>istree_exp9_zipf/step10056.txt</t>
  </si>
  <si>
    <t>3650 68590</t>
  </si>
  <si>
    <t>istree_exp9_zipf/step10057.txt</t>
  </si>
  <si>
    <t>894 30082</t>
  </si>
  <si>
    <t>istree_exp9_zipf/step10058.txt</t>
  </si>
  <si>
    <t>226 15090</t>
  </si>
  <si>
    <t>istree_exp9_zipf/step10059.txt</t>
  </si>
  <si>
    <t>162 9516</t>
  </si>
  <si>
    <t>istree_exp9_zipf/step10060.txt</t>
  </si>
  <si>
    <t>120 7202</t>
  </si>
  <si>
    <t>u=10%, k=2x10^8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</si>
</sst>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0.0%"/>
  </numFmts>
  <fonts count="6">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5" fillId="0" borderId="0" applyFont="0" applyFill="0" applyBorder="0" applyAlignment="0" applyProtection="0"/>
  </cellStyleXfs>
  <cellXfs count="10">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xf numFmtId="165" fontId="0" fillId="0" borderId="0" xfId="1" applyNumberFormat="1" applyFont="1"/>
  </cellXfs>
  <cellStyles count="2">
    <cellStyle name="Normal" xfId="0" builtinId="0"/>
    <cellStyle name="Percent" xfId="1" builtinId="5"/>
  </cellStyles>
  <dxfs count="18">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00"/>
      <color rgb="FFFFFFFF"/>
      <color rgb="FFFAF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'maxresident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3458.3333333333335</c:v>
                </c:pt>
                <c:pt idx="1">
                  <c:v>3602.6666666666665</c:v>
                </c:pt>
                <c:pt idx="2">
                  <c:v>3909.3333333333335</c:v>
                </c:pt>
                <c:pt idx="3">
                  <c:v>4145.333333333333</c:v>
                </c:pt>
                <c:pt idx="4">
                  <c:v>4335</c:v>
                </c:pt>
              </c:numCache>
            </c:numRef>
          </c:val>
          <c:extLst>
            <c:ext xmlns:c16="http://schemas.microsoft.com/office/drawing/2014/chart" uri="{C3380CC4-5D6E-409C-BE32-E72D297353CC}">
              <c16:uniqueId val="{00000000-A9A0-4CB6-B3D0-38965FF47FF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3481.6666666666665</c:v>
                </c:pt>
                <c:pt idx="1">
                  <c:v>3640.6666666666665</c:v>
                </c:pt>
                <c:pt idx="2">
                  <c:v>3972.3333333333335</c:v>
                </c:pt>
                <c:pt idx="3">
                  <c:v>4222</c:v>
                </c:pt>
                <c:pt idx="4">
                  <c:v>4425</c:v>
                </c:pt>
              </c:numCache>
            </c:numRef>
          </c:val>
          <c:extLst>
            <c:ext xmlns:c16="http://schemas.microsoft.com/office/drawing/2014/chart" uri="{C3380CC4-5D6E-409C-BE32-E72D297353CC}">
              <c16:uniqueId val="{00000001-A9A0-4CB6-B3D0-38965FF47FF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3146.6666666666665</c:v>
                </c:pt>
                <c:pt idx="1">
                  <c:v>3293.6666666666665</c:v>
                </c:pt>
                <c:pt idx="2">
                  <c:v>3550</c:v>
                </c:pt>
                <c:pt idx="3">
                  <c:v>3723.3333333333335</c:v>
                </c:pt>
                <c:pt idx="4">
                  <c:v>3896.6666666666665</c:v>
                </c:pt>
              </c:numCache>
            </c:numRef>
          </c:val>
          <c:extLst>
            <c:ext xmlns:c16="http://schemas.microsoft.com/office/drawing/2014/chart" uri="{C3380CC4-5D6E-409C-BE32-E72D297353CC}">
              <c16:uniqueId val="{00000002-A9A0-4CB6-B3D0-38965FF47FF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6481</c:v>
                </c:pt>
                <c:pt idx="1">
                  <c:v>6941.333333333333</c:v>
                </c:pt>
                <c:pt idx="2">
                  <c:v>7214.666666666667</c:v>
                </c:pt>
                <c:pt idx="3">
                  <c:v>7714</c:v>
                </c:pt>
                <c:pt idx="4">
                  <c:v>7858</c:v>
                </c:pt>
              </c:numCache>
            </c:numRef>
          </c:val>
          <c:extLst>
            <c:ext xmlns:c16="http://schemas.microsoft.com/office/drawing/2014/chart" uri="{C3380CC4-5D6E-409C-BE32-E72D297353CC}">
              <c16:uniqueId val="{00000003-A9A0-4CB6-B3D0-38965FF47FF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max resident size (GB)</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thousand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'maxresident (no)'!$B$20</c:f>
              <c:strCache>
                <c:ptCount val="1"/>
                <c:pt idx="0">
                  <c:v>natarajan_ext_bst_lf</c:v>
                </c:pt>
              </c:strCache>
            </c:strRef>
          </c:tx>
          <c:spPr>
            <a:solidFill>
              <a:schemeClr val="accent3"/>
            </a:solidFill>
            <a:ln>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(no)'!$B$21:$B$25</c:f>
              <c:numCache>
                <c:formatCode>0</c:formatCode>
                <c:ptCount val="5"/>
                <c:pt idx="0">
                  <c:v>3458.3333333333335</c:v>
                </c:pt>
                <c:pt idx="1">
                  <c:v>3602.6666666666665</c:v>
                </c:pt>
                <c:pt idx="2">
                  <c:v>3909.3333333333335</c:v>
                </c:pt>
                <c:pt idx="3">
                  <c:v>4145.333333333333</c:v>
                </c:pt>
                <c:pt idx="4">
                  <c:v>4335</c:v>
                </c:pt>
              </c:numCache>
            </c:numRef>
          </c:val>
          <c:extLst>
            <c:ext xmlns:c16="http://schemas.microsoft.com/office/drawing/2014/chart" uri="{C3380CC4-5D6E-409C-BE32-E72D297353CC}">
              <c16:uniqueId val="{00000000-D528-4179-B7E1-AD517432C4CD}"/>
            </c:ext>
          </c:extLst>
        </c:ser>
        <c:ser>
          <c:idx val="0"/>
          <c:order val="1"/>
          <c:tx>
            <c:strRef>
              <c:f>'maxresident (no)'!$C$20</c:f>
              <c:strCache>
                <c:ptCount val="1"/>
                <c:pt idx="0">
                  <c:v>bronson_pext_bst_occ</c:v>
                </c:pt>
              </c:strCache>
            </c:strRef>
          </c:tx>
          <c:spPr>
            <a:solidFill>
              <a:schemeClr val="accent1"/>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(no)'!$C$21:$C$25</c:f>
              <c:numCache>
                <c:formatCode>0</c:formatCode>
                <c:ptCount val="5"/>
                <c:pt idx="0">
                  <c:v>3481.6666666666665</c:v>
                </c:pt>
                <c:pt idx="1">
                  <c:v>3640.6666666666665</c:v>
                </c:pt>
                <c:pt idx="2">
                  <c:v>3972.3333333333335</c:v>
                </c:pt>
                <c:pt idx="3">
                  <c:v>4222</c:v>
                </c:pt>
                <c:pt idx="4">
                  <c:v>4425</c:v>
                </c:pt>
              </c:numCache>
            </c:numRef>
          </c:val>
          <c:extLst>
            <c:ext xmlns:c16="http://schemas.microsoft.com/office/drawing/2014/chart" uri="{C3380CC4-5D6E-409C-BE32-E72D297353CC}">
              <c16:uniqueId val="{00000001-D528-4179-B7E1-AD517432C4CD}"/>
            </c:ext>
          </c:extLst>
        </c:ser>
        <c:ser>
          <c:idx val="1"/>
          <c:order val="2"/>
          <c:tx>
            <c:strRef>
              <c:f>'maxresident (no)'!$D$20</c:f>
              <c:strCache>
                <c:ptCount val="1"/>
                <c:pt idx="0">
                  <c:v>brown_ext_abtree_lf</c:v>
                </c:pt>
              </c:strCache>
            </c:strRef>
          </c:tx>
          <c:spPr>
            <a:solidFill>
              <a:schemeClr val="accent2"/>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(no)'!$D$21:$D$25</c:f>
              <c:numCache>
                <c:formatCode>0</c:formatCode>
                <c:ptCount val="5"/>
                <c:pt idx="0">
                  <c:v>3146.6666666666665</c:v>
                </c:pt>
                <c:pt idx="1">
                  <c:v>3293.6666666666665</c:v>
                </c:pt>
                <c:pt idx="2">
                  <c:v>3550</c:v>
                </c:pt>
                <c:pt idx="3">
                  <c:v>3723.3333333333335</c:v>
                </c:pt>
                <c:pt idx="4">
                  <c:v>3896.6666666666665</c:v>
                </c:pt>
              </c:numCache>
            </c:numRef>
          </c:val>
          <c:extLst>
            <c:ext xmlns:c16="http://schemas.microsoft.com/office/drawing/2014/chart" uri="{C3380CC4-5D6E-409C-BE32-E72D297353CC}">
              <c16:uniqueId val="{00000002-D528-4179-B7E1-AD517432C4CD}"/>
            </c:ext>
          </c:extLst>
        </c:ser>
        <c:ser>
          <c:idx val="3"/>
          <c:order val="3"/>
          <c:tx>
            <c:strRef>
              <c:f>'maxresident (no)'!$E$20</c:f>
              <c:strCache>
                <c:ptCount val="1"/>
                <c:pt idx="0">
                  <c:v>brown_ext_ist_lf</c:v>
                </c:pt>
              </c:strCache>
            </c:strRef>
          </c:tx>
          <c:spPr>
            <a:solidFill>
              <a:schemeClr val="accent4"/>
            </a:solidFill>
            <a:ln w="76200">
              <a:noFill/>
            </a:ln>
            <a:effectLst/>
          </c:spPr>
          <c:invertIfNegative val="0"/>
          <c:cat>
            <c:numRef>
              <c:f>'maxresident (no)'!$A$21:$A$25</c:f>
              <c:numCache>
                <c:formatCode>General</c:formatCode>
                <c:ptCount val="5"/>
                <c:pt idx="0">
                  <c:v>24</c:v>
                </c:pt>
                <c:pt idx="1">
                  <c:v>48</c:v>
                </c:pt>
                <c:pt idx="2">
                  <c:v>96</c:v>
                </c:pt>
                <c:pt idx="3">
                  <c:v>144</c:v>
                </c:pt>
                <c:pt idx="4">
                  <c:v>190</c:v>
                </c:pt>
              </c:numCache>
            </c:numRef>
          </c:cat>
          <c:val>
            <c:numRef>
              <c:f>'maxresident (no)'!$E$21:$E$25</c:f>
              <c:numCache>
                <c:formatCode>0</c:formatCode>
                <c:ptCount val="5"/>
                <c:pt idx="0">
                  <c:v>6481</c:v>
                </c:pt>
                <c:pt idx="1">
                  <c:v>6941.333333333333</c:v>
                </c:pt>
                <c:pt idx="2">
                  <c:v>7214.666666666667</c:v>
                </c:pt>
                <c:pt idx="3">
                  <c:v>7714</c:v>
                </c:pt>
                <c:pt idx="4">
                  <c:v>7858</c:v>
                </c:pt>
              </c:numCache>
            </c:numRef>
          </c:val>
          <c:extLst>
            <c:ext xmlns:c16="http://schemas.microsoft.com/office/drawing/2014/chart" uri="{C3380CC4-5D6E-409C-BE32-E72D297353CC}">
              <c16:uniqueId val="{00000003-D528-4179-B7E1-AD517432C4CD}"/>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'cycles (maybe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11152.333333333334</c:v>
                </c:pt>
                <c:pt idx="1">
                  <c:v>12033.133333333331</c:v>
                </c:pt>
                <c:pt idx="2">
                  <c:v>11345.4</c:v>
                </c:pt>
                <c:pt idx="3">
                  <c:v>11639.466666666667</c:v>
                </c:pt>
                <c:pt idx="4">
                  <c:v>11945.933333333334</c:v>
                </c:pt>
              </c:numCache>
            </c:numRef>
          </c:val>
          <c:extLst>
            <c:ext xmlns:c16="http://schemas.microsoft.com/office/drawing/2014/chart" uri="{C3380CC4-5D6E-409C-BE32-E72D297353CC}">
              <c16:uniqueId val="{00000000-9667-4921-B103-D2F7F742EAEE}"/>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10184.16</c:v>
                </c:pt>
                <c:pt idx="1">
                  <c:v>11166.166666666666</c:v>
                </c:pt>
                <c:pt idx="2">
                  <c:v>10811.866666666667</c:v>
                </c:pt>
                <c:pt idx="3">
                  <c:v>11349.099999999999</c:v>
                </c:pt>
                <c:pt idx="4">
                  <c:v>11920</c:v>
                </c:pt>
              </c:numCache>
            </c:numRef>
          </c:val>
          <c:extLst>
            <c:ext xmlns:c16="http://schemas.microsoft.com/office/drawing/2014/chart" uri="{C3380CC4-5D6E-409C-BE32-E72D297353CC}">
              <c16:uniqueId val="{00000001-9667-4921-B103-D2F7F742EAEE}"/>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6486.166666666667</c:v>
                </c:pt>
                <c:pt idx="1">
                  <c:v>7352.333333333333</c:v>
                </c:pt>
                <c:pt idx="2">
                  <c:v>7705.793333333334</c:v>
                </c:pt>
                <c:pt idx="3">
                  <c:v>8092.6466666666665</c:v>
                </c:pt>
                <c:pt idx="4">
                  <c:v>8871.2966666666671</c:v>
                </c:pt>
              </c:numCache>
            </c:numRef>
          </c:val>
          <c:extLst>
            <c:ext xmlns:c16="http://schemas.microsoft.com/office/drawing/2014/chart" uri="{C3380CC4-5D6E-409C-BE32-E72D297353CC}">
              <c16:uniqueId val="{00000002-9667-4921-B103-D2F7F742EAEE}"/>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6097.6533333333327</c:v>
                </c:pt>
                <c:pt idx="1">
                  <c:v>6974.376666666667</c:v>
                </c:pt>
                <c:pt idx="2">
                  <c:v>7566.69</c:v>
                </c:pt>
                <c:pt idx="3">
                  <c:v>8267.9499999999989</c:v>
                </c:pt>
                <c:pt idx="4">
                  <c:v>8954.4233333333341</c:v>
                </c:pt>
              </c:numCache>
            </c:numRef>
          </c:val>
          <c:extLst>
            <c:ext xmlns:c16="http://schemas.microsoft.com/office/drawing/2014/chart" uri="{C3380CC4-5D6E-409C-BE32-E72D297353CC}">
              <c16:uniqueId val="{00000003-9667-4921-B103-D2F7F742EAE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cycles per operation</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'cycles (maybe no)'!$B$20</c:f>
              <c:strCache>
                <c:ptCount val="1"/>
                <c:pt idx="0">
                  <c:v>natarajan_ext_bst_lf</c:v>
                </c:pt>
              </c:strCache>
            </c:strRef>
          </c:tx>
          <c:spPr>
            <a:solidFill>
              <a:schemeClr val="accent3"/>
            </a:solidFill>
            <a:ln>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no)'!$B$21:$B$25</c:f>
              <c:numCache>
                <c:formatCode>0</c:formatCode>
                <c:ptCount val="5"/>
                <c:pt idx="0">
                  <c:v>11152.333333333334</c:v>
                </c:pt>
                <c:pt idx="1">
                  <c:v>12033.133333333331</c:v>
                </c:pt>
                <c:pt idx="2">
                  <c:v>11345.4</c:v>
                </c:pt>
                <c:pt idx="3">
                  <c:v>11639.466666666667</c:v>
                </c:pt>
                <c:pt idx="4">
                  <c:v>11945.933333333334</c:v>
                </c:pt>
              </c:numCache>
            </c:numRef>
          </c:val>
          <c:extLst>
            <c:ext xmlns:c16="http://schemas.microsoft.com/office/drawing/2014/chart" uri="{C3380CC4-5D6E-409C-BE32-E72D297353CC}">
              <c16:uniqueId val="{00000000-7D18-4CC6-B63E-C4AF8F08FC06}"/>
            </c:ext>
          </c:extLst>
        </c:ser>
        <c:ser>
          <c:idx val="0"/>
          <c:order val="1"/>
          <c:tx>
            <c:strRef>
              <c:f>'cycles (maybe no)'!$C$20</c:f>
              <c:strCache>
                <c:ptCount val="1"/>
                <c:pt idx="0">
                  <c:v>bronson_pext_bst_occ</c:v>
                </c:pt>
              </c:strCache>
            </c:strRef>
          </c:tx>
          <c:spPr>
            <a:solidFill>
              <a:schemeClr val="accent1"/>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no)'!$C$21:$C$25</c:f>
              <c:numCache>
                <c:formatCode>0</c:formatCode>
                <c:ptCount val="5"/>
                <c:pt idx="0">
                  <c:v>10184.16</c:v>
                </c:pt>
                <c:pt idx="1">
                  <c:v>11166.166666666666</c:v>
                </c:pt>
                <c:pt idx="2">
                  <c:v>10811.866666666667</c:v>
                </c:pt>
                <c:pt idx="3">
                  <c:v>11349.099999999999</c:v>
                </c:pt>
                <c:pt idx="4">
                  <c:v>11920</c:v>
                </c:pt>
              </c:numCache>
            </c:numRef>
          </c:val>
          <c:extLst>
            <c:ext xmlns:c16="http://schemas.microsoft.com/office/drawing/2014/chart" uri="{C3380CC4-5D6E-409C-BE32-E72D297353CC}">
              <c16:uniqueId val="{00000001-7D18-4CC6-B63E-C4AF8F08FC06}"/>
            </c:ext>
          </c:extLst>
        </c:ser>
        <c:ser>
          <c:idx val="1"/>
          <c:order val="2"/>
          <c:tx>
            <c:strRef>
              <c:f>'cycles (maybe no)'!$D$20</c:f>
              <c:strCache>
                <c:ptCount val="1"/>
                <c:pt idx="0">
                  <c:v>brown_ext_abtree_lf</c:v>
                </c:pt>
              </c:strCache>
            </c:strRef>
          </c:tx>
          <c:spPr>
            <a:solidFill>
              <a:schemeClr val="accent2"/>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no)'!$D$21:$D$25</c:f>
              <c:numCache>
                <c:formatCode>0</c:formatCode>
                <c:ptCount val="5"/>
                <c:pt idx="0">
                  <c:v>6486.166666666667</c:v>
                </c:pt>
                <c:pt idx="1">
                  <c:v>7352.333333333333</c:v>
                </c:pt>
                <c:pt idx="2">
                  <c:v>7705.793333333334</c:v>
                </c:pt>
                <c:pt idx="3">
                  <c:v>8092.6466666666665</c:v>
                </c:pt>
                <c:pt idx="4">
                  <c:v>8871.2966666666671</c:v>
                </c:pt>
              </c:numCache>
            </c:numRef>
          </c:val>
          <c:extLst>
            <c:ext xmlns:c16="http://schemas.microsoft.com/office/drawing/2014/chart" uri="{C3380CC4-5D6E-409C-BE32-E72D297353CC}">
              <c16:uniqueId val="{00000002-7D18-4CC6-B63E-C4AF8F08FC06}"/>
            </c:ext>
          </c:extLst>
        </c:ser>
        <c:ser>
          <c:idx val="3"/>
          <c:order val="3"/>
          <c:tx>
            <c:strRef>
              <c:f>'cycles (maybe no)'!$E$20</c:f>
              <c:strCache>
                <c:ptCount val="1"/>
                <c:pt idx="0">
                  <c:v>brown_ext_ist_lf</c:v>
                </c:pt>
              </c:strCache>
            </c:strRef>
          </c:tx>
          <c:spPr>
            <a:solidFill>
              <a:schemeClr val="accent4"/>
            </a:solidFill>
            <a:ln w="76200">
              <a:noFill/>
            </a:ln>
            <a:effectLst/>
          </c:spPr>
          <c:invertIfNegative val="0"/>
          <c:cat>
            <c:numRef>
              <c:f>'cycles (maybe no)'!$A$21:$A$25</c:f>
              <c:numCache>
                <c:formatCode>General</c:formatCode>
                <c:ptCount val="5"/>
                <c:pt idx="0">
                  <c:v>24</c:v>
                </c:pt>
                <c:pt idx="1">
                  <c:v>48</c:v>
                </c:pt>
                <c:pt idx="2">
                  <c:v>96</c:v>
                </c:pt>
                <c:pt idx="3">
                  <c:v>144</c:v>
                </c:pt>
                <c:pt idx="4">
                  <c:v>190</c:v>
                </c:pt>
              </c:numCache>
            </c:numRef>
          </c:cat>
          <c:val>
            <c:numRef>
              <c:f>'cycles (maybe no)'!$E$21:$E$25</c:f>
              <c:numCache>
                <c:formatCode>0</c:formatCode>
                <c:ptCount val="5"/>
                <c:pt idx="0">
                  <c:v>6097.6533333333327</c:v>
                </c:pt>
                <c:pt idx="1">
                  <c:v>6974.376666666667</c:v>
                </c:pt>
                <c:pt idx="2">
                  <c:v>7566.69</c:v>
                </c:pt>
                <c:pt idx="3">
                  <c:v>8267.9499999999989</c:v>
                </c:pt>
                <c:pt idx="4">
                  <c:v>8954.4233333333341</c:v>
                </c:pt>
              </c:numCache>
            </c:numRef>
          </c:val>
          <c:extLst>
            <c:ext xmlns:c16="http://schemas.microsoft.com/office/drawing/2014/chart" uri="{C3380CC4-5D6E-409C-BE32-E72D297353CC}">
              <c16:uniqueId val="{00000003-7D18-4CC6-B63E-C4AF8F08FC06}"/>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throughput!$C$2</c:f>
          <c:strCache>
            <c:ptCount val="1"/>
            <c:pt idx="0">
              <c:v>10^7 Zipfian keys from [1,10^8]; u=10%</c:v>
            </c:pt>
          </c:strCache>
        </c:strRef>
      </c:tx>
      <c:layout>
        <c:manualLayout>
          <c:xMode val="edge"/>
          <c:yMode val="edge"/>
          <c:x val="0.23630618898793931"/>
          <c:y val="1.0317508459815336E-2"/>
        </c:manualLayout>
      </c:layout>
      <c:overlay val="0"/>
      <c:spPr>
        <a:noFill/>
        <a:ln>
          <a:no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17441030032631175"/>
          <c:y val="0.11905985021469084"/>
          <c:w val="0.81376582913262896"/>
          <c:h val="0.64270887944817312"/>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errBars>
            <c:errBarType val="both"/>
            <c:errValType val="cust"/>
            <c:noEndCap val="1"/>
            <c:plus>
              <c:numRef>
                <c:f>throughput!$B$78:$B$82</c:f>
                <c:numCache>
                  <c:formatCode>General</c:formatCode>
                  <c:ptCount val="5"/>
                  <c:pt idx="0">
                    <c:v>0</c:v>
                  </c:pt>
                  <c:pt idx="1">
                    <c:v>0</c:v>
                  </c:pt>
                  <c:pt idx="2">
                    <c:v>0</c:v>
                  </c:pt>
                  <c:pt idx="3">
                    <c:v>0</c:v>
                  </c:pt>
                  <c:pt idx="4">
                    <c:v>0</c:v>
                  </c:pt>
                </c:numCache>
              </c:numRef>
            </c:plus>
            <c:minus>
              <c:numRef>
                <c:f>throughput!$B$51:$B$55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5807562</c:v>
                </c:pt>
                <c:pt idx="1">
                  <c:v>10624947</c:v>
                </c:pt>
                <c:pt idx="2">
                  <c:v>21862816</c:v>
                </c:pt>
                <c:pt idx="3">
                  <c:v>31597769</c:v>
                </c:pt>
                <c:pt idx="4">
                  <c:v>40419693</c:v>
                </c:pt>
              </c:numCache>
            </c:numRef>
          </c:val>
          <c:extLst>
            <c:ext xmlns:c16="http://schemas.microsoft.com/office/drawing/2014/chart" uri="{C3380CC4-5D6E-409C-BE32-E72D297353CC}">
              <c16:uniqueId val="{00000000-2CD0-447C-8E06-4DA7A6D936F5}"/>
            </c:ext>
          </c:extLst>
        </c:ser>
        <c:ser>
          <c:idx val="0"/>
          <c:order val="1"/>
          <c:tx>
            <c:strRef>
              <c:f>throughput!$C$20</c:f>
              <c:strCache>
                <c:ptCount val="1"/>
                <c:pt idx="0">
                  <c:v>BCCO</c:v>
                </c:pt>
              </c:strCache>
            </c:strRef>
          </c:tx>
          <c:spPr>
            <a:solidFill>
              <a:schemeClr val="accent1"/>
            </a:solidFill>
            <a:ln w="76200">
              <a:noFill/>
            </a:ln>
            <a:effectLst/>
          </c:spPr>
          <c:invertIfNegative val="0"/>
          <c:errBars>
            <c:errBarType val="both"/>
            <c:errValType val="cust"/>
            <c:noEndCap val="1"/>
            <c:plus>
              <c:numRef>
                <c:f>throughput!$C$78:$C$82</c:f>
                <c:numCache>
                  <c:formatCode>General</c:formatCode>
                  <c:ptCount val="5"/>
                  <c:pt idx="0">
                    <c:v>0</c:v>
                  </c:pt>
                  <c:pt idx="1">
                    <c:v>0</c:v>
                  </c:pt>
                  <c:pt idx="2">
                    <c:v>0</c:v>
                  </c:pt>
                  <c:pt idx="3">
                    <c:v>0</c:v>
                  </c:pt>
                  <c:pt idx="4">
                    <c:v>0</c:v>
                  </c:pt>
                </c:numCache>
              </c:numRef>
            </c:plus>
            <c:minus>
              <c:numRef>
                <c:f>throughput!$C$51:$C$55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6368399</c:v>
                </c:pt>
                <c:pt idx="1">
                  <c:v>11494413</c:v>
                </c:pt>
                <c:pt idx="2">
                  <c:v>23013638</c:v>
                </c:pt>
                <c:pt idx="3">
                  <c:v>32591826</c:v>
                </c:pt>
                <c:pt idx="4">
                  <c:v>41179670</c:v>
                </c:pt>
              </c:numCache>
            </c:numRef>
          </c:val>
          <c:extLst>
            <c:ext xmlns:c16="http://schemas.microsoft.com/office/drawing/2014/chart" uri="{C3380CC4-5D6E-409C-BE32-E72D297353CC}">
              <c16:uniqueId val="{00000001-2CD0-447C-8E06-4DA7A6D936F5}"/>
            </c:ext>
          </c:extLst>
        </c:ser>
        <c:ser>
          <c:idx val="1"/>
          <c:order val="2"/>
          <c:tx>
            <c:strRef>
              <c:f>throughput!$D$20</c:f>
              <c:strCache>
                <c:ptCount val="1"/>
                <c:pt idx="0">
                  <c:v>ABTree</c:v>
                </c:pt>
              </c:strCache>
            </c:strRef>
          </c:tx>
          <c:spPr>
            <a:solidFill>
              <a:schemeClr val="accent2"/>
            </a:solidFill>
            <a:ln w="76200">
              <a:noFill/>
            </a:ln>
            <a:effectLst/>
          </c:spPr>
          <c:invertIfNegative val="0"/>
          <c:errBars>
            <c:errBarType val="both"/>
            <c:errValType val="cust"/>
            <c:noEndCap val="1"/>
            <c:plus>
              <c:numRef>
                <c:f>throughput!$D$78:$D$82</c:f>
                <c:numCache>
                  <c:formatCode>General</c:formatCode>
                  <c:ptCount val="5"/>
                  <c:pt idx="0">
                    <c:v>0</c:v>
                  </c:pt>
                  <c:pt idx="1">
                    <c:v>0</c:v>
                  </c:pt>
                  <c:pt idx="2">
                    <c:v>0</c:v>
                  </c:pt>
                  <c:pt idx="3">
                    <c:v>0</c:v>
                  </c:pt>
                  <c:pt idx="4">
                    <c:v>0</c:v>
                  </c:pt>
                </c:numCache>
              </c:numRef>
            </c:plus>
            <c:minus>
              <c:numRef>
                <c:f>throughput!$D$51:$D$55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9900892</c:v>
                </c:pt>
                <c:pt idx="1">
                  <c:v>17356317</c:v>
                </c:pt>
                <c:pt idx="2">
                  <c:v>32537615</c:v>
                </c:pt>
                <c:pt idx="3">
                  <c:v>45514205</c:v>
                </c:pt>
                <c:pt idx="4">
                  <c:v>55546335</c:v>
                </c:pt>
              </c:numCache>
            </c:numRef>
          </c:val>
          <c:extLst>
            <c:ext xmlns:c16="http://schemas.microsoft.com/office/drawing/2014/chart" uri="{C3380CC4-5D6E-409C-BE32-E72D297353CC}">
              <c16:uniqueId val="{00000002-2CD0-447C-8E06-4DA7A6D936F5}"/>
            </c:ext>
          </c:extLst>
        </c:ser>
        <c:ser>
          <c:idx val="3"/>
          <c:order val="3"/>
          <c:tx>
            <c:strRef>
              <c:f>throughput!$E$20</c:f>
              <c:strCache>
                <c:ptCount val="1"/>
                <c:pt idx="0">
                  <c:v>ISTree</c:v>
                </c:pt>
              </c:strCache>
            </c:strRef>
          </c:tx>
          <c:spPr>
            <a:solidFill>
              <a:schemeClr val="accent4"/>
            </a:solidFill>
            <a:ln w="76200">
              <a:noFill/>
            </a:ln>
            <a:effectLst/>
          </c:spPr>
          <c:invertIfNegative val="0"/>
          <c:errBars>
            <c:errBarType val="both"/>
            <c:errValType val="cust"/>
            <c:noEndCap val="1"/>
            <c:plus>
              <c:numRef>
                <c:f>throughput!$E$78:$E$82</c:f>
                <c:numCache>
                  <c:formatCode>General</c:formatCode>
                  <c:ptCount val="5"/>
                  <c:pt idx="0">
                    <c:v>0</c:v>
                  </c:pt>
                  <c:pt idx="1">
                    <c:v>0</c:v>
                  </c:pt>
                  <c:pt idx="2">
                    <c:v>0</c:v>
                  </c:pt>
                  <c:pt idx="3">
                    <c:v>0</c:v>
                  </c:pt>
                  <c:pt idx="4">
                    <c:v>0</c:v>
                  </c:pt>
                </c:numCache>
              </c:numRef>
            </c:plus>
            <c:minus>
              <c:numRef>
                <c:f>throughput!$E$51:$E$55</c:f>
                <c:numCache>
                  <c:formatCode>General</c:formatCode>
                  <c:ptCount val="5"/>
                  <c:pt idx="0">
                    <c:v>0</c:v>
                  </c:pt>
                  <c:pt idx="1">
                    <c:v>0</c:v>
                  </c:pt>
                  <c:pt idx="2">
                    <c:v>0</c:v>
                  </c:pt>
                  <c:pt idx="3">
                    <c:v>0</c:v>
                  </c:pt>
                  <c:pt idx="4">
                    <c:v>0</c:v>
                  </c:pt>
                </c:numCache>
              </c:numRef>
            </c:minus>
            <c:spPr>
              <a:noFill/>
              <a:ln w="127000" cap="flat" cmpd="sng" algn="ctr">
                <a:solidFill>
                  <a:srgbClr val="000000"/>
                </a:solidFill>
                <a:prstDash val="solid"/>
                <a:round/>
                <a:headEnd type="none" w="med" len="med"/>
                <a:tailEnd type="none" w="med" len="med"/>
              </a:ln>
              <a:effectLst/>
            </c:spPr>
          </c:errBars>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10145920</c:v>
                </c:pt>
                <c:pt idx="1">
                  <c:v>17289181</c:v>
                </c:pt>
                <c:pt idx="2">
                  <c:v>31804374</c:v>
                </c:pt>
                <c:pt idx="3">
                  <c:v>43335854</c:v>
                </c:pt>
                <c:pt idx="4">
                  <c:v>53222263</c:v>
                </c:pt>
              </c:numCache>
            </c:numRef>
          </c:val>
          <c:extLst>
            <c:ext xmlns:c16="http://schemas.microsoft.com/office/drawing/2014/chart" uri="{C3380CC4-5D6E-409C-BE32-E72D297353CC}">
              <c16:uniqueId val="{00000003-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6.9008012536636732E-3"/>
          <c:y val="7.5420939406401571E-2"/>
          <c:w val="0"/>
          <c:h val="0"/>
        </c:manualLayout>
      </c:layout>
      <c:barChart>
        <c:barDir val="col"/>
        <c:grouping val="clustered"/>
        <c:varyColors val="0"/>
        <c:ser>
          <c:idx val="2"/>
          <c:order val="0"/>
          <c:tx>
            <c:strRef>
              <c:f>throughput!$B$20</c:f>
              <c:strCache>
                <c:ptCount val="1"/>
                <c:pt idx="0">
                  <c:v>NM</c:v>
                </c:pt>
              </c:strCache>
            </c:strRef>
          </c:tx>
          <c:spPr>
            <a:solidFill>
              <a:schemeClr val="accent3"/>
            </a:solidFill>
            <a:ln>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throughput!$B$21:$B$25</c:f>
              <c:numCache>
                <c:formatCode>0</c:formatCode>
                <c:ptCount val="5"/>
                <c:pt idx="0">
                  <c:v>5807562</c:v>
                </c:pt>
                <c:pt idx="1">
                  <c:v>10624947</c:v>
                </c:pt>
                <c:pt idx="2">
                  <c:v>21862816</c:v>
                </c:pt>
                <c:pt idx="3">
                  <c:v>31597769</c:v>
                </c:pt>
                <c:pt idx="4">
                  <c:v>40419693</c:v>
                </c:pt>
              </c:numCache>
            </c:numRef>
          </c:val>
          <c:extLst>
            <c:ext xmlns:c16="http://schemas.microsoft.com/office/drawing/2014/chart" uri="{C3380CC4-5D6E-409C-BE32-E72D297353CC}">
              <c16:uniqueId val="{00000000-501B-430B-95FC-C01CB1FD10E4}"/>
            </c:ext>
          </c:extLst>
        </c:ser>
        <c:ser>
          <c:idx val="0"/>
          <c:order val="1"/>
          <c:tx>
            <c:strRef>
              <c:f>throughput!$C$20</c:f>
              <c:strCache>
                <c:ptCount val="1"/>
                <c:pt idx="0">
                  <c:v>BCCO</c:v>
                </c:pt>
              </c:strCache>
            </c:strRef>
          </c:tx>
          <c:spPr>
            <a:solidFill>
              <a:schemeClr val="accent1"/>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throughput!$C$21:$C$25</c:f>
              <c:numCache>
                <c:formatCode>0</c:formatCode>
                <c:ptCount val="5"/>
                <c:pt idx="0">
                  <c:v>6368399</c:v>
                </c:pt>
                <c:pt idx="1">
                  <c:v>11494413</c:v>
                </c:pt>
                <c:pt idx="2">
                  <c:v>23013638</c:v>
                </c:pt>
                <c:pt idx="3">
                  <c:v>32591826</c:v>
                </c:pt>
                <c:pt idx="4">
                  <c:v>41179670</c:v>
                </c:pt>
              </c:numCache>
            </c:numRef>
          </c:val>
          <c:extLst>
            <c:ext xmlns:c16="http://schemas.microsoft.com/office/drawing/2014/chart" uri="{C3380CC4-5D6E-409C-BE32-E72D297353CC}">
              <c16:uniqueId val="{00000001-501B-430B-95FC-C01CB1FD10E4}"/>
            </c:ext>
          </c:extLst>
        </c:ser>
        <c:ser>
          <c:idx val="1"/>
          <c:order val="2"/>
          <c:tx>
            <c:strRef>
              <c:f>throughput!$D$20</c:f>
              <c:strCache>
                <c:ptCount val="1"/>
                <c:pt idx="0">
                  <c:v>ABTree</c:v>
                </c:pt>
              </c:strCache>
            </c:strRef>
          </c:tx>
          <c:spPr>
            <a:solidFill>
              <a:schemeClr val="accent2"/>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throughput!$D$21:$D$25</c:f>
              <c:numCache>
                <c:formatCode>0</c:formatCode>
                <c:ptCount val="5"/>
                <c:pt idx="0">
                  <c:v>9900892</c:v>
                </c:pt>
                <c:pt idx="1">
                  <c:v>17356317</c:v>
                </c:pt>
                <c:pt idx="2">
                  <c:v>32537615</c:v>
                </c:pt>
                <c:pt idx="3">
                  <c:v>45514205</c:v>
                </c:pt>
                <c:pt idx="4">
                  <c:v>55546335</c:v>
                </c:pt>
              </c:numCache>
            </c:numRef>
          </c:val>
          <c:extLst>
            <c:ext xmlns:c16="http://schemas.microsoft.com/office/drawing/2014/chart" uri="{C3380CC4-5D6E-409C-BE32-E72D297353CC}">
              <c16:uniqueId val="{00000002-501B-430B-95FC-C01CB1FD10E4}"/>
            </c:ext>
          </c:extLst>
        </c:ser>
        <c:ser>
          <c:idx val="3"/>
          <c:order val="3"/>
          <c:tx>
            <c:strRef>
              <c:f>throughput!$E$20</c:f>
              <c:strCache>
                <c:ptCount val="1"/>
                <c:pt idx="0">
                  <c:v>ISTree</c:v>
                </c:pt>
              </c:strCache>
            </c:strRef>
          </c:tx>
          <c:spPr>
            <a:solidFill>
              <a:schemeClr val="accent4"/>
            </a:solidFill>
            <a:ln w="76200">
              <a:noFill/>
            </a:ln>
            <a:effectLst/>
          </c:spPr>
          <c:invertIfNegative val="0"/>
          <c:cat>
            <c:numRef>
              <c:f>throughput!$A$21:$A$25</c:f>
              <c:numCache>
                <c:formatCode>General</c:formatCode>
                <c:ptCount val="5"/>
                <c:pt idx="0">
                  <c:v>24</c:v>
                </c:pt>
                <c:pt idx="1">
                  <c:v>48</c:v>
                </c:pt>
                <c:pt idx="2">
                  <c:v>96</c:v>
                </c:pt>
                <c:pt idx="3">
                  <c:v>144</c:v>
                </c:pt>
                <c:pt idx="4">
                  <c:v>190</c:v>
                </c:pt>
              </c:numCache>
            </c:numRef>
          </c:cat>
          <c:val>
            <c:numRef>
              <c:f>throughput!$E$21:$E$25</c:f>
              <c:numCache>
                <c:formatCode>0</c:formatCode>
                <c:ptCount val="5"/>
                <c:pt idx="0">
                  <c:v>10145920</c:v>
                </c:pt>
                <c:pt idx="1">
                  <c:v>17289181</c:v>
                </c:pt>
                <c:pt idx="2">
                  <c:v>31804374</c:v>
                </c:pt>
                <c:pt idx="3">
                  <c:v>43335854</c:v>
                </c:pt>
                <c:pt idx="4">
                  <c:v>53222263</c:v>
                </c:pt>
              </c:numCache>
            </c:numRef>
          </c:val>
          <c:extLst>
            <c:ext xmlns:c16="http://schemas.microsoft.com/office/drawing/2014/chart" uri="{C3380CC4-5D6E-409C-BE32-E72D297353CC}">
              <c16:uniqueId val="{00000003-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'height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62</c:v>
                </c:pt>
                <c:pt idx="1">
                  <c:v>63.333333333333336</c:v>
                </c:pt>
                <c:pt idx="2">
                  <c:v>63</c:v>
                </c:pt>
                <c:pt idx="3">
                  <c:v>66</c:v>
                </c:pt>
                <c:pt idx="4">
                  <c:v>62.666666666666664</c:v>
                </c:pt>
              </c:numCache>
            </c:numRef>
          </c:val>
          <c:extLst>
            <c:ext xmlns:c16="http://schemas.microsoft.com/office/drawing/2014/chart" uri="{C3380CC4-5D6E-409C-BE32-E72D297353CC}">
              <c16:uniqueId val="{00000000-D0B9-4106-9ADB-3133E02A864E}"/>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29.333333333333332</c:v>
                </c:pt>
                <c:pt idx="1">
                  <c:v>29.333333333333332</c:v>
                </c:pt>
                <c:pt idx="2">
                  <c:v>30</c:v>
                </c:pt>
                <c:pt idx="3">
                  <c:v>30.333333333333332</c:v>
                </c:pt>
                <c:pt idx="4">
                  <c:v>30.333333333333332</c:v>
                </c:pt>
              </c:numCache>
            </c:numRef>
          </c:val>
          <c:extLst>
            <c:ext xmlns:c16="http://schemas.microsoft.com/office/drawing/2014/chart" uri="{C3380CC4-5D6E-409C-BE32-E72D297353CC}">
              <c16:uniqueId val="{00000001-D0B9-4106-9ADB-3133E02A864E}"/>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9.3333333333333339</c:v>
                </c:pt>
                <c:pt idx="1">
                  <c:v>9.3333333333333339</c:v>
                </c:pt>
                <c:pt idx="2">
                  <c:v>9.3333333333333339</c:v>
                </c:pt>
                <c:pt idx="3">
                  <c:v>9.3333333333333339</c:v>
                </c:pt>
                <c:pt idx="4">
                  <c:v>9.6666666666666661</c:v>
                </c:pt>
              </c:numCache>
            </c:numRef>
          </c:val>
          <c:extLst>
            <c:ext xmlns:c16="http://schemas.microsoft.com/office/drawing/2014/chart" uri="{C3380CC4-5D6E-409C-BE32-E72D297353CC}">
              <c16:uniqueId val="{00000002-D0B9-4106-9ADB-3133E02A864E}"/>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6.666666666666667</c:v>
                </c:pt>
                <c:pt idx="1">
                  <c:v>6.666666666666667</c:v>
                </c:pt>
                <c:pt idx="2">
                  <c:v>6.666666666666667</c:v>
                </c:pt>
                <c:pt idx="3">
                  <c:v>6.666666666666667</c:v>
                </c:pt>
                <c:pt idx="4">
                  <c:v>6.666666666666667</c:v>
                </c:pt>
              </c:numCache>
            </c:numRef>
          </c:val>
          <c:extLst>
            <c:ext xmlns:c16="http://schemas.microsoft.com/office/drawing/2014/chart" uri="{C3380CC4-5D6E-409C-BE32-E72D297353CC}">
              <c16:uniqueId val="{00000003-D0B9-4106-9ADB-3133E02A864E}"/>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tree height</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'height (no)'!$B$20</c:f>
              <c:strCache>
                <c:ptCount val="1"/>
                <c:pt idx="0">
                  <c:v>natarajan_ext_bst_lf</c:v>
                </c:pt>
              </c:strCache>
            </c:strRef>
          </c:tx>
          <c:spPr>
            <a:solidFill>
              <a:schemeClr val="accent3"/>
            </a:solidFill>
            <a:ln>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(no)'!$B$21:$B$25</c:f>
              <c:numCache>
                <c:formatCode>0</c:formatCode>
                <c:ptCount val="5"/>
                <c:pt idx="0">
                  <c:v>62</c:v>
                </c:pt>
                <c:pt idx="1">
                  <c:v>63.333333333333336</c:v>
                </c:pt>
                <c:pt idx="2">
                  <c:v>63</c:v>
                </c:pt>
                <c:pt idx="3">
                  <c:v>66</c:v>
                </c:pt>
                <c:pt idx="4">
                  <c:v>62.666666666666664</c:v>
                </c:pt>
              </c:numCache>
            </c:numRef>
          </c:val>
          <c:extLst>
            <c:ext xmlns:c16="http://schemas.microsoft.com/office/drawing/2014/chart" uri="{C3380CC4-5D6E-409C-BE32-E72D297353CC}">
              <c16:uniqueId val="{00000000-4663-4522-89FC-6A25DB2584E4}"/>
            </c:ext>
          </c:extLst>
        </c:ser>
        <c:ser>
          <c:idx val="0"/>
          <c:order val="1"/>
          <c:tx>
            <c:strRef>
              <c:f>'height (no)'!$C$20</c:f>
              <c:strCache>
                <c:ptCount val="1"/>
                <c:pt idx="0">
                  <c:v>bronson_pext_bst_occ</c:v>
                </c:pt>
              </c:strCache>
            </c:strRef>
          </c:tx>
          <c:spPr>
            <a:solidFill>
              <a:schemeClr val="accent1"/>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(no)'!$C$21:$C$25</c:f>
              <c:numCache>
                <c:formatCode>0</c:formatCode>
                <c:ptCount val="5"/>
                <c:pt idx="0">
                  <c:v>29.333333333333332</c:v>
                </c:pt>
                <c:pt idx="1">
                  <c:v>29.333333333333332</c:v>
                </c:pt>
                <c:pt idx="2">
                  <c:v>30</c:v>
                </c:pt>
                <c:pt idx="3">
                  <c:v>30.333333333333332</c:v>
                </c:pt>
                <c:pt idx="4">
                  <c:v>30.333333333333332</c:v>
                </c:pt>
              </c:numCache>
            </c:numRef>
          </c:val>
          <c:extLst>
            <c:ext xmlns:c16="http://schemas.microsoft.com/office/drawing/2014/chart" uri="{C3380CC4-5D6E-409C-BE32-E72D297353CC}">
              <c16:uniqueId val="{00000001-4663-4522-89FC-6A25DB2584E4}"/>
            </c:ext>
          </c:extLst>
        </c:ser>
        <c:ser>
          <c:idx val="1"/>
          <c:order val="2"/>
          <c:tx>
            <c:strRef>
              <c:f>'height (no)'!$D$20</c:f>
              <c:strCache>
                <c:ptCount val="1"/>
                <c:pt idx="0">
                  <c:v>brown_ext_abtree_lf</c:v>
                </c:pt>
              </c:strCache>
            </c:strRef>
          </c:tx>
          <c:spPr>
            <a:solidFill>
              <a:schemeClr val="accent2"/>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(no)'!$D$21:$D$25</c:f>
              <c:numCache>
                <c:formatCode>0</c:formatCode>
                <c:ptCount val="5"/>
                <c:pt idx="0">
                  <c:v>9.3333333333333339</c:v>
                </c:pt>
                <c:pt idx="1">
                  <c:v>9.3333333333333339</c:v>
                </c:pt>
                <c:pt idx="2">
                  <c:v>9.3333333333333339</c:v>
                </c:pt>
                <c:pt idx="3">
                  <c:v>9.3333333333333339</c:v>
                </c:pt>
                <c:pt idx="4">
                  <c:v>9.6666666666666661</c:v>
                </c:pt>
              </c:numCache>
            </c:numRef>
          </c:val>
          <c:extLst>
            <c:ext xmlns:c16="http://schemas.microsoft.com/office/drawing/2014/chart" uri="{C3380CC4-5D6E-409C-BE32-E72D297353CC}">
              <c16:uniqueId val="{00000002-4663-4522-89FC-6A25DB2584E4}"/>
            </c:ext>
          </c:extLst>
        </c:ser>
        <c:ser>
          <c:idx val="3"/>
          <c:order val="3"/>
          <c:tx>
            <c:strRef>
              <c:f>'height (no)'!$E$20</c:f>
              <c:strCache>
                <c:ptCount val="1"/>
                <c:pt idx="0">
                  <c:v>brown_ext_ist_lf</c:v>
                </c:pt>
              </c:strCache>
            </c:strRef>
          </c:tx>
          <c:spPr>
            <a:solidFill>
              <a:schemeClr val="accent4"/>
            </a:solidFill>
            <a:ln w="76200">
              <a:noFill/>
            </a:ln>
            <a:effectLst/>
          </c:spPr>
          <c:invertIfNegative val="0"/>
          <c:cat>
            <c:numRef>
              <c:f>'height (no)'!$A$21:$A$25</c:f>
              <c:numCache>
                <c:formatCode>General</c:formatCode>
                <c:ptCount val="5"/>
                <c:pt idx="0">
                  <c:v>24</c:v>
                </c:pt>
                <c:pt idx="1">
                  <c:v>48</c:v>
                </c:pt>
                <c:pt idx="2">
                  <c:v>96</c:v>
                </c:pt>
                <c:pt idx="3">
                  <c:v>144</c:v>
                </c:pt>
                <c:pt idx="4">
                  <c:v>190</c:v>
                </c:pt>
              </c:numCache>
            </c:numRef>
          </c:cat>
          <c:val>
            <c:numRef>
              <c:f>'height (no)'!$E$21:$E$25</c:f>
              <c:numCache>
                <c:formatCode>0</c:formatCode>
                <c:ptCount val="5"/>
                <c:pt idx="0">
                  <c:v>6.666666666666667</c:v>
                </c:pt>
                <c:pt idx="1">
                  <c:v>6.666666666666667</c:v>
                </c:pt>
                <c:pt idx="2">
                  <c:v>6.666666666666667</c:v>
                </c:pt>
                <c:pt idx="3">
                  <c:v>6.666666666666667</c:v>
                </c:pt>
                <c:pt idx="4">
                  <c:v>6.666666666666667</c:v>
                </c:pt>
              </c:numCache>
            </c:numRef>
          </c:val>
          <c:extLst>
            <c:ext xmlns:c16="http://schemas.microsoft.com/office/drawing/2014/chart" uri="{C3380CC4-5D6E-409C-BE32-E72D297353CC}">
              <c16:uniqueId val="{00000003-4663-4522-89FC-6A25DB2584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'prefilling (no)'!$B$2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2007</c:v>
                </c:pt>
                <c:pt idx="1">
                  <c:v>1341.6666666666667</c:v>
                </c:pt>
                <c:pt idx="2">
                  <c:v>883.66666666666663</c:v>
                </c:pt>
                <c:pt idx="3">
                  <c:v>530.33333333333337</c:v>
                </c:pt>
                <c:pt idx="4">
                  <c:v>534.33333333333337</c:v>
                </c:pt>
              </c:numCache>
            </c:numRef>
          </c:val>
          <c:extLst>
            <c:ext xmlns:c16="http://schemas.microsoft.com/office/drawing/2014/chart" uri="{C3380CC4-5D6E-409C-BE32-E72D297353CC}">
              <c16:uniqueId val="{00000000-D2FE-4A27-85BA-9E028FF15918}"/>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2048</c:v>
                </c:pt>
                <c:pt idx="1">
                  <c:v>1368</c:v>
                </c:pt>
                <c:pt idx="2">
                  <c:v>937.66666666666663</c:v>
                </c:pt>
                <c:pt idx="3">
                  <c:v>573.66666666666663</c:v>
                </c:pt>
                <c:pt idx="4">
                  <c:v>572.33333333333337</c:v>
                </c:pt>
              </c:numCache>
            </c:numRef>
          </c:val>
          <c:extLst>
            <c:ext xmlns:c16="http://schemas.microsoft.com/office/drawing/2014/chart" uri="{C3380CC4-5D6E-409C-BE32-E72D297353CC}">
              <c16:uniqueId val="{00000001-D2FE-4A27-85BA-9E028FF15918}"/>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1630.3333333333333</c:v>
                </c:pt>
                <c:pt idx="1">
                  <c:v>1256.6666666666667</c:v>
                </c:pt>
                <c:pt idx="2">
                  <c:v>1139.6666666666667</c:v>
                </c:pt>
                <c:pt idx="3">
                  <c:v>909.33333333333337</c:v>
                </c:pt>
                <c:pt idx="4">
                  <c:v>990.33333333333337</c:v>
                </c:pt>
              </c:numCache>
            </c:numRef>
          </c:val>
          <c:extLst>
            <c:ext xmlns:c16="http://schemas.microsoft.com/office/drawing/2014/chart" uri="{C3380CC4-5D6E-409C-BE32-E72D297353CC}">
              <c16:uniqueId val="{00000002-D2FE-4A27-85BA-9E028FF15918}"/>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1438</c:v>
                </c:pt>
                <c:pt idx="1">
                  <c:v>1137.6666666666667</c:v>
                </c:pt>
                <c:pt idx="2">
                  <c:v>1167.3333333333333</c:v>
                </c:pt>
                <c:pt idx="3">
                  <c:v>1082.6666666666667</c:v>
                </c:pt>
                <c:pt idx="4">
                  <c:v>1232.6666666666667</c:v>
                </c:pt>
              </c:numCache>
            </c:numRef>
          </c:val>
          <c:extLst>
            <c:ext xmlns:c16="http://schemas.microsoft.com/office/drawing/2014/chart" uri="{C3380CC4-5D6E-409C-BE32-E72D297353CC}">
              <c16:uniqueId val="{00000003-D2FE-4A27-85BA-9E028FF15918}"/>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baseline="0">
                    <a:solidFill>
                      <a:schemeClr val="bg1"/>
                    </a:solidFill>
                  </a:rPr>
                  <a:t>prefilling time (milliseconds)</a:t>
                </a:r>
                <a:endParaRPr lang="en-US" sz="4000">
                  <a:solidFill>
                    <a:schemeClr val="bg1"/>
                  </a:solidFill>
                </a:endParaRPr>
              </a:p>
            </c:rich>
          </c:tx>
          <c:layout>
            <c:manualLayout>
              <c:xMode val="edge"/>
              <c:yMode val="edge"/>
              <c:x val="8.5991785753158547E-3"/>
              <c:y val="4.5443208750547019E-2"/>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'prefilling (no)'!$B$20</c:f>
              <c:strCache>
                <c:ptCount val="1"/>
                <c:pt idx="0">
                  <c:v>natarajan_ext_bst_lf</c:v>
                </c:pt>
              </c:strCache>
            </c:strRef>
          </c:tx>
          <c:spPr>
            <a:solidFill>
              <a:schemeClr val="accent3"/>
            </a:solidFill>
            <a:ln>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(no)'!$B$21:$B$25</c:f>
              <c:numCache>
                <c:formatCode>0</c:formatCode>
                <c:ptCount val="5"/>
                <c:pt idx="0">
                  <c:v>2007</c:v>
                </c:pt>
                <c:pt idx="1">
                  <c:v>1341.6666666666667</c:v>
                </c:pt>
                <c:pt idx="2">
                  <c:v>883.66666666666663</c:v>
                </c:pt>
                <c:pt idx="3">
                  <c:v>530.33333333333337</c:v>
                </c:pt>
                <c:pt idx="4">
                  <c:v>534.33333333333337</c:v>
                </c:pt>
              </c:numCache>
            </c:numRef>
          </c:val>
          <c:extLst>
            <c:ext xmlns:c16="http://schemas.microsoft.com/office/drawing/2014/chart" uri="{C3380CC4-5D6E-409C-BE32-E72D297353CC}">
              <c16:uniqueId val="{00000000-4D1D-45DB-8377-5D701680C7E9}"/>
            </c:ext>
          </c:extLst>
        </c:ser>
        <c:ser>
          <c:idx val="0"/>
          <c:order val="1"/>
          <c:tx>
            <c:strRef>
              <c:f>'prefilling (no)'!$C$20</c:f>
              <c:strCache>
                <c:ptCount val="1"/>
                <c:pt idx="0">
                  <c:v>bronson_pext_bst_occ</c:v>
                </c:pt>
              </c:strCache>
            </c:strRef>
          </c:tx>
          <c:spPr>
            <a:solidFill>
              <a:schemeClr val="accent1"/>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(no)'!$C$21:$C$25</c:f>
              <c:numCache>
                <c:formatCode>0</c:formatCode>
                <c:ptCount val="5"/>
                <c:pt idx="0">
                  <c:v>2048</c:v>
                </c:pt>
                <c:pt idx="1">
                  <c:v>1368</c:v>
                </c:pt>
                <c:pt idx="2">
                  <c:v>937.66666666666663</c:v>
                </c:pt>
                <c:pt idx="3">
                  <c:v>573.66666666666663</c:v>
                </c:pt>
                <c:pt idx="4">
                  <c:v>572.33333333333337</c:v>
                </c:pt>
              </c:numCache>
            </c:numRef>
          </c:val>
          <c:extLst>
            <c:ext xmlns:c16="http://schemas.microsoft.com/office/drawing/2014/chart" uri="{C3380CC4-5D6E-409C-BE32-E72D297353CC}">
              <c16:uniqueId val="{00000001-4D1D-45DB-8377-5D701680C7E9}"/>
            </c:ext>
          </c:extLst>
        </c:ser>
        <c:ser>
          <c:idx val="1"/>
          <c:order val="2"/>
          <c:tx>
            <c:strRef>
              <c:f>'prefilling (no)'!$D$20</c:f>
              <c:strCache>
                <c:ptCount val="1"/>
                <c:pt idx="0">
                  <c:v>brown_ext_abtree_lf</c:v>
                </c:pt>
              </c:strCache>
            </c:strRef>
          </c:tx>
          <c:spPr>
            <a:solidFill>
              <a:schemeClr val="accent2"/>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(no)'!$D$21:$D$25</c:f>
              <c:numCache>
                <c:formatCode>0</c:formatCode>
                <c:ptCount val="5"/>
                <c:pt idx="0">
                  <c:v>1630.3333333333333</c:v>
                </c:pt>
                <c:pt idx="1">
                  <c:v>1256.6666666666667</c:v>
                </c:pt>
                <c:pt idx="2">
                  <c:v>1139.6666666666667</c:v>
                </c:pt>
                <c:pt idx="3">
                  <c:v>909.33333333333337</c:v>
                </c:pt>
                <c:pt idx="4">
                  <c:v>990.33333333333337</c:v>
                </c:pt>
              </c:numCache>
            </c:numRef>
          </c:val>
          <c:extLst>
            <c:ext xmlns:c16="http://schemas.microsoft.com/office/drawing/2014/chart" uri="{C3380CC4-5D6E-409C-BE32-E72D297353CC}">
              <c16:uniqueId val="{00000002-4D1D-45DB-8377-5D701680C7E9}"/>
            </c:ext>
          </c:extLst>
        </c:ser>
        <c:ser>
          <c:idx val="3"/>
          <c:order val="3"/>
          <c:tx>
            <c:strRef>
              <c:f>'prefilling (no)'!$E$20</c:f>
              <c:strCache>
                <c:ptCount val="1"/>
                <c:pt idx="0">
                  <c:v>brown_ext_ist_lf</c:v>
                </c:pt>
              </c:strCache>
            </c:strRef>
          </c:tx>
          <c:spPr>
            <a:solidFill>
              <a:schemeClr val="accent4"/>
            </a:solidFill>
            <a:ln w="76200">
              <a:noFill/>
            </a:ln>
            <a:effectLst/>
          </c:spPr>
          <c:invertIfNegative val="0"/>
          <c:cat>
            <c:numRef>
              <c:f>'prefilling (no)'!$A$21:$A$25</c:f>
              <c:numCache>
                <c:formatCode>General</c:formatCode>
                <c:ptCount val="5"/>
                <c:pt idx="0">
                  <c:v>24</c:v>
                </c:pt>
                <c:pt idx="1">
                  <c:v>48</c:v>
                </c:pt>
                <c:pt idx="2">
                  <c:v>96</c:v>
                </c:pt>
                <c:pt idx="3">
                  <c:v>144</c:v>
                </c:pt>
                <c:pt idx="4">
                  <c:v>190</c:v>
                </c:pt>
              </c:numCache>
            </c:numRef>
          </c:cat>
          <c:val>
            <c:numRef>
              <c:f>'prefilling (no)'!$E$21:$E$25</c:f>
              <c:numCache>
                <c:formatCode>0</c:formatCode>
                <c:ptCount val="5"/>
                <c:pt idx="0">
                  <c:v>1438</c:v>
                </c:pt>
                <c:pt idx="1">
                  <c:v>1137.6666666666667</c:v>
                </c:pt>
                <c:pt idx="2">
                  <c:v>1167.3333333333333</c:v>
                </c:pt>
                <c:pt idx="3">
                  <c:v>1082.6666666666667</c:v>
                </c:pt>
                <c:pt idx="4">
                  <c:v>1232.6666666666667</c:v>
                </c:pt>
              </c:numCache>
            </c:numRef>
          </c:val>
          <c:extLst>
            <c:ext xmlns:c16="http://schemas.microsoft.com/office/drawing/2014/chart" uri="{C3380CC4-5D6E-409C-BE32-E72D297353CC}">
              <c16:uniqueId val="{00000003-4D1D-45DB-8377-5D701680C7E9}"/>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'cycle_breakdown (replaced)'!$B$2</c:f>
          <c:strCache>
            <c:ptCount val="1"/>
            <c:pt idx="0">
              <c:v>(All)</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stacked"/>
        <c:varyColors val="0"/>
        <c:ser>
          <c:idx val="2"/>
          <c:order val="0"/>
          <c:tx>
            <c:strRef>
              <c:f>'cycle_breakdown (replaced)'!$B$20</c:f>
              <c:strCache>
                <c:ptCount val="1"/>
                <c:pt idx="0">
                  <c:v>other</c:v>
                </c:pt>
              </c:strCache>
            </c:strRef>
          </c:tx>
          <c:spPr>
            <a:solidFill>
              <a:schemeClr val="accent3"/>
            </a:solidFill>
            <a:ln>
              <a:noFill/>
            </a:ln>
            <a:effectLst/>
          </c:spPr>
          <c:invertIfNegative val="0"/>
          <c:cat>
            <c:strRef>
              <c:f>'cycle_breakdown (replaced)'!$A$21:$A$24</c:f>
              <c:strCache>
                <c:ptCount val="4"/>
                <c:pt idx="0">
                  <c:v>NM</c:v>
                </c:pt>
                <c:pt idx="1">
                  <c:v>BCCO</c:v>
                </c:pt>
                <c:pt idx="2">
                  <c:v>ABTree</c:v>
                </c:pt>
                <c:pt idx="3">
                  <c:v>ISTree</c:v>
                </c:pt>
              </c:strCache>
            </c:strRef>
          </c:cat>
          <c:val>
            <c:numRef>
              <c:f>'cycle_breakdown (replaced)'!$B$21:$B$24</c:f>
              <c:numCache>
                <c:formatCode>0</c:formatCode>
                <c:ptCount val="4"/>
                <c:pt idx="0">
                  <c:v>11945.933333333334</c:v>
                </c:pt>
                <c:pt idx="1">
                  <c:v>11920</c:v>
                </c:pt>
                <c:pt idx="2">
                  <c:v>8871.2966666666671</c:v>
                </c:pt>
                <c:pt idx="3">
                  <c:v>8954.4233333333341</c:v>
                </c:pt>
              </c:numCache>
            </c:numRef>
          </c:val>
          <c:extLst>
            <c:ext xmlns:c16="http://schemas.microsoft.com/office/drawing/2014/chart" uri="{C3380CC4-5D6E-409C-BE32-E72D297353CC}">
              <c16:uniqueId val="{00000000-5BFF-4BE3-9541-D77702118A91}"/>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cat>
            <c:strRef>
              <c:f>'cycle_breakdown (replaced)'!$A$21:$A$24</c:f>
              <c:strCache>
                <c:ptCount val="4"/>
                <c:pt idx="0">
                  <c:v>NM</c:v>
                </c:pt>
                <c:pt idx="1">
                  <c:v>BCCO</c:v>
                </c:pt>
                <c:pt idx="2">
                  <c:v>ABTree</c:v>
                </c:pt>
                <c:pt idx="3">
                  <c:v>ISTree</c:v>
                </c:pt>
              </c:strCache>
            </c:strRef>
          </c:cat>
          <c:val>
            <c:numRef>
              <c:f>'cycle_breakdown (replaced)'!$C$21:$C$24</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5BFF-4BE3-9541-D77702118A91}"/>
            </c:ext>
          </c:extLst>
        </c:ser>
        <c:dLbls>
          <c:showLegendKey val="0"/>
          <c:showVal val="0"/>
          <c:showCatName val="0"/>
          <c:showSerName val="0"/>
          <c:showPercent val="0"/>
          <c:showBubbleSize val="0"/>
        </c:dLbls>
        <c:gapWidth val="150"/>
        <c:overlap val="10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cycles per operation </a:t>
                </a:r>
                <a:r>
                  <a:rPr lang="en-US" sz="4000" b="1">
                    <a:solidFill>
                      <a:schemeClr val="bg1"/>
                    </a:solidFill>
                  </a:rPr>
                  <a:t>breakdown</a:t>
                </a: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'cycle_breakdown (replaced)'!$B$20</c:f>
              <c:strCache>
                <c:ptCount val="1"/>
                <c:pt idx="0">
                  <c:v>other</c:v>
                </c:pt>
              </c:strCache>
            </c:strRef>
          </c:tx>
          <c:spPr>
            <a:solidFill>
              <a:schemeClr val="accent3"/>
            </a:solidFill>
            <a:ln>
              <a:noFill/>
            </a:ln>
            <a:effectLst/>
          </c:spPr>
          <c:invertIfNegative val="0"/>
          <c:val>
            <c:numRef>
              <c:f>'cycle_breakdown (replaced)'!$B$21:$B$25</c:f>
              <c:numCache>
                <c:formatCode>0</c:formatCode>
                <c:ptCount val="5"/>
                <c:pt idx="0">
                  <c:v>11945.933333333334</c:v>
                </c:pt>
                <c:pt idx="1">
                  <c:v>11920</c:v>
                </c:pt>
                <c:pt idx="2">
                  <c:v>8871.2966666666671</c:v>
                </c:pt>
                <c:pt idx="3">
                  <c:v>8954.4233333333341</c:v>
                </c:pt>
                <c:pt idx="4">
                  <c:v>0</c:v>
                </c:pt>
              </c:numCache>
            </c:numRef>
          </c:val>
          <c:extLst>
            <c:ext xmlns:c16="http://schemas.microsoft.com/office/drawing/2014/chart" uri="{C3380CC4-5D6E-409C-BE32-E72D297353CC}">
              <c16:uniqueId val="{00000000-0431-40F5-8C77-825D1B4966BF}"/>
            </c:ext>
          </c:extLst>
        </c:ser>
        <c:ser>
          <c:idx val="0"/>
          <c:order val="1"/>
          <c:tx>
            <c:strRef>
              <c:f>'cycle_breakdown (replaced)'!$C$20</c:f>
              <c:strCache>
                <c:ptCount val="1"/>
                <c:pt idx="0">
                  <c:v>resource stall</c:v>
                </c:pt>
              </c:strCache>
            </c:strRef>
          </c:tx>
          <c:spPr>
            <a:solidFill>
              <a:schemeClr val="accent1"/>
            </a:solidFill>
            <a:ln w="76200">
              <a:noFill/>
            </a:ln>
            <a:effectLst/>
          </c:spPr>
          <c:invertIfNegative val="0"/>
          <c:val>
            <c:numRef>
              <c:f>'cycle_breakdown (replaced)'!$C$21:$C$25</c:f>
              <c:numCache>
                <c:formatCode>General</c:formatCode>
                <c:ptCount val="5"/>
                <c:pt idx="0">
                  <c:v>0</c:v>
                </c:pt>
                <c:pt idx="1">
                  <c:v>0</c:v>
                </c:pt>
                <c:pt idx="2">
                  <c:v>0</c:v>
                </c:pt>
                <c:pt idx="3">
                  <c:v>0</c:v>
                </c:pt>
                <c:pt idx="4" formatCode="0">
                  <c:v>0</c:v>
                </c:pt>
              </c:numCache>
            </c:numRef>
          </c:val>
          <c:extLst>
            <c:ext xmlns:c16="http://schemas.microsoft.com/office/drawing/2014/chart" uri="{C3380CC4-5D6E-409C-BE32-E72D297353CC}">
              <c16:uniqueId val="{00000001-0431-40F5-8C77-825D1B4966BF}"/>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a:extLst>
            <a:ext uri="{FF2B5EF4-FFF2-40B4-BE49-F238E27FC236}">
              <a16:creationId xmlns:a16="http://schemas.microsoft.com/office/drawing/2014/main" id="{00000000-0008-0000-0000-000002000000}"/>
            </a:ext>
          </a:extLst>
        </xdr:cNvPr>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2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2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2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3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3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3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400-000002000000}"/>
            </a:ext>
          </a:extLst>
        </xdr:cNvPr>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400-000003000000}"/>
            </a:ext>
          </a:extLst>
        </xdr:cNvPr>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400-000004000000}"/>
            </a:ext>
          </a:extLst>
        </xdr:cNvPr>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Main">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217716</xdr:colOff>
      <xdr:row>43</xdr:row>
      <xdr:rowOff>27217</xdr:rowOff>
    </xdr:from>
    <xdr:to>
      <xdr:col>38</xdr:col>
      <xdr:colOff>278947</xdr:colOff>
      <xdr:row>46</xdr:row>
      <xdr:rowOff>27215</xdr:rowOff>
    </xdr:to>
    <xdr:graphicFrame macro="">
      <xdr:nvGraphicFramePr>
        <xdr:cNvPr id="6" name="ChartLegend">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6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6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6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7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7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7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a:extLst>
            <a:ext uri="{FF2B5EF4-FFF2-40B4-BE49-F238E27FC236}">
              <a16:creationId xmlns:a16="http://schemas.microsoft.com/office/drawing/2014/main" id="{00000000-0008-0000-0800-000002000000}"/>
            </a:ext>
          </a:extLst>
        </xdr:cNvPr>
        <xdr:cNvSpPr/>
      </xdr:nvSpPr>
      <xdr:spPr>
        <a:xfrm>
          <a:off x="5326743" y="803729"/>
          <a:ext cx="1579562" cy="39401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a:extLst>
            <a:ext uri="{FF2B5EF4-FFF2-40B4-BE49-F238E27FC236}">
              <a16:creationId xmlns:a16="http://schemas.microsoft.com/office/drawing/2014/main" id="{00000000-0008-0000-0800-000003000000}"/>
            </a:ext>
          </a:extLst>
        </xdr:cNvPr>
        <xdr:cNvSpPr/>
      </xdr:nvSpPr>
      <xdr:spPr>
        <a:xfrm>
          <a:off x="5326743" y="1292873"/>
          <a:ext cx="1579562" cy="398097"/>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a:extLst>
            <a:ext uri="{FF2B5EF4-FFF2-40B4-BE49-F238E27FC236}">
              <a16:creationId xmlns:a16="http://schemas.microsoft.com/office/drawing/2014/main" id="{00000000-0008-0000-0800-000004000000}"/>
            </a:ext>
          </a:extLst>
        </xdr:cNvPr>
        <xdr:cNvSpPr/>
      </xdr:nvSpPr>
      <xdr:spPr>
        <a:xfrm>
          <a:off x="5331506" y="1776573"/>
          <a:ext cx="1573212" cy="39401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190499</xdr:colOff>
      <xdr:row>1</xdr:row>
      <xdr:rowOff>171450</xdr:rowOff>
    </xdr:from>
    <xdr:to>
      <xdr:col>41</xdr:col>
      <xdr:colOff>523873</xdr:colOff>
      <xdr:row>42</xdr:row>
      <xdr:rowOff>25400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36</xdr:col>
      <xdr:colOff>394607</xdr:colOff>
      <xdr:row>46</xdr:row>
      <xdr:rowOff>149678</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bot" refreshedDate="43683.911219097223" missingItemsLimit="0" createdVersion="6" refreshedVersion="6" minRefreshableVersion="3" recordCount="61" xr:uid="{00000000-000A-0000-FFFF-FFFF66000000}">
  <cacheSource type="worksheet">
    <worksheetSource ref="A1:BF1048576" sheet="data"/>
  </cacheSource>
  <cacheFields count="58">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5"/>
    </cacheField>
    <cacheField name="DEL" numFmtId="0">
      <sharedItems containsString="0" containsBlank="1" containsNumber="1" minValue="0" maxValue="5"/>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00" maxValue="200000000"/>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9772957575788" maxValue="6087027408791770"/>
    </cacheField>
    <cacheField name="threads_final_size" numFmtId="0">
      <sharedItems containsString="0" containsBlank="1" containsNumber="1" containsInteger="1" minValue="10000000" maxValue="60875753"/>
    </cacheField>
    <cacheField name="final_keysum" numFmtId="0">
      <sharedItems containsString="0" containsBlank="1" containsNumber="1" containsInteger="1" minValue="999772957575788" maxValue="6087027408791770"/>
    </cacheField>
    <cacheField name="final_size" numFmtId="0">
      <sharedItems containsString="0" containsBlank="1" containsNumber="1" containsInteger="1" minValue="10000000" maxValue="60875753"/>
    </cacheField>
    <cacheField name="validate_result" numFmtId="0">
      <sharedItems containsBlank="1"/>
    </cacheField>
    <cacheField name="tree_stats_height" numFmtId="0">
      <sharedItems containsString="0" containsBlank="1" containsNumber="1" containsInteger="1" minValue="6" maxValue="71"/>
    </cacheField>
    <cacheField name="tree_stats_numInternals" numFmtId="0">
      <sharedItems containsString="0" containsBlank="1" containsNumber="1" containsInteger="1" minValue="185114" maxValue="50922435"/>
    </cacheField>
    <cacheField name="tree_stats_numLeaves" numFmtId="0">
      <sharedItems containsString="0" containsBlank="1" containsNumber="1" containsInteger="1" minValue="1275805" maxValue="68562152"/>
    </cacheField>
    <cacheField name="tree_stats_numNodes" numFmtId="0">
      <sharedItems containsString="0" containsBlank="1" containsNumber="1" containsInteger="1" minValue="1461017" maxValue="101844871"/>
    </cacheField>
    <cacheField name="tree_stats_numKeys" numFmtId="0">
      <sharedItems containsString="0" containsBlank="1" containsNumber="1" containsInteger="1" minValue="10000000" maxValue="60875753"/>
    </cacheField>
    <cacheField name="tree_stats_avgDegreeInternal" numFmtId="0">
      <sharedItems containsString="0" containsBlank="1" containsNumber="1" minValue="1.74987" maxValue="8.9237000000000002"/>
    </cacheField>
    <cacheField name="tree_stats_avgDegreeLeaves" numFmtId="0">
      <sharedItems containsString="0" containsBlank="1" containsNumber="1" minValue="0.84719299999999997" maxValue="7.83819"/>
    </cacheField>
    <cacheField name="tree_stats_avgKeyDepth" numFmtId="0">
      <sharedItems containsString="0" containsBlank="1" containsNumber="1" minValue="4" maxValue="34.655099999999997"/>
    </cacheField>
    <cacheField name="tree_stats_sizeInBytes" numFmtId="0">
      <sharedItems containsString="0" containsBlank="1" containsNumber="1" containsInteger="1" minValue="303891536" maxValue="3259035872"/>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400" maxValue="70641"/>
    </cacheField>
    <cacheField name="first_thread_announced_epoch_by_index" numFmtId="0">
      <sharedItems containsBlank="1" containsMixedTypes="1" containsNumber="1" containsInteger="1" minValue="9668" maxValue="127992"/>
    </cacheField>
    <cacheField name="sum_duration_all_ops_total" numFmtId="0">
      <sharedItems containsNonDate="0" containsString="0" containsBlank="1"/>
    </cacheField>
    <cacheField name="sum_duration_markAndCount_total" numFmtId="0">
      <sharedItems containsNonDate="0" containsString="0" containsBlank="1"/>
    </cacheField>
    <cacheField name="sum_duration_wastedWorkBuilding_total" numFmtId="0">
      <sharedItems containsNonDate="0" containsString="0" containsBlank="1"/>
    </cacheField>
    <cacheField name="sum_duration_buildAndReplace_total" numFmtId="0">
      <sharedItems containsNonDate="0" containsString="0" containsBlank="1"/>
    </cacheField>
    <cacheField name="sum_duration_rotateAndFree_total" numFmtId="0">
      <sharedItems containsNonDate="0" containsString="0" containsBlank="1"/>
    </cacheField>
    <cacheField name="sum_duration_traverseAndRetire_total" numFmtId="0">
      <sharedItems containsNonDate="0" containsString="0" containsBlank="1"/>
    </cacheField>
    <cacheField name="total_find" numFmtId="0">
      <sharedItems containsString="0" containsBlank="1" containsNumber="1" containsInteger="1" minValue="156803551" maxValue="1840087698"/>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66643270"/>
    </cacheField>
    <cacheField name="total_queries" numFmtId="0">
      <sharedItems containsString="0" containsBlank="1" containsNumber="1" containsInteger="1" minValue="156803551" maxValue="1840087698"/>
    </cacheField>
    <cacheField name="total_ops" numFmtId="0">
      <sharedItems containsString="0" containsBlank="1" containsNumber="1" containsInteger="1" minValue="174226886" maxValue="1840087698"/>
    </cacheField>
    <cacheField name="find_throughput" numFmtId="0">
      <sharedItems containsString="0" containsBlank="1" containsNumber="1" containsInteger="1" minValue="5226785" maxValue="61336256"/>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554775"/>
    </cacheField>
    <cacheField name="query_throughput" numFmtId="0">
      <sharedItems containsString="0" containsBlank="1" containsNumber="1" containsInteger="1" minValue="5226785" maxValue="61336256"/>
    </cacheField>
    <cacheField name="total_throughput" numFmtId="0">
      <sharedItems containsString="0" containsBlank="1" containsNumber="1" containsInteger="1" minValue="5807562" maxValue="61336256"/>
    </cacheField>
    <cacheField name="PAPI_L2_TCM" numFmtId="0">
      <sharedItems containsString="0" containsBlank="1" containsNumber="1" minValue="74.083699999999993" maxValue="107.49"/>
    </cacheField>
    <cacheField name="PAPI_L3_TCM" numFmtId="0">
      <sharedItems containsString="0" containsBlank="1" containsNumber="1" minValue="37.689599999999999" maxValue="61.373800000000003"/>
    </cacheField>
    <cacheField name="PAPI_TOT_CYC" numFmtId="0">
      <sharedItems containsString="0" containsBlank="1" containsNumber="1" minValue="5760.71" maxValue="13058"/>
    </cacheField>
    <cacheField name="PAPI_RES_STL" numFmtId="0">
      <sharedItems containsNonDate="0" containsString="0" containsBlank="1"/>
    </cacheField>
    <cacheField name="maxresident_mb" numFmtId="0">
      <sharedItems containsString="0" containsBlank="1" containsNumber="1" containsInteger="1" minValue="2996" maxValue="10373"/>
    </cacheField>
    <cacheField name="prefill_elapsed_ms" numFmtId="0">
      <sharedItems containsString="0" containsBlank="1" containsNumber="1" containsInteger="1" minValue="524" maxValue="2052"/>
    </cacheField>
    <cacheField name="exp" numFmtId="0">
      <sharedItems containsBlank="1" count="4">
        <s v="u=0%, k=2x10^8"/>
        <s v="u=1%, k=2x10^8"/>
        <s v="u=10%, k=2x10^8"/>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bot" refreshedDate="43683.911219212961" missingItemsLimit="0" createdVersion="6" refreshedVersion="6" minRefreshableVersion="3" recordCount="61" xr:uid="{D429240C-202E-4A46-A6F1-AAE3AE504848}">
  <cacheSource type="worksheet">
    <worksheetSource ref="A1:BG1048576" sheet="data"/>
  </cacheSource>
  <cacheFields count="59">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5"/>
    </cacheField>
    <cacheField name="DEL" numFmtId="0">
      <sharedItems containsString="0" containsBlank="1" containsNumber="1" minValue="0" maxValue="5"/>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00" maxValue="200000000"/>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9772957575788" maxValue="6087027408791770"/>
    </cacheField>
    <cacheField name="threads_final_size" numFmtId="0">
      <sharedItems containsString="0" containsBlank="1" containsNumber="1" containsInteger="1" minValue="10000000" maxValue="60875753"/>
    </cacheField>
    <cacheField name="final_keysum" numFmtId="0">
      <sharedItems containsString="0" containsBlank="1" containsNumber="1" containsInteger="1" minValue="999772957575788" maxValue="6087027408791770"/>
    </cacheField>
    <cacheField name="final_size" numFmtId="0">
      <sharedItems containsString="0" containsBlank="1" containsNumber="1" containsInteger="1" minValue="10000000" maxValue="60875753"/>
    </cacheField>
    <cacheField name="validate_result" numFmtId="0">
      <sharedItems containsBlank="1"/>
    </cacheField>
    <cacheField name="tree_stats_height" numFmtId="0">
      <sharedItems containsString="0" containsBlank="1" containsNumber="1" containsInteger="1" minValue="6" maxValue="71"/>
    </cacheField>
    <cacheField name="tree_stats_numInternals" numFmtId="0">
      <sharedItems containsString="0" containsBlank="1" containsNumber="1" containsInteger="1" minValue="185114" maxValue="50922435"/>
    </cacheField>
    <cacheField name="tree_stats_numLeaves" numFmtId="0">
      <sharedItems containsString="0" containsBlank="1" containsNumber="1" containsInteger="1" minValue="1275805" maxValue="68562152"/>
    </cacheField>
    <cacheField name="tree_stats_numNodes" numFmtId="0">
      <sharedItems containsString="0" containsBlank="1" containsNumber="1" containsInteger="1" minValue="1461017" maxValue="101844871"/>
    </cacheField>
    <cacheField name="tree_stats_numKeys" numFmtId="0">
      <sharedItems containsString="0" containsBlank="1" containsNumber="1" containsInteger="1" minValue="10000000" maxValue="60875753"/>
    </cacheField>
    <cacheField name="tree_stats_avgDegreeInternal" numFmtId="0">
      <sharedItems containsString="0" containsBlank="1" containsNumber="1" minValue="1.74987" maxValue="8.9237000000000002"/>
    </cacheField>
    <cacheField name="tree_stats_avgDegreeLeaves" numFmtId="0">
      <sharedItems containsString="0" containsBlank="1" containsNumber="1" minValue="0.84719299999999997" maxValue="7.83819"/>
    </cacheField>
    <cacheField name="tree_stats_avgKeyDepth" numFmtId="0">
      <sharedItems containsString="0" containsBlank="1" containsNumber="1" minValue="4" maxValue="34.655099999999997"/>
    </cacheField>
    <cacheField name="tree_stats_sizeInBytes" numFmtId="0">
      <sharedItems containsString="0" containsBlank="1" containsNumber="1" containsInteger="1" minValue="303891536" maxValue="3259035872"/>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400" maxValue="70641"/>
    </cacheField>
    <cacheField name="first_thread_announced_epoch_by_index" numFmtId="0">
      <sharedItems containsBlank="1" containsMixedTypes="1" containsNumber="1" containsInteger="1" minValue="9668" maxValue="127992"/>
    </cacheField>
    <cacheField name="sum_duration_all_ops_total" numFmtId="0">
      <sharedItems containsNonDate="0" containsString="0" containsBlank="1"/>
    </cacheField>
    <cacheField name="sum_duration_markAndCount_total" numFmtId="0">
      <sharedItems containsNonDate="0" containsString="0" containsBlank="1"/>
    </cacheField>
    <cacheField name="sum_duration_wastedWorkBuilding_total" numFmtId="0">
      <sharedItems containsNonDate="0" containsString="0" containsBlank="1"/>
    </cacheField>
    <cacheField name="sum_duration_buildAndReplace_total" numFmtId="0">
      <sharedItems containsNonDate="0" containsString="0" containsBlank="1"/>
    </cacheField>
    <cacheField name="sum_duration_rotateAndFree_total" numFmtId="0">
      <sharedItems containsNonDate="0" containsString="0" containsBlank="1"/>
    </cacheField>
    <cacheField name="sum_duration_traverseAndRetire_total" numFmtId="0">
      <sharedItems containsNonDate="0" containsString="0" containsBlank="1"/>
    </cacheField>
    <cacheField name="total_find" numFmtId="0">
      <sharedItems containsString="0" containsBlank="1" containsNumber="1" containsInteger="1" minValue="156803551" maxValue="1840087698"/>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66643270"/>
    </cacheField>
    <cacheField name="total_queries" numFmtId="0">
      <sharedItems containsString="0" containsBlank="1" containsNumber="1" containsInteger="1" minValue="156803551" maxValue="1840087698"/>
    </cacheField>
    <cacheField name="total_ops" numFmtId="0">
      <sharedItems containsString="0" containsBlank="1" containsNumber="1" containsInteger="1" minValue="174226886" maxValue="1840087698"/>
    </cacheField>
    <cacheField name="find_throughput" numFmtId="0">
      <sharedItems containsString="0" containsBlank="1" containsNumber="1" containsInteger="1" minValue="5226785" maxValue="61336256"/>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554775"/>
    </cacheField>
    <cacheField name="query_throughput" numFmtId="0">
      <sharedItems containsString="0" containsBlank="1" containsNumber="1" containsInteger="1" minValue="5226785" maxValue="61336256"/>
    </cacheField>
    <cacheField name="total_throughput" numFmtId="0">
      <sharedItems containsString="0" containsBlank="1" containsNumber="1" containsInteger="1" minValue="5807562" maxValue="61336256"/>
    </cacheField>
    <cacheField name="PAPI_L2_TCM" numFmtId="0">
      <sharedItems containsString="0" containsBlank="1" containsNumber="1" minValue="74.083699999999993" maxValue="107.49"/>
    </cacheField>
    <cacheField name="PAPI_L3_TCM" numFmtId="0">
      <sharedItems containsString="0" containsBlank="1" containsNumber="1" minValue="37.689599999999999" maxValue="61.373800000000003"/>
    </cacheField>
    <cacheField name="PAPI_TOT_CYC" numFmtId="0">
      <sharedItems containsString="0" containsBlank="1" containsNumber="1" minValue="5760.71" maxValue="13058"/>
    </cacheField>
    <cacheField name="PAPI_RES_STL" numFmtId="0">
      <sharedItems containsNonDate="0" containsString="0" containsBlank="1"/>
    </cacheField>
    <cacheField name="maxresident_mb" numFmtId="0">
      <sharedItems containsString="0" containsBlank="1" containsNumber="1" containsInteger="1" minValue="2996" maxValue="10373"/>
    </cacheField>
    <cacheField name="prefill_elapsed_ms" numFmtId="0">
      <sharedItems containsString="0" containsBlank="1" containsNumber="1" containsInteger="1" minValue="524" maxValue="2052"/>
    </cacheField>
    <cacheField name="exp" numFmtId="0">
      <sharedItems containsBlank="1" count="4">
        <s v="u=0%, k=2x10^8"/>
        <s v="u=1%, k=2x10^8"/>
        <s v="u=10%, k=2x10^8"/>
        <m/>
      </sharedItems>
    </cacheField>
    <cacheField name="full_rebuild_count" numFmtId="0">
      <sharedItems containsBlank="1"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s v="istree_exp9_zipf/step10001.txt"/>
    <x v="0"/>
    <n v="72"/>
    <s v="reclaimer_debra"/>
    <s v="allocator_new"/>
    <s v="pool_none"/>
    <n v="30000"/>
    <n v="0"/>
    <n v="0"/>
    <n v="0"/>
    <n v="1"/>
    <n v="200000000"/>
    <n v="24"/>
    <x v="0"/>
    <n v="24"/>
    <n v="0"/>
    <s v="insertIfAbsent"/>
    <n v="1000072427298130"/>
    <n v="10000000"/>
    <n v="1000072427298130"/>
    <n v="10000000"/>
    <s v="success"/>
    <n v="6"/>
    <n v="1625784"/>
    <n v="11442328"/>
    <n v="13068112"/>
    <n v="10000000"/>
    <n v="8.0380400000000005"/>
    <n v="0.87394799999999995"/>
    <n v="4"/>
    <n v="313139952"/>
    <m/>
    <m/>
    <m/>
    <n v="127992"/>
    <m/>
    <m/>
    <m/>
    <m/>
    <m/>
    <m/>
    <n v="348239620"/>
    <n v="0"/>
    <n v="0"/>
    <n v="348239620"/>
    <n v="348239620"/>
    <n v="11607987"/>
    <n v="0"/>
    <n v="0"/>
    <n v="11607987"/>
    <n v="11607987"/>
    <n v="85.353499999999997"/>
    <n v="45.146099999999997"/>
    <n v="5760.71"/>
    <m/>
    <n v="5917"/>
    <n v="1439"/>
    <x v="0"/>
  </r>
  <r>
    <s v="istree_exp9_zipf/step10002.txt"/>
    <x v="0"/>
    <n v="72"/>
    <s v="reclaimer_debra"/>
    <s v="allocator_new"/>
    <s v="pool_none"/>
    <n v="30000"/>
    <n v="0"/>
    <n v="0"/>
    <n v="0"/>
    <n v="1"/>
    <n v="200000000"/>
    <n v="48"/>
    <x v="1"/>
    <n v="48"/>
    <n v="0"/>
    <s v="insertIfAbsent"/>
    <n v="1000106748298940"/>
    <n v="10000000"/>
    <n v="1000106748298940"/>
    <n v="10000000"/>
    <s v="success"/>
    <n v="6"/>
    <n v="1625784"/>
    <n v="11442328"/>
    <n v="13068112"/>
    <n v="10000000"/>
    <n v="8.0380400000000005"/>
    <n v="0.87394799999999995"/>
    <n v="4"/>
    <n v="313139952"/>
    <m/>
    <m/>
    <m/>
    <n v="54744"/>
    <m/>
    <m/>
    <m/>
    <m/>
    <m/>
    <m/>
    <n v="607697853"/>
    <n v="0"/>
    <n v="0"/>
    <n v="607697853"/>
    <n v="607697853"/>
    <n v="20256595"/>
    <n v="0"/>
    <n v="0"/>
    <n v="20256595"/>
    <n v="20256595"/>
    <n v="74.083699999999993"/>
    <n v="38.209499999999998"/>
    <n v="6561.24"/>
    <m/>
    <n v="5925"/>
    <n v="1262"/>
    <x v="0"/>
  </r>
  <r>
    <s v="istree_exp9_zipf/step10003.txt"/>
    <x v="0"/>
    <n v="72"/>
    <s v="reclaimer_debra"/>
    <s v="allocator_new"/>
    <s v="pool_none"/>
    <n v="30000"/>
    <n v="0"/>
    <n v="0"/>
    <n v="0"/>
    <n v="1"/>
    <n v="200000000"/>
    <n v="96"/>
    <x v="2"/>
    <n v="96"/>
    <n v="0"/>
    <s v="insertIfAbsent"/>
    <n v="999878713333255"/>
    <n v="10000000"/>
    <n v="999878713333255"/>
    <n v="10000000"/>
    <s v="success"/>
    <n v="6"/>
    <n v="1625784"/>
    <n v="11442328"/>
    <n v="13068112"/>
    <n v="10000000"/>
    <n v="8.0380400000000005"/>
    <n v="0.87394799999999995"/>
    <n v="4"/>
    <n v="313139952"/>
    <m/>
    <m/>
    <m/>
    <n v="25188"/>
    <m/>
    <m/>
    <m/>
    <m/>
    <m/>
    <m/>
    <n v="1127782411"/>
    <n v="0"/>
    <n v="0"/>
    <n v="1127782411"/>
    <n v="1127782411"/>
    <n v="37592747"/>
    <n v="0"/>
    <n v="0"/>
    <n v="37592747"/>
    <n v="37592747"/>
    <n v="78.511099999999999"/>
    <n v="44.786700000000003"/>
    <n v="7073.53"/>
    <m/>
    <n v="5940"/>
    <n v="1105"/>
    <x v="0"/>
  </r>
  <r>
    <s v="istree_exp9_zipf/step10004.txt"/>
    <x v="0"/>
    <n v="72"/>
    <s v="reclaimer_debra"/>
    <s v="allocator_new"/>
    <s v="pool_none"/>
    <n v="30000"/>
    <n v="0"/>
    <n v="0"/>
    <n v="0"/>
    <n v="1"/>
    <n v="200000000"/>
    <n v="144"/>
    <x v="3"/>
    <n v="144"/>
    <n v="0"/>
    <s v="insertIfAbsent"/>
    <n v="1000325329848810"/>
    <n v="10000000"/>
    <n v="1000325329848810"/>
    <n v="10000000"/>
    <s v="success"/>
    <n v="6"/>
    <n v="1625784"/>
    <n v="11442328"/>
    <n v="13068112"/>
    <n v="10000000"/>
    <n v="8.0380400000000005"/>
    <n v="0.87394799999999995"/>
    <n v="4"/>
    <n v="313139952"/>
    <m/>
    <m/>
    <m/>
    <n v="15144"/>
    <m/>
    <m/>
    <m/>
    <m/>
    <m/>
    <m/>
    <n v="1519590017"/>
    <n v="0"/>
    <n v="0"/>
    <n v="1519590017"/>
    <n v="1519590017"/>
    <n v="50653000"/>
    <n v="0"/>
    <n v="0"/>
    <n v="50653000"/>
    <n v="50653000"/>
    <n v="79.638099999999994"/>
    <n v="45.923200000000001"/>
    <n v="7835.78"/>
    <m/>
    <n v="5958"/>
    <n v="1082"/>
    <x v="0"/>
  </r>
  <r>
    <s v="istree_exp9_zipf/step10005.txt"/>
    <x v="0"/>
    <n v="72"/>
    <s v="reclaimer_debra"/>
    <s v="allocator_new"/>
    <s v="pool_none"/>
    <n v="30000"/>
    <n v="0"/>
    <n v="0"/>
    <n v="0"/>
    <n v="1"/>
    <n v="200000000"/>
    <n v="190"/>
    <x v="4"/>
    <n v="190"/>
    <n v="0"/>
    <s v="insertIfAbsent"/>
    <n v="1000089117770840"/>
    <n v="10000000"/>
    <n v="1000089117770840"/>
    <n v="10000000"/>
    <s v="success"/>
    <n v="6"/>
    <n v="1625784"/>
    <n v="11442328"/>
    <n v="13068112"/>
    <n v="10000000"/>
    <n v="8.0380400000000005"/>
    <n v="0.87394799999999995"/>
    <n v="4"/>
    <n v="313139952"/>
    <m/>
    <m/>
    <m/>
    <n v="11644"/>
    <m/>
    <m/>
    <m/>
    <m/>
    <m/>
    <m/>
    <n v="1840087698"/>
    <n v="0"/>
    <n v="0"/>
    <n v="1840087698"/>
    <n v="1840087698"/>
    <n v="61336256"/>
    <n v="0"/>
    <n v="0"/>
    <n v="61336256"/>
    <n v="61336256"/>
    <n v="80.255899999999997"/>
    <n v="46.539900000000003"/>
    <n v="8545.14"/>
    <m/>
    <n v="5976"/>
    <n v="1223"/>
    <x v="0"/>
  </r>
  <r>
    <s v="istree_exp9_zipf/step10006.txt"/>
    <x v="1"/>
    <n v="208"/>
    <s v="reclaimer_debra"/>
    <s v="allocator_new"/>
    <s v="pool_none"/>
    <n v="30000"/>
    <n v="0"/>
    <n v="0"/>
    <n v="0"/>
    <n v="1"/>
    <n v="200000000"/>
    <n v="24"/>
    <x v="0"/>
    <n v="24"/>
    <n v="0"/>
    <s v="insertIfAbsent"/>
    <n v="1000321183241480"/>
    <n v="10000000"/>
    <n v="1000321183241480"/>
    <n v="10000000"/>
    <s v="success"/>
    <n v="9"/>
    <n v="185114"/>
    <n v="1275903"/>
    <n v="1461017"/>
    <n v="10000000"/>
    <n v="7.8925299999999998"/>
    <n v="7.8375899999999996"/>
    <n v="8"/>
    <n v="303891536"/>
    <m/>
    <m/>
    <m/>
    <s v="3736 121076"/>
    <m/>
    <m/>
    <m/>
    <m/>
    <m/>
    <m/>
    <n v="317209308"/>
    <n v="0"/>
    <n v="0"/>
    <n v="317209308"/>
    <n v="317209308"/>
    <n v="10573643"/>
    <n v="0"/>
    <n v="0"/>
    <n v="10573643"/>
    <n v="10573643"/>
    <n v="89.2697"/>
    <n v="45.391100000000002"/>
    <n v="6329.61"/>
    <m/>
    <n v="2996"/>
    <n v="1624"/>
    <x v="0"/>
  </r>
  <r>
    <s v="istree_exp9_zipf/step10007.txt"/>
    <x v="1"/>
    <n v="208"/>
    <s v="reclaimer_debra"/>
    <s v="allocator_new"/>
    <s v="pool_none"/>
    <n v="30000"/>
    <n v="0"/>
    <n v="0"/>
    <n v="0"/>
    <n v="1"/>
    <n v="200000000"/>
    <n v="48"/>
    <x v="1"/>
    <n v="48"/>
    <n v="0"/>
    <s v="insertIfAbsent"/>
    <n v="1000140719940840"/>
    <n v="10000000"/>
    <n v="1000140719940840"/>
    <n v="10000000"/>
    <s v="success"/>
    <n v="9"/>
    <n v="185370"/>
    <n v="1276129"/>
    <n v="1461499"/>
    <n v="10000000"/>
    <n v="7.8842299999999996"/>
    <n v="7.8361999999999998"/>
    <n v="8"/>
    <n v="303991792"/>
    <m/>
    <m/>
    <m/>
    <s v="980 51874"/>
    <m/>
    <m/>
    <m/>
    <m/>
    <m/>
    <m/>
    <n v="560033591"/>
    <n v="0"/>
    <n v="0"/>
    <n v="560033591"/>
    <n v="560033591"/>
    <n v="18667786"/>
    <n v="0"/>
    <n v="0"/>
    <n v="18667786"/>
    <n v="18667786"/>
    <n v="80.114000000000004"/>
    <n v="38.663200000000003"/>
    <n v="7145.99"/>
    <m/>
    <n v="3040"/>
    <n v="1278"/>
    <x v="0"/>
  </r>
  <r>
    <s v="istree_exp9_zipf/step10008.txt"/>
    <x v="1"/>
    <n v="208"/>
    <s v="reclaimer_debra"/>
    <s v="allocator_new"/>
    <s v="pool_none"/>
    <n v="30000"/>
    <n v="0"/>
    <n v="0"/>
    <n v="0"/>
    <n v="1"/>
    <n v="200000000"/>
    <n v="96"/>
    <x v="2"/>
    <n v="96"/>
    <n v="0"/>
    <s v="insertIfAbsent"/>
    <n v="1000104241175390"/>
    <n v="10000000"/>
    <n v="1000104241175390"/>
    <n v="10000000"/>
    <s v="success"/>
    <n v="9"/>
    <n v="185381"/>
    <n v="1276256"/>
    <n v="1461637"/>
    <n v="10000000"/>
    <n v="7.8845000000000001"/>
    <n v="7.8354200000000001"/>
    <n v="8"/>
    <n v="304020496"/>
    <m/>
    <m/>
    <m/>
    <s v="346 24678"/>
    <m/>
    <m/>
    <m/>
    <m/>
    <m/>
    <m/>
    <n v="1079931734"/>
    <n v="0"/>
    <n v="0"/>
    <n v="1079931734"/>
    <n v="1079931734"/>
    <n v="35997724"/>
    <n v="0"/>
    <n v="0"/>
    <n v="35997724"/>
    <n v="35997724"/>
    <n v="83.699100000000001"/>
    <n v="46.2851"/>
    <n v="7388.14"/>
    <m/>
    <n v="3112"/>
    <n v="1140"/>
    <x v="0"/>
  </r>
  <r>
    <s v="istree_exp9_zipf/step10009.txt"/>
    <x v="1"/>
    <n v="208"/>
    <s v="reclaimer_debra"/>
    <s v="allocator_new"/>
    <s v="pool_none"/>
    <n v="30000"/>
    <n v="0"/>
    <n v="0"/>
    <n v="0"/>
    <n v="1"/>
    <n v="200000000"/>
    <n v="144"/>
    <x v="3"/>
    <n v="144"/>
    <n v="0"/>
    <s v="insertIfAbsent"/>
    <n v="999833487103664"/>
    <n v="10000000"/>
    <n v="999833487103664"/>
    <n v="10000000"/>
    <s v="success"/>
    <n v="9"/>
    <n v="185355"/>
    <n v="1275805"/>
    <n v="1461160"/>
    <n v="10000000"/>
    <n v="7.8830400000000003"/>
    <n v="7.83819"/>
    <n v="8"/>
    <n v="303921280"/>
    <m/>
    <m/>
    <m/>
    <s v="308 15504"/>
    <m/>
    <m/>
    <m/>
    <m/>
    <m/>
    <m/>
    <n v="1531186602"/>
    <n v="0"/>
    <n v="0"/>
    <n v="1531186602"/>
    <n v="1531186602"/>
    <n v="51039553"/>
    <n v="0"/>
    <n v="0"/>
    <n v="51039553"/>
    <n v="51039553"/>
    <n v="84.494100000000003"/>
    <n v="47.510100000000001"/>
    <n v="7690.99"/>
    <m/>
    <n v="3157"/>
    <n v="927"/>
    <x v="0"/>
  </r>
  <r>
    <s v="istree_exp9_zipf/step10010.txt"/>
    <x v="1"/>
    <n v="208"/>
    <s v="reclaimer_debra"/>
    <s v="allocator_new"/>
    <s v="pool_none"/>
    <n v="30000"/>
    <n v="0"/>
    <n v="0"/>
    <n v="0"/>
    <n v="1"/>
    <n v="200000000"/>
    <n v="190"/>
    <x v="4"/>
    <n v="190"/>
    <n v="0"/>
    <s v="insertIfAbsent"/>
    <n v="1000144451819380"/>
    <n v="10000000"/>
    <n v="1000144451819380"/>
    <n v="10000000"/>
    <s v="success"/>
    <n v="9"/>
    <n v="185516"/>
    <n v="1275939"/>
    <n v="1461455"/>
    <n v="10000000"/>
    <n v="7.8777799999999996"/>
    <n v="7.8373699999999999"/>
    <n v="8"/>
    <n v="303982640"/>
    <m/>
    <m/>
    <m/>
    <s v="262 11696"/>
    <m/>
    <m/>
    <m/>
    <m/>
    <m/>
    <m/>
    <n v="1838101982"/>
    <n v="0"/>
    <n v="0"/>
    <n v="1838101982"/>
    <n v="1838101982"/>
    <n v="61270066"/>
    <n v="0"/>
    <n v="0"/>
    <n v="61270066"/>
    <n v="61270066"/>
    <n v="85.712400000000002"/>
    <n v="48.303600000000003"/>
    <n v="8514.24"/>
    <m/>
    <n v="3198"/>
    <n v="1004"/>
    <x v="0"/>
  </r>
  <r>
    <s v="istree_exp9_zipf/step10011.txt"/>
    <x v="2"/>
    <m/>
    <s v="reclaimer_debra"/>
    <s v="allocator_new"/>
    <s v="pool_none"/>
    <n v="30000"/>
    <n v="0"/>
    <n v="0"/>
    <n v="0"/>
    <n v="1"/>
    <n v="200000000"/>
    <n v="24"/>
    <x v="0"/>
    <n v="24"/>
    <n v="0"/>
    <s v="insertIfAbsent"/>
    <n v="999958227009502"/>
    <n v="10000000"/>
    <n v="999958227009502"/>
    <n v="10000000"/>
    <s v="success"/>
    <n v="29"/>
    <n v="5714001"/>
    <n v="4286000"/>
    <n v="10000001"/>
    <n v="10000000"/>
    <n v="1.7500899999999999"/>
    <n v="2.33318"/>
    <n v="22.748999999999999"/>
    <n v="560000056"/>
    <m/>
    <m/>
    <m/>
    <s v="3646 78104"/>
    <m/>
    <m/>
    <m/>
    <m/>
    <m/>
    <m/>
    <n v="201222142"/>
    <n v="0"/>
    <n v="0"/>
    <n v="201222142"/>
    <n v="201222142"/>
    <n v="6707404"/>
    <n v="0"/>
    <n v="0"/>
    <n v="6707404"/>
    <n v="6707404"/>
    <n v="104.06"/>
    <n v="52.911299999999997"/>
    <n v="9980.7800000000007"/>
    <m/>
    <n v="3279"/>
    <n v="2044"/>
    <x v="0"/>
  </r>
  <r>
    <s v="istree_exp9_zipf/step10012.txt"/>
    <x v="2"/>
    <m/>
    <s v="reclaimer_debra"/>
    <s v="allocator_new"/>
    <s v="pool_none"/>
    <n v="30000"/>
    <n v="0"/>
    <n v="0"/>
    <n v="0"/>
    <n v="1"/>
    <n v="200000000"/>
    <n v="48"/>
    <x v="1"/>
    <n v="48"/>
    <n v="0"/>
    <s v="insertIfAbsent"/>
    <n v="1000198930205970"/>
    <n v="10000000"/>
    <n v="1000198930205970"/>
    <n v="10000000"/>
    <s v="success"/>
    <n v="29"/>
    <n v="5714713"/>
    <n v="4285288"/>
    <n v="10000001"/>
    <n v="10000000"/>
    <n v="1.74987"/>
    <n v="2.3335699999999999"/>
    <n v="22.654800000000002"/>
    <n v="560000056"/>
    <m/>
    <m/>
    <m/>
    <s v="898 34488"/>
    <m/>
    <m/>
    <m/>
    <m/>
    <m/>
    <m/>
    <n v="369129910"/>
    <n v="0"/>
    <n v="0"/>
    <n v="369129910"/>
    <n v="369129910"/>
    <n v="12304330"/>
    <n v="0"/>
    <n v="0"/>
    <n v="12304330"/>
    <n v="12304330"/>
    <n v="97.195499999999996"/>
    <n v="47.139200000000002"/>
    <n v="10877.2"/>
    <m/>
    <n v="3285"/>
    <n v="1379"/>
    <x v="0"/>
  </r>
  <r>
    <s v="istree_exp9_zipf/step10013.txt"/>
    <x v="2"/>
    <m/>
    <s v="reclaimer_debra"/>
    <s v="allocator_new"/>
    <s v="pool_none"/>
    <n v="30000"/>
    <n v="0"/>
    <n v="0"/>
    <n v="0"/>
    <n v="1"/>
    <n v="200000000"/>
    <n v="96"/>
    <x v="2"/>
    <n v="96"/>
    <n v="0"/>
    <s v="insertIfAbsent"/>
    <n v="999930732256592"/>
    <n v="10000000"/>
    <n v="999930732256592"/>
    <n v="10000000"/>
    <s v="success"/>
    <n v="29"/>
    <n v="5714355"/>
    <n v="4285646"/>
    <n v="10000001"/>
    <n v="10000000"/>
    <n v="1.7499800000000001"/>
    <n v="2.3333699999999999"/>
    <n v="22.689599999999999"/>
    <n v="560000056"/>
    <m/>
    <m/>
    <m/>
    <s v="224 17730"/>
    <m/>
    <m/>
    <m/>
    <m/>
    <m/>
    <m/>
    <n v="776380648"/>
    <n v="0"/>
    <n v="0"/>
    <n v="776380648"/>
    <n v="776380648"/>
    <n v="25879354"/>
    <n v="0"/>
    <n v="0"/>
    <n v="25879354"/>
    <n v="25879354"/>
    <n v="100.188"/>
    <n v="54.593800000000002"/>
    <n v="10283.700000000001"/>
    <m/>
    <n v="3300"/>
    <n v="929"/>
    <x v="0"/>
  </r>
  <r>
    <s v="istree_exp9_zipf/step10014.txt"/>
    <x v="2"/>
    <m/>
    <s v="reclaimer_debra"/>
    <s v="allocator_new"/>
    <s v="pool_none"/>
    <n v="30000"/>
    <n v="0"/>
    <n v="0"/>
    <n v="0"/>
    <n v="1"/>
    <n v="200000000"/>
    <n v="144"/>
    <x v="3"/>
    <n v="144"/>
    <n v="0"/>
    <s v="insertIfAbsent"/>
    <n v="999772957575788"/>
    <n v="10000000"/>
    <n v="999772957575788"/>
    <n v="10000000"/>
    <s v="success"/>
    <n v="29"/>
    <n v="5714639"/>
    <n v="4285362"/>
    <n v="10000001"/>
    <n v="10000000"/>
    <n v="1.7498899999999999"/>
    <n v="2.3335300000000001"/>
    <n v="22.700900000000001"/>
    <n v="560000056"/>
    <m/>
    <m/>
    <m/>
    <s v="148 11176"/>
    <m/>
    <m/>
    <m/>
    <m/>
    <m/>
    <m/>
    <n v="1112023132"/>
    <n v="0"/>
    <n v="0"/>
    <n v="1112023132"/>
    <n v="1112023132"/>
    <n v="37067437"/>
    <n v="0"/>
    <n v="0"/>
    <n v="37067437"/>
    <n v="37067437"/>
    <n v="100.84699999999999"/>
    <n v="56.051499999999997"/>
    <n v="10756.3"/>
    <m/>
    <n v="3315"/>
    <n v="572"/>
    <x v="0"/>
  </r>
  <r>
    <s v="istree_exp9_zipf/step10015.txt"/>
    <x v="2"/>
    <m/>
    <s v="reclaimer_debra"/>
    <s v="allocator_new"/>
    <s v="pool_none"/>
    <n v="30000"/>
    <n v="0"/>
    <n v="0"/>
    <n v="0"/>
    <n v="1"/>
    <n v="200000000"/>
    <n v="190"/>
    <x v="4"/>
    <n v="190"/>
    <n v="0"/>
    <s v="insertIfAbsent"/>
    <n v="1000069449276480"/>
    <n v="10000000"/>
    <n v="1000069449276480"/>
    <n v="10000000"/>
    <s v="success"/>
    <n v="29"/>
    <n v="5714122"/>
    <n v="4285879"/>
    <n v="10000001"/>
    <n v="10000000"/>
    <n v="1.7500500000000001"/>
    <n v="2.33324"/>
    <n v="22.6767"/>
    <n v="560000056"/>
    <m/>
    <m/>
    <m/>
    <s v="124 8456"/>
    <m/>
    <m/>
    <m/>
    <m/>
    <m/>
    <m/>
    <n v="1392083431"/>
    <n v="0"/>
    <n v="0"/>
    <n v="1392083431"/>
    <n v="1392083431"/>
    <n v="46402781"/>
    <n v="0"/>
    <n v="0"/>
    <n v="46402781"/>
    <n v="46402781"/>
    <n v="101.34399999999999"/>
    <n v="56.709099999999999"/>
    <n v="11326.6"/>
    <m/>
    <n v="3328"/>
    <n v="568"/>
    <x v="0"/>
  </r>
  <r>
    <s v="istree_exp9_zipf/step10016.txt"/>
    <x v="3"/>
    <m/>
    <s v="reclaimer_debra"/>
    <s v="allocator_new"/>
    <s v="pool_none"/>
    <n v="30000"/>
    <n v="0"/>
    <n v="0"/>
    <n v="0"/>
    <n v="1"/>
    <n v="200000000"/>
    <n v="24"/>
    <x v="0"/>
    <n v="24"/>
    <n v="0"/>
    <s v="insertIfAbsent"/>
    <n v="999954557455281"/>
    <n v="10000000"/>
    <n v="999954557455281"/>
    <n v="10000000"/>
    <s v="success"/>
    <n v="59"/>
    <n v="9999999"/>
    <n v="10000000"/>
    <n v="19999999"/>
    <n v="10000000"/>
    <n v="2"/>
    <n v="1"/>
    <n v="30.891500000000001"/>
    <n v="639999968"/>
    <m/>
    <m/>
    <m/>
    <s v="3662 72162"/>
    <m/>
    <m/>
    <m/>
    <m/>
    <m/>
    <m/>
    <n v="184000701"/>
    <n v="0"/>
    <n v="0"/>
    <n v="184000701"/>
    <n v="184000701"/>
    <n v="6133356"/>
    <n v="0"/>
    <n v="0"/>
    <n v="6133356"/>
    <n v="6133356"/>
    <n v="98.491299999999995"/>
    <n v="50.249400000000001"/>
    <n v="10915.7"/>
    <m/>
    <n v="3279"/>
    <n v="2004"/>
    <x v="0"/>
  </r>
  <r>
    <s v="istree_exp9_zipf/step10017.txt"/>
    <x v="3"/>
    <m/>
    <s v="reclaimer_debra"/>
    <s v="allocator_new"/>
    <s v="pool_none"/>
    <n v="30000"/>
    <n v="0"/>
    <n v="0"/>
    <n v="0"/>
    <n v="1"/>
    <n v="200000000"/>
    <n v="48"/>
    <x v="1"/>
    <n v="48"/>
    <n v="0"/>
    <s v="insertIfAbsent"/>
    <n v="1000032895867270"/>
    <n v="10000000"/>
    <n v="1000032895867270"/>
    <n v="10000000"/>
    <s v="success"/>
    <n v="62"/>
    <n v="9999999"/>
    <n v="10000000"/>
    <n v="19999999"/>
    <n v="10000000"/>
    <n v="2"/>
    <n v="1"/>
    <n v="32.119700000000002"/>
    <n v="639999968"/>
    <m/>
    <m/>
    <m/>
    <s v="900 32314"/>
    <m/>
    <m/>
    <m/>
    <m/>
    <m/>
    <m/>
    <n v="343365235"/>
    <n v="0"/>
    <n v="0"/>
    <n v="343365235"/>
    <n v="343365235"/>
    <n v="11445507"/>
    <n v="0"/>
    <n v="0"/>
    <n v="11445507"/>
    <n v="11445507"/>
    <n v="89.690100000000001"/>
    <n v="43.284500000000001"/>
    <n v="11693.4"/>
    <m/>
    <n v="3285"/>
    <n v="1352"/>
    <x v="0"/>
  </r>
  <r>
    <s v="istree_exp9_zipf/step10018.txt"/>
    <x v="3"/>
    <m/>
    <s v="reclaimer_debra"/>
    <s v="allocator_new"/>
    <s v="pool_none"/>
    <n v="30000"/>
    <n v="0"/>
    <n v="0"/>
    <n v="0"/>
    <n v="1"/>
    <n v="200000000"/>
    <n v="96"/>
    <x v="2"/>
    <n v="96"/>
    <n v="0"/>
    <s v="insertIfAbsent"/>
    <n v="999939758380824"/>
    <n v="10000000"/>
    <n v="999939758380824"/>
    <n v="10000000"/>
    <s v="success"/>
    <n v="61"/>
    <n v="9999999"/>
    <n v="10000000"/>
    <n v="19999999"/>
    <n v="10000000"/>
    <n v="2"/>
    <n v="1"/>
    <n v="30.994399999999999"/>
    <n v="639999968"/>
    <m/>
    <m/>
    <m/>
    <s v="222 17048"/>
    <m/>
    <m/>
    <m/>
    <m/>
    <m/>
    <m/>
    <n v="743503935"/>
    <n v="0"/>
    <n v="0"/>
    <n v="743503935"/>
    <n v="743503935"/>
    <n v="24783464"/>
    <n v="0"/>
    <n v="0"/>
    <n v="24783464"/>
    <n v="24783464"/>
    <n v="92.7453"/>
    <n v="49.902000000000001"/>
    <n v="10777.1"/>
    <m/>
    <n v="3299"/>
    <n v="889"/>
    <x v="0"/>
  </r>
  <r>
    <s v="istree_exp9_zipf/step10019.txt"/>
    <x v="3"/>
    <m/>
    <s v="reclaimer_debra"/>
    <s v="allocator_new"/>
    <s v="pool_none"/>
    <n v="30000"/>
    <n v="0"/>
    <n v="0"/>
    <n v="0"/>
    <n v="1"/>
    <n v="200000000"/>
    <n v="144"/>
    <x v="3"/>
    <n v="144"/>
    <n v="0"/>
    <s v="insertIfAbsent"/>
    <n v="1000115445403880"/>
    <n v="10000000"/>
    <n v="1000115445403880"/>
    <n v="10000000"/>
    <s v="success"/>
    <n v="59"/>
    <n v="9999999"/>
    <n v="10000000"/>
    <n v="19999999"/>
    <n v="10000000"/>
    <n v="2"/>
    <n v="1"/>
    <n v="31.4176"/>
    <n v="639999968"/>
    <m/>
    <m/>
    <m/>
    <s v="160 11008"/>
    <m/>
    <m/>
    <m/>
    <m/>
    <m/>
    <m/>
    <n v="1097050075"/>
    <n v="0"/>
    <n v="0"/>
    <n v="1097050075"/>
    <n v="1097050075"/>
    <n v="36568335"/>
    <n v="0"/>
    <n v="0"/>
    <n v="36568335"/>
    <n v="36568335"/>
    <n v="93.188800000000001"/>
    <n v="51.221299999999999"/>
    <n v="10945.7"/>
    <m/>
    <n v="3314"/>
    <n v="532"/>
    <x v="0"/>
  </r>
  <r>
    <s v="istree_exp9_zipf/step10020.txt"/>
    <x v="3"/>
    <m/>
    <s v="reclaimer_debra"/>
    <s v="allocator_new"/>
    <s v="pool_none"/>
    <n v="30000"/>
    <n v="0"/>
    <n v="0"/>
    <n v="0"/>
    <n v="1"/>
    <n v="200000000"/>
    <n v="190"/>
    <x v="4"/>
    <n v="190"/>
    <n v="0"/>
    <s v="insertIfAbsent"/>
    <n v="1000425319626970"/>
    <n v="10000000"/>
    <n v="1000425319626970"/>
    <n v="10000000"/>
    <s v="success"/>
    <n v="62"/>
    <n v="9999999"/>
    <n v="10000000"/>
    <n v="19999999"/>
    <n v="10000000"/>
    <n v="2"/>
    <n v="1"/>
    <n v="30.708400000000001"/>
    <n v="639999968"/>
    <m/>
    <m/>
    <m/>
    <s v="126 8474"/>
    <m/>
    <m/>
    <m/>
    <m/>
    <m/>
    <m/>
    <n v="1415671288"/>
    <n v="0"/>
    <n v="0"/>
    <n v="1415671288"/>
    <n v="1415671288"/>
    <n v="47189042"/>
    <n v="0"/>
    <n v="0"/>
    <n v="47189042"/>
    <n v="47189042"/>
    <n v="93.438699999999997"/>
    <n v="51.734299999999998"/>
    <n v="11180.4"/>
    <m/>
    <n v="3326"/>
    <n v="530"/>
    <x v="0"/>
  </r>
  <r>
    <s v="istree_exp9_zipf/step10021.txt"/>
    <x v="0"/>
    <n v="72"/>
    <s v="reclaimer_debra"/>
    <s v="allocator_new"/>
    <s v="pool_none"/>
    <n v="30000"/>
    <n v="0.5"/>
    <n v="0.5"/>
    <n v="0"/>
    <n v="1"/>
    <n v="200000000"/>
    <n v="24"/>
    <x v="0"/>
    <n v="24"/>
    <n v="0"/>
    <s v="insertIfAbsent"/>
    <n v="1149909533432260"/>
    <n v="11500085"/>
    <n v="1149909533432260"/>
    <n v="11500085"/>
    <s v="success"/>
    <n v="7"/>
    <n v="2222849"/>
    <n v="13574341"/>
    <n v="15797190"/>
    <n v="11500085"/>
    <n v="7.1067299999999998"/>
    <n v="0.84719299999999997"/>
    <n v="4.1010499999999999"/>
    <n v="395027680"/>
    <s v="0 0 19327 470983 8926"/>
    <s v="0 0 19327 470983 8926"/>
    <m/>
    <n v="123606"/>
    <m/>
    <m/>
    <m/>
    <m/>
    <m/>
    <m/>
    <n v="332489935"/>
    <n v="0"/>
    <n v="3360398"/>
    <n v="332489935"/>
    <n v="335850333"/>
    <n v="11082997"/>
    <n v="0"/>
    <n v="112013"/>
    <n v="11082997"/>
    <n v="11195011"/>
    <n v="87.021900000000002"/>
    <n v="46.273699999999998"/>
    <n v="5975.34"/>
    <m/>
    <n v="6083"/>
    <n v="1406"/>
    <x v="1"/>
  </r>
  <r>
    <s v="istree_exp9_zipf/step10022.txt"/>
    <x v="0"/>
    <n v="72"/>
    <s v="reclaimer_debra"/>
    <s v="allocator_new"/>
    <s v="pool_none"/>
    <n v="30000"/>
    <n v="0.5"/>
    <n v="0.5"/>
    <n v="0"/>
    <n v="1"/>
    <n v="200000000"/>
    <n v="48"/>
    <x v="1"/>
    <n v="48"/>
    <n v="0"/>
    <s v="insertIfAbsent"/>
    <n v="1264454377365840"/>
    <n v="12645557"/>
    <n v="1264454377365840"/>
    <n v="12645557"/>
    <s v="success"/>
    <n v="7"/>
    <n v="2227672"/>
    <n v="14682844"/>
    <n v="16910516"/>
    <n v="12645557"/>
    <n v="7.5911200000000001"/>
    <n v="0.86124699999999998"/>
    <n v="4.0531199999999998"/>
    <n v="413139552"/>
    <s v="1 3093 68274 728591 15371"/>
    <s v="1 3093 68272 728591 15371"/>
    <n v="400"/>
    <n v="53674"/>
    <m/>
    <m/>
    <m/>
    <m/>
    <m/>
    <m/>
    <n v="590725206"/>
    <n v="0"/>
    <n v="5966224"/>
    <n v="590725206"/>
    <n v="596691430"/>
    <n v="19690840"/>
    <n v="0"/>
    <n v="198874"/>
    <n v="19690840"/>
    <n v="19889714"/>
    <n v="74.917500000000004"/>
    <n v="37.689599999999999"/>
    <n v="6709.52"/>
    <m/>
    <n v="6710"/>
    <n v="1135"/>
    <x v="1"/>
  </r>
  <r>
    <s v="istree_exp9_zipf/step10023.txt"/>
    <x v="0"/>
    <n v="72"/>
    <s v="reclaimer_debra"/>
    <s v="allocator_new"/>
    <s v="pool_none"/>
    <n v="30000"/>
    <n v="0.5"/>
    <n v="0.5"/>
    <n v="0"/>
    <n v="1"/>
    <n v="200000000"/>
    <n v="96"/>
    <x v="2"/>
    <n v="96"/>
    <n v="0"/>
    <s v="insertIfAbsent"/>
    <n v="1470385659017150"/>
    <n v="14705141"/>
    <n v="1470385659017150"/>
    <n v="14705141"/>
    <s v="success"/>
    <n v="7"/>
    <n v="2299474"/>
    <n v="16794758"/>
    <n v="19094232"/>
    <n v="14705141"/>
    <n v="8.3037399999999995"/>
    <n v="0.875579"/>
    <n v="4.03355"/>
    <n v="452674704"/>
    <s v="1 6537 102489 1424907 31854"/>
    <s v="1 6537 102488 1424907 31854"/>
    <n v="1352"/>
    <n v="23996"/>
    <m/>
    <m/>
    <m/>
    <m/>
    <m/>
    <m/>
    <n v="1062978838"/>
    <n v="0"/>
    <n v="10736425"/>
    <n v="1062978838"/>
    <n v="1073715263"/>
    <n v="35432627"/>
    <n v="0"/>
    <n v="357880"/>
    <n v="35432627"/>
    <n v="35790508"/>
    <n v="79.867099999999994"/>
    <n v="45.1511"/>
    <n v="7417.63"/>
    <m/>
    <n v="6789"/>
    <n v="1234"/>
    <x v="1"/>
  </r>
  <r>
    <s v="istree_exp9_zipf/step10024.txt"/>
    <x v="0"/>
    <n v="72"/>
    <s v="reclaimer_debra"/>
    <s v="allocator_new"/>
    <s v="pool_none"/>
    <n v="30000"/>
    <n v="0.5"/>
    <n v="0.5"/>
    <n v="0"/>
    <n v="1"/>
    <n v="200000000"/>
    <n v="144"/>
    <x v="3"/>
    <n v="144"/>
    <n v="0"/>
    <s v="insertIfAbsent"/>
    <n v="1640882147806460"/>
    <n v="16407528"/>
    <n v="1640882147806460"/>
    <n v="16407528"/>
    <s v="success"/>
    <n v="7"/>
    <n v="2955330"/>
    <n v="19184058"/>
    <n v="22139388"/>
    <n v="16407528"/>
    <n v="7.4913400000000001"/>
    <n v="0.85526899999999995"/>
    <n v="4.0933599999999997"/>
    <n v="543385104"/>
    <s v="3 6659 76860 1929410 35342"/>
    <s v="2 6659 76859 1929407 35342"/>
    <n v="3204"/>
    <n v="14726"/>
    <m/>
    <m/>
    <m/>
    <m/>
    <m/>
    <m/>
    <n v="1462508456"/>
    <n v="0"/>
    <n v="14777726"/>
    <n v="1462508456"/>
    <n v="1477286182"/>
    <n v="48750281"/>
    <n v="0"/>
    <n v="492590"/>
    <n v="48750281"/>
    <n v="49242872"/>
    <n v="80.666899999999998"/>
    <n v="46.317100000000003"/>
    <n v="8034.35"/>
    <m/>
    <n v="7218"/>
    <n v="1155"/>
    <x v="1"/>
  </r>
  <r>
    <s v="istree_exp9_zipf/step10025.txt"/>
    <x v="0"/>
    <n v="72"/>
    <s v="reclaimer_debra"/>
    <s v="allocator_new"/>
    <s v="pool_none"/>
    <n v="30000"/>
    <n v="0.5"/>
    <n v="0.5"/>
    <n v="0"/>
    <n v="1"/>
    <n v="200000000"/>
    <n v="190"/>
    <x v="4"/>
    <n v="190"/>
    <n v="0"/>
    <s v="insertIfAbsent"/>
    <n v="1769326898035750"/>
    <n v="17694529"/>
    <n v="1769326898035750"/>
    <n v="17694529"/>
    <s v="success"/>
    <n v="7"/>
    <n v="2946780"/>
    <n v="20410752"/>
    <n v="23357532"/>
    <n v="17694529"/>
    <n v="7.9264599999999996"/>
    <n v="0.86692199999999997"/>
    <n v="4.0388200000000003"/>
    <n v="562315136"/>
    <s v="2 10480 85724 2342404 45198"/>
    <s v="2 10480 85724 2342401 45198"/>
    <n v="3270"/>
    <n v="11128"/>
    <m/>
    <m/>
    <m/>
    <m/>
    <m/>
    <m/>
    <n v="1768774585"/>
    <n v="0"/>
    <n v="17873566"/>
    <n v="1768774585"/>
    <n v="1786648151"/>
    <n v="58959152"/>
    <n v="0"/>
    <n v="595785"/>
    <n v="58959152"/>
    <n v="59554938"/>
    <n v="81.390699999999995"/>
    <n v="47.102200000000003"/>
    <n v="8767.51"/>
    <m/>
    <n v="7225"/>
    <n v="1230"/>
    <x v="1"/>
  </r>
  <r>
    <s v="istree_exp9_zipf/step10026.txt"/>
    <x v="1"/>
    <n v="208"/>
    <s v="reclaimer_debra"/>
    <s v="allocator_new"/>
    <s v="pool_none"/>
    <n v="30000"/>
    <n v="0.5"/>
    <n v="0.5"/>
    <n v="0"/>
    <n v="1"/>
    <n v="200000000"/>
    <n v="24"/>
    <x v="0"/>
    <n v="24"/>
    <n v="0"/>
    <s v="insertIfAbsent"/>
    <n v="1140324761987050"/>
    <n v="11403701"/>
    <n v="1140324761987050"/>
    <n v="11403701"/>
    <s v="success"/>
    <n v="9"/>
    <n v="212568"/>
    <n v="1461223"/>
    <n v="1673791"/>
    <n v="11403701"/>
    <n v="7.8741399999999997"/>
    <n v="7.8042199999999999"/>
    <n v="8"/>
    <n v="348148528"/>
    <m/>
    <m/>
    <m/>
    <s v="3722 120290"/>
    <m/>
    <m/>
    <m/>
    <m/>
    <m/>
    <m/>
    <n v="311824859"/>
    <n v="0"/>
    <n v="3147351"/>
    <n v="311824859"/>
    <n v="314972210"/>
    <n v="10394161"/>
    <n v="0"/>
    <n v="104911"/>
    <n v="10394161"/>
    <n v="10499073"/>
    <n v="89.613100000000003"/>
    <n v="45.459000000000003"/>
    <n v="6373.9"/>
    <m/>
    <n v="3041"/>
    <n v="1622"/>
    <x v="1"/>
  </r>
  <r>
    <s v="istree_exp9_zipf/step10027.txt"/>
    <x v="1"/>
    <n v="208"/>
    <s v="reclaimer_debra"/>
    <s v="allocator_new"/>
    <s v="pool_none"/>
    <n v="30000"/>
    <n v="0.5"/>
    <n v="0.5"/>
    <n v="0"/>
    <n v="1"/>
    <n v="200000000"/>
    <n v="48"/>
    <x v="1"/>
    <n v="48"/>
    <n v="0"/>
    <s v="insertIfAbsent"/>
    <n v="1245617020831950"/>
    <n v="12459368"/>
    <n v="1245617020831950"/>
    <n v="12459368"/>
    <s v="success"/>
    <n v="9"/>
    <n v="232439"/>
    <n v="1598579"/>
    <n v="1831018"/>
    <n v="12459368"/>
    <n v="7.8774100000000002"/>
    <n v="7.7940300000000002"/>
    <n v="8"/>
    <n v="380851744"/>
    <m/>
    <m/>
    <m/>
    <s v="976 51412"/>
    <m/>
    <m/>
    <m/>
    <m/>
    <m/>
    <m/>
    <n v="548927417"/>
    <n v="0"/>
    <n v="5544342"/>
    <n v="548927417"/>
    <n v="554471759"/>
    <n v="18297580"/>
    <n v="0"/>
    <n v="184811"/>
    <n v="18297580"/>
    <n v="18482391"/>
    <n v="80.723299999999995"/>
    <n v="39.049199999999999"/>
    <n v="7211.67"/>
    <m/>
    <n v="3120"/>
    <n v="1261"/>
    <x v="1"/>
  </r>
  <r>
    <s v="istree_exp9_zipf/step10028.txt"/>
    <x v="1"/>
    <n v="208"/>
    <s v="reclaimer_debra"/>
    <s v="allocator_new"/>
    <s v="pool_none"/>
    <n v="30000"/>
    <n v="0.5"/>
    <n v="0.5"/>
    <n v="0"/>
    <n v="1"/>
    <n v="200000000"/>
    <n v="96"/>
    <x v="2"/>
    <n v="96"/>
    <n v="0"/>
    <s v="insertIfAbsent"/>
    <n v="1462620650930510"/>
    <n v="14626850"/>
    <n v="1462620650930510"/>
    <n v="14626850"/>
    <s v="success"/>
    <n v="9"/>
    <n v="273062"/>
    <n v="1879634"/>
    <n v="2152696"/>
    <n v="14626850"/>
    <n v="7.88354"/>
    <n v="7.7817499999999997"/>
    <n v="8"/>
    <n v="447760768"/>
    <m/>
    <m/>
    <m/>
    <s v="336 24158"/>
    <m/>
    <m/>
    <m/>
    <m/>
    <m/>
    <m/>
    <n v="1045064335"/>
    <n v="0"/>
    <n v="10550679"/>
    <n v="1045064335"/>
    <n v="1055615014"/>
    <n v="34835477"/>
    <n v="0"/>
    <n v="351689"/>
    <n v="34835477"/>
    <n v="35187167"/>
    <n v="84.564099999999996"/>
    <n v="46.610900000000001"/>
    <n v="7556.11"/>
    <m/>
    <n v="3261"/>
    <n v="1149"/>
    <x v="1"/>
  </r>
  <r>
    <s v="istree_exp9_zipf/step10029.txt"/>
    <x v="1"/>
    <n v="208"/>
    <s v="reclaimer_debra"/>
    <s v="allocator_new"/>
    <s v="pool_none"/>
    <n v="30000"/>
    <n v="0.5"/>
    <n v="0.5"/>
    <n v="0"/>
    <n v="1"/>
    <n v="200000000"/>
    <n v="144"/>
    <x v="3"/>
    <n v="144"/>
    <n v="0"/>
    <s v="insertIfAbsent"/>
    <n v="1649397317555460"/>
    <n v="16490809"/>
    <n v="1649397317555460"/>
    <n v="16490809"/>
    <s v="success"/>
    <n v="9"/>
    <n v="308382"/>
    <n v="2122351"/>
    <n v="2430733"/>
    <n v="16490809"/>
    <n v="7.8822099999999997"/>
    <n v="7.7700699999999996"/>
    <n v="8"/>
    <n v="505592464"/>
    <m/>
    <m/>
    <m/>
    <s v="294 15156"/>
    <m/>
    <m/>
    <m/>
    <m/>
    <m/>
    <m/>
    <n v="1482178064"/>
    <n v="0"/>
    <n v="14976007"/>
    <n v="1482178064"/>
    <n v="1497154071"/>
    <n v="49405935"/>
    <n v="0"/>
    <n v="499200"/>
    <n v="49405935"/>
    <n v="49905135"/>
    <n v="85.651499999999999"/>
    <n v="47.946899999999999"/>
    <n v="7895.88"/>
    <m/>
    <n v="3340"/>
    <n v="898"/>
    <x v="1"/>
  </r>
  <r>
    <s v="istree_exp9_zipf/step10030.txt"/>
    <x v="1"/>
    <n v="208"/>
    <s v="reclaimer_debra"/>
    <s v="allocator_new"/>
    <s v="pool_none"/>
    <n v="30000"/>
    <n v="0.5"/>
    <n v="0.5"/>
    <n v="0"/>
    <n v="1"/>
    <n v="200000000"/>
    <n v="190"/>
    <x v="4"/>
    <n v="190"/>
    <n v="0"/>
    <s v="insertIfAbsent"/>
    <n v="1775699507992670"/>
    <n v="17756332"/>
    <n v="1775699507992670"/>
    <n v="17756332"/>
    <s v="success"/>
    <n v="10"/>
    <n v="332391"/>
    <n v="2287124"/>
    <n v="2619515"/>
    <n v="17756332"/>
    <n v="7.8808199999999999"/>
    <n v="7.7636099999999999"/>
    <n v="9"/>
    <n v="544859120"/>
    <m/>
    <m/>
    <m/>
    <s v="250 11438"/>
    <m/>
    <m/>
    <m/>
    <m/>
    <m/>
    <m/>
    <n v="1784113958"/>
    <n v="0"/>
    <n v="18023128"/>
    <n v="1784113958"/>
    <n v="1802137086"/>
    <n v="59470465"/>
    <n v="0"/>
    <n v="600770"/>
    <n v="59470465"/>
    <n v="60071236"/>
    <n v="86.951599999999999"/>
    <n v="49.000599999999999"/>
    <n v="8698.51"/>
    <m/>
    <n v="3462"/>
    <n v="969"/>
    <x v="1"/>
  </r>
  <r>
    <s v="istree_exp9_zipf/step10031.txt"/>
    <x v="2"/>
    <m/>
    <s v="reclaimer_debra"/>
    <s v="allocator_new"/>
    <s v="pool_none"/>
    <n v="30000"/>
    <n v="0.5"/>
    <n v="0.5"/>
    <n v="0"/>
    <n v="1"/>
    <n v="200000000"/>
    <n v="24"/>
    <x v="0"/>
    <n v="24"/>
    <n v="0"/>
    <s v="insertIfAbsent"/>
    <n v="1089131978057180"/>
    <n v="10893677"/>
    <n v="1089131978057180"/>
    <n v="10893677"/>
    <s v="success"/>
    <n v="29"/>
    <n v="6237205"/>
    <n v="4678732"/>
    <n v="10915937"/>
    <n v="10893677"/>
    <n v="1.75013"/>
    <n v="2.3283399999999999"/>
    <n v="22.8673"/>
    <n v="611292472"/>
    <m/>
    <m/>
    <m/>
    <s v="3650 77456"/>
    <m/>
    <m/>
    <m/>
    <m/>
    <m/>
    <m/>
    <n v="197434510"/>
    <n v="0"/>
    <n v="1994555"/>
    <n v="197434510"/>
    <n v="199429065"/>
    <n v="6581150"/>
    <n v="0"/>
    <n v="66485"/>
    <n v="6581150"/>
    <n v="6647635"/>
    <n v="104.852"/>
    <n v="53.415300000000002"/>
    <n v="10068.9"/>
    <m/>
    <n v="3340"/>
    <n v="2052"/>
    <x v="1"/>
  </r>
  <r>
    <s v="istree_exp9_zipf/step10032.txt"/>
    <x v="2"/>
    <m/>
    <s v="reclaimer_debra"/>
    <s v="allocator_new"/>
    <s v="pool_none"/>
    <n v="30000"/>
    <n v="0.5"/>
    <n v="0.5"/>
    <n v="0"/>
    <n v="1"/>
    <n v="200000000"/>
    <n v="48"/>
    <x v="1"/>
    <n v="48"/>
    <n v="0"/>
    <s v="insertIfAbsent"/>
    <n v="1163024732420640"/>
    <n v="11629479"/>
    <n v="1163024732420640"/>
    <n v="11629479"/>
    <s v="success"/>
    <n v="29"/>
    <n v="6667895"/>
    <n v="5003301"/>
    <n v="11671196"/>
    <n v="11629479"/>
    <n v="1.7503599999999999"/>
    <n v="2.32436"/>
    <n v="22.952500000000001"/>
    <n v="653586976"/>
    <m/>
    <m/>
    <m/>
    <s v="898 34138"/>
    <m/>
    <m/>
    <m/>
    <m/>
    <m/>
    <m/>
    <n v="361660899"/>
    <n v="0"/>
    <n v="3653078"/>
    <n v="361660899"/>
    <n v="365313977"/>
    <n v="12055363"/>
    <n v="0"/>
    <n v="121769"/>
    <n v="12055363"/>
    <n v="12177132"/>
    <n v="98.0595"/>
    <n v="47.591500000000003"/>
    <n v="10989.3"/>
    <m/>
    <n v="3393"/>
    <n v="1366"/>
    <x v="1"/>
  </r>
  <r>
    <s v="istree_exp9_zipf/step10033.txt"/>
    <x v="2"/>
    <m/>
    <s v="reclaimer_debra"/>
    <s v="allocator_new"/>
    <s v="pool_none"/>
    <n v="30000"/>
    <n v="0.5"/>
    <n v="0.5"/>
    <n v="0"/>
    <n v="1"/>
    <n v="200000000"/>
    <n v="96"/>
    <x v="2"/>
    <n v="96"/>
    <n v="0"/>
    <s v="insertIfAbsent"/>
    <n v="1333626179943460"/>
    <n v="13337064"/>
    <n v="1333626179943460"/>
    <n v="13337064"/>
    <s v="success"/>
    <n v="30"/>
    <n v="7672272"/>
    <n v="5756944"/>
    <n v="13429216"/>
    <n v="13337064"/>
    <n v="1.7503599999999999"/>
    <n v="2.3166899999999999"/>
    <n v="23.168299999999999"/>
    <n v="752036096"/>
    <m/>
    <m/>
    <m/>
    <s v="230 17276"/>
    <m/>
    <m/>
    <m/>
    <m/>
    <m/>
    <m/>
    <n v="747710573"/>
    <n v="0"/>
    <n v="7553074"/>
    <n v="747710573"/>
    <n v="755263647"/>
    <n v="24923685"/>
    <n v="0"/>
    <n v="251769"/>
    <n v="24923685"/>
    <n v="25175454"/>
    <n v="101.26300000000001"/>
    <n v="55.1511"/>
    <n v="10569.1"/>
    <m/>
    <n v="3521"/>
    <n v="936"/>
    <x v="1"/>
  </r>
  <r>
    <s v="istree_exp9_zipf/step10034.txt"/>
    <x v="2"/>
    <m/>
    <s v="reclaimer_debra"/>
    <s v="allocator_new"/>
    <s v="pool_none"/>
    <n v="30000"/>
    <n v="0.5"/>
    <n v="0.5"/>
    <n v="0"/>
    <n v="1"/>
    <n v="200000000"/>
    <n v="144"/>
    <x v="3"/>
    <n v="144"/>
    <n v="0"/>
    <s v="insertIfAbsent"/>
    <n v="1474098431640000"/>
    <n v="14740597"/>
    <n v="1474098431640000"/>
    <n v="14740597"/>
    <s v="success"/>
    <n v="30"/>
    <n v="8500201"/>
    <n v="6379406"/>
    <n v="14879607"/>
    <n v="14740597"/>
    <n v="1.7504999999999999"/>
    <n v="2.3106499999999999"/>
    <n v="23.315200000000001"/>
    <n v="833257992"/>
    <m/>
    <m/>
    <m/>
    <s v="160 10890"/>
    <m/>
    <m/>
    <m/>
    <m/>
    <m/>
    <m/>
    <n v="1071253702"/>
    <n v="0"/>
    <n v="10815637"/>
    <n v="1071253702"/>
    <n v="1082069339"/>
    <n v="35708456"/>
    <n v="0"/>
    <n v="360521"/>
    <n v="35708456"/>
    <n v="36068977"/>
    <n v="102.146"/>
    <n v="56.854700000000001"/>
    <n v="11058.9"/>
    <m/>
    <n v="3629"/>
    <n v="565"/>
    <x v="1"/>
  </r>
  <r>
    <s v="istree_exp9_zipf/step10035.txt"/>
    <x v="2"/>
    <m/>
    <s v="reclaimer_debra"/>
    <s v="allocator_new"/>
    <s v="pool_none"/>
    <n v="30000"/>
    <n v="0.5"/>
    <n v="0.5"/>
    <n v="0"/>
    <n v="1"/>
    <n v="200000000"/>
    <n v="190"/>
    <x v="4"/>
    <n v="190"/>
    <n v="0"/>
    <s v="insertIfAbsent"/>
    <n v="1588577647129230"/>
    <n v="15887728"/>
    <n v="1588577647129230"/>
    <n v="15887728"/>
    <s v="success"/>
    <n v="30"/>
    <n v="9180559"/>
    <n v="6888439"/>
    <n v="16068998"/>
    <n v="15887728"/>
    <n v="1.7503299999999999"/>
    <n v="2.3064300000000002"/>
    <n v="23.407900000000001"/>
    <n v="899863888"/>
    <m/>
    <m/>
    <m/>
    <s v="116 8216"/>
    <m/>
    <m/>
    <m/>
    <m/>
    <m/>
    <m/>
    <n v="1339685475"/>
    <n v="0"/>
    <n v="13531234"/>
    <n v="1339685475"/>
    <n v="1353216709"/>
    <n v="44656182"/>
    <n v="0"/>
    <n v="451041"/>
    <n v="44656182"/>
    <n v="45107223"/>
    <n v="103.099"/>
    <n v="57.707599999999999"/>
    <n v="11653.2"/>
    <m/>
    <n v="3720"/>
    <n v="573"/>
    <x v="1"/>
  </r>
  <r>
    <s v="istree_exp9_zipf/step10036.txt"/>
    <x v="3"/>
    <m/>
    <s v="reclaimer_debra"/>
    <s v="allocator_new"/>
    <s v="pool_none"/>
    <n v="30000"/>
    <n v="0.5"/>
    <n v="0.5"/>
    <n v="0"/>
    <n v="1"/>
    <n v="200000000"/>
    <n v="24"/>
    <x v="0"/>
    <n v="24"/>
    <n v="0"/>
    <s v="insertIfAbsent"/>
    <n v="1081277791246280"/>
    <n v="10816249"/>
    <n v="1081277791246280"/>
    <n v="10816249"/>
    <s v="success"/>
    <n v="67"/>
    <n v="10816248"/>
    <n v="10816249"/>
    <n v="21632497"/>
    <n v="10816249"/>
    <n v="2"/>
    <n v="1"/>
    <n v="32.284999999999997"/>
    <n v="692239904"/>
    <m/>
    <m/>
    <m/>
    <s v="3640 71494"/>
    <m/>
    <m/>
    <m/>
    <m/>
    <m/>
    <m/>
    <n v="180349692"/>
    <n v="0"/>
    <n v="1822724"/>
    <n v="180349692"/>
    <n v="182172416"/>
    <n v="6011656"/>
    <n v="0"/>
    <n v="60757"/>
    <n v="6011656"/>
    <n v="6072413"/>
    <n v="98.896699999999996"/>
    <n v="50.541800000000002"/>
    <n v="11023.7"/>
    <m/>
    <n v="3331"/>
    <n v="2009"/>
    <x v="1"/>
  </r>
  <r>
    <s v="istree_exp9_zipf/step10037.txt"/>
    <x v="3"/>
    <m/>
    <s v="reclaimer_debra"/>
    <s v="allocator_new"/>
    <s v="pool_none"/>
    <n v="30000"/>
    <n v="0.5"/>
    <n v="0.5"/>
    <n v="0"/>
    <n v="1"/>
    <n v="200000000"/>
    <n v="48"/>
    <x v="1"/>
    <n v="48"/>
    <n v="0"/>
    <s v="insertIfAbsent"/>
    <n v="1151110902051060"/>
    <n v="11515737"/>
    <n v="1151110902051060"/>
    <n v="11515737"/>
    <s v="success"/>
    <n v="61"/>
    <n v="11515736"/>
    <n v="11515737"/>
    <n v="23031473"/>
    <n v="11515737"/>
    <n v="2"/>
    <n v="1"/>
    <n v="31.7059"/>
    <n v="737007136"/>
    <m/>
    <m/>
    <m/>
    <s v="896 31968"/>
    <m/>
    <m/>
    <m/>
    <m/>
    <m/>
    <m/>
    <n v="336292079"/>
    <n v="0"/>
    <n v="3397161"/>
    <n v="336292079"/>
    <n v="339689240"/>
    <n v="11209735"/>
    <n v="0"/>
    <n v="113238"/>
    <n v="11209735"/>
    <n v="11322974"/>
    <n v="90.279499999999999"/>
    <n v="43.655000000000001"/>
    <n v="11820.2"/>
    <m/>
    <n v="3382"/>
    <n v="1338"/>
    <x v="1"/>
  </r>
  <r>
    <s v="istree_exp9_zipf/step10038.txt"/>
    <x v="3"/>
    <m/>
    <s v="reclaimer_debra"/>
    <s v="allocator_new"/>
    <s v="pool_none"/>
    <n v="30000"/>
    <n v="0.5"/>
    <n v="0.5"/>
    <n v="0"/>
    <n v="1"/>
    <n v="200000000"/>
    <n v="96"/>
    <x v="2"/>
    <n v="96"/>
    <n v="0"/>
    <s v="insertIfAbsent"/>
    <n v="1320434896295040"/>
    <n v="13205683"/>
    <n v="1320434896295040"/>
    <n v="13205683"/>
    <s v="success"/>
    <n v="62"/>
    <n v="13205682"/>
    <n v="13205683"/>
    <n v="26411365"/>
    <n v="13205683"/>
    <n v="2"/>
    <n v="1"/>
    <n v="30.836200000000002"/>
    <n v="845163680"/>
    <m/>
    <m/>
    <m/>
    <s v="236 16642"/>
    <m/>
    <m/>
    <m/>
    <m/>
    <m/>
    <m/>
    <n v="717981509"/>
    <n v="0"/>
    <n v="7254667"/>
    <n v="717981509"/>
    <n v="725236176"/>
    <n v="23932716"/>
    <n v="0"/>
    <n v="241822"/>
    <n v="23932716"/>
    <n v="24174539"/>
    <n v="93.589299999999994"/>
    <n v="50.409500000000001"/>
    <n v="11050.4"/>
    <m/>
    <n v="3506"/>
    <n v="879"/>
    <x v="1"/>
  </r>
  <r>
    <s v="istree_exp9_zipf/step10039.txt"/>
    <x v="3"/>
    <m/>
    <s v="reclaimer_debra"/>
    <s v="allocator_new"/>
    <s v="pool_none"/>
    <n v="30000"/>
    <n v="0.5"/>
    <n v="0.5"/>
    <n v="0"/>
    <n v="1"/>
    <n v="200000000"/>
    <n v="144"/>
    <x v="3"/>
    <n v="144"/>
    <n v="0"/>
    <s v="insertIfAbsent"/>
    <n v="1466217867890140"/>
    <n v="14660176"/>
    <n v="1466217867890140"/>
    <n v="14660176"/>
    <s v="success"/>
    <n v="68"/>
    <n v="14660175"/>
    <n v="14660176"/>
    <n v="29320351"/>
    <n v="14660176"/>
    <n v="2"/>
    <n v="1"/>
    <n v="32.968200000000003"/>
    <n v="938251232"/>
    <m/>
    <m/>
    <m/>
    <s v="160 10674"/>
    <m/>
    <m/>
    <m/>
    <m/>
    <m/>
    <m/>
    <n v="1052487328"/>
    <n v="0"/>
    <n v="10633088"/>
    <n v="1052487328"/>
    <n v="1063120416"/>
    <n v="35082910"/>
    <n v="0"/>
    <n v="354436"/>
    <n v="35082910"/>
    <n v="35437347"/>
    <n v="94.529300000000006"/>
    <n v="51.946399999999997"/>
    <n v="11303.2"/>
    <m/>
    <n v="3614"/>
    <n v="535"/>
    <x v="1"/>
  </r>
  <r>
    <s v="istree_exp9_zipf/step10040.txt"/>
    <x v="3"/>
    <m/>
    <s v="reclaimer_debra"/>
    <s v="allocator_new"/>
    <s v="pool_none"/>
    <n v="30000"/>
    <n v="0.5"/>
    <n v="0.5"/>
    <n v="0"/>
    <n v="1"/>
    <n v="200000000"/>
    <n v="190"/>
    <x v="4"/>
    <n v="190"/>
    <n v="0"/>
    <s v="insertIfAbsent"/>
    <n v="1593528364333310"/>
    <n v="15935561"/>
    <n v="1593528364333310"/>
    <n v="15935561"/>
    <s v="success"/>
    <n v="62"/>
    <n v="15935560"/>
    <n v="15935561"/>
    <n v="31871121"/>
    <n v="15935561"/>
    <n v="2"/>
    <n v="1"/>
    <n v="32.159300000000002"/>
    <n v="1019875872"/>
    <m/>
    <m/>
    <m/>
    <s v="124 8174"/>
    <m/>
    <m/>
    <m/>
    <m/>
    <m/>
    <m/>
    <n v="1350851791"/>
    <n v="0"/>
    <n v="13644681"/>
    <n v="1350851791"/>
    <n v="1364496472"/>
    <n v="45028393"/>
    <n v="0"/>
    <n v="454822"/>
    <n v="45028393"/>
    <n v="45483215"/>
    <n v="95.125"/>
    <n v="52.764099999999999"/>
    <n v="11599.4"/>
    <m/>
    <n v="3710"/>
    <n v="536"/>
    <x v="1"/>
  </r>
  <r>
    <s v="istree_exp9_zipf/step10041.txt"/>
    <x v="0"/>
    <n v="72"/>
    <s v="reclaimer_debra"/>
    <s v="allocator_new"/>
    <s v="pool_none"/>
    <n v="30000"/>
    <n v="5"/>
    <n v="5"/>
    <n v="0"/>
    <n v="1"/>
    <n v="200000000"/>
    <n v="24"/>
    <x v="0"/>
    <n v="24"/>
    <n v="0"/>
    <s v="insertIfAbsent"/>
    <n v="2271512373256390"/>
    <n v="22713881"/>
    <n v="2271512373256390"/>
    <n v="22713881"/>
    <s v="success"/>
    <n v="7"/>
    <n v="4005954"/>
    <n v="26496132"/>
    <n v="30502086"/>
    <n v="22713881"/>
    <n v="7.6141899999999998"/>
    <n v="0.85725300000000004"/>
    <n v="4.0701599999999996"/>
    <n v="744419664"/>
    <s v="4 11017 405648 4160605 115335"/>
    <s v="4 11007 405642 4160600 115335"/>
    <n v="1616"/>
    <n v="111606"/>
    <m/>
    <m/>
    <m/>
    <m/>
    <m/>
    <m/>
    <n v="273934896"/>
    <n v="0"/>
    <n v="30442725"/>
    <n v="273934896"/>
    <n v="304377621"/>
    <n v="9131163"/>
    <n v="0"/>
    <n v="1014757"/>
    <n v="9131163"/>
    <n v="10145920"/>
    <n v="90.434600000000003"/>
    <n v="48.290100000000002"/>
    <n v="6556.91"/>
    <m/>
    <n v="7443"/>
    <n v="1469"/>
    <x v="2"/>
  </r>
  <r>
    <s v="istree_exp9_zipf/step10042.txt"/>
    <x v="0"/>
    <n v="72"/>
    <s v="reclaimer_debra"/>
    <s v="allocator_new"/>
    <s v="pool_none"/>
    <n v="30000"/>
    <n v="5"/>
    <n v="5"/>
    <n v="0"/>
    <n v="1"/>
    <n v="200000000"/>
    <n v="48"/>
    <x v="1"/>
    <n v="48"/>
    <n v="0"/>
    <s v="insertIfAbsent"/>
    <n v="3055703427023320"/>
    <n v="30557780"/>
    <n v="3055703427023320"/>
    <n v="30557780"/>
    <s v="success"/>
    <n v="7"/>
    <n v="4413051"/>
    <n v="34602392"/>
    <n v="39015443"/>
    <n v="30557780"/>
    <n v="8.8409200000000006"/>
    <n v="0.88311200000000001"/>
    <n v="4.0182200000000003"/>
    <n v="906684672"/>
    <s v="7 23026 633073 7114134 202197"/>
    <s v="6 23015 633062 7114122 202197"/>
    <n v="7876"/>
    <n v="46484"/>
    <m/>
    <m/>
    <m/>
    <m/>
    <m/>
    <m/>
    <n v="466815898"/>
    <n v="0"/>
    <n v="51859542"/>
    <n v="466815898"/>
    <n v="518675440"/>
    <n v="15560529"/>
    <n v="0"/>
    <n v="1728651"/>
    <n v="15560529"/>
    <n v="17289181"/>
    <n v="80.876900000000006"/>
    <n v="41.487299999999998"/>
    <n v="7652.37"/>
    <m/>
    <n v="8189"/>
    <n v="1016"/>
    <x v="2"/>
  </r>
  <r>
    <s v="istree_exp9_zipf/step10043.txt"/>
    <x v="0"/>
    <n v="72"/>
    <s v="reclaimer_debra"/>
    <s v="allocator_new"/>
    <s v="pool_none"/>
    <n v="30000"/>
    <n v="5"/>
    <n v="5"/>
    <n v="0"/>
    <n v="1"/>
    <n v="200000000"/>
    <n v="96"/>
    <x v="2"/>
    <n v="96"/>
    <n v="0"/>
    <s v="insertIfAbsent"/>
    <n v="4414675961893770"/>
    <n v="44142779"/>
    <n v="4414675961893770"/>
    <n v="44142779"/>
    <s v="success"/>
    <n v="7"/>
    <n v="7712934"/>
    <n v="52059457"/>
    <n v="59772391"/>
    <n v="44142779"/>
    <n v="7.7496299999999998"/>
    <n v="0.84792999999999996"/>
    <n v="4.1207099999999999"/>
    <n v="1450829440"/>
    <s v="9 35878 725932 11352475 756089"/>
    <s v="8 35871 725889 11352447 756089"/>
    <n v="25250"/>
    <n v="21156"/>
    <m/>
    <m/>
    <m/>
    <m/>
    <m/>
    <m/>
    <n v="858723372"/>
    <n v="0"/>
    <n v="95407870"/>
    <n v="858723372"/>
    <n v="954131242"/>
    <n v="28624112"/>
    <n v="0"/>
    <n v="3180262"/>
    <n v="28624112"/>
    <n v="31804374"/>
    <n v="83.244900000000001"/>
    <n v="47.697200000000002"/>
    <n v="8208.91"/>
    <m/>
    <n v="8915"/>
    <n v="1163"/>
    <x v="2"/>
  </r>
  <r>
    <s v="istree_exp9_zipf/step10044.txt"/>
    <x v="0"/>
    <n v="72"/>
    <s v="reclaimer_debra"/>
    <s v="allocator_new"/>
    <s v="pool_none"/>
    <n v="30000"/>
    <n v="5"/>
    <n v="5"/>
    <n v="0"/>
    <n v="1"/>
    <n v="200000000"/>
    <n v="144"/>
    <x v="3"/>
    <n v="144"/>
    <n v="0"/>
    <s v="insertIfAbsent"/>
    <n v="5302064488745200"/>
    <n v="53021783"/>
    <n v="5302064488745200"/>
    <n v="53021783"/>
    <s v="success"/>
    <n v="7"/>
    <n v="7605791"/>
    <n v="60266010"/>
    <n v="67871801"/>
    <n v="53021783"/>
    <n v="8.9237000000000002"/>
    <n v="0.87979600000000002"/>
    <n v="4.0282400000000003"/>
    <n v="1572767312"/>
    <s v="15 49134 827806 14776223 1091172"/>
    <s v="10 49133 827764 14776176 1091171"/>
    <n v="50333"/>
    <n v="12798"/>
    <m/>
    <m/>
    <m/>
    <m/>
    <m/>
    <m/>
    <n v="1170055618"/>
    <n v="0"/>
    <n v="130020007"/>
    <n v="1170055618"/>
    <n v="1300075625"/>
    <n v="39001853"/>
    <n v="0"/>
    <n v="4334000"/>
    <n v="39001853"/>
    <n v="43335854"/>
    <n v="84.637100000000004"/>
    <n v="49.429499999999997"/>
    <n v="8933.7199999999993"/>
    <m/>
    <n v="9966"/>
    <n v="1011"/>
    <x v="2"/>
  </r>
  <r>
    <s v="istree_exp9_zipf/step10045.txt"/>
    <x v="0"/>
    <n v="72"/>
    <s v="reclaimer_debra"/>
    <s v="allocator_new"/>
    <s v="pool_none"/>
    <n v="30000"/>
    <n v="5"/>
    <n v="5"/>
    <n v="0"/>
    <n v="1"/>
    <n v="200000000"/>
    <n v="190"/>
    <x v="4"/>
    <n v="190"/>
    <n v="0"/>
    <s v="insertIfAbsent"/>
    <n v="5949192646880830"/>
    <n v="59495524"/>
    <n v="5949192646880830"/>
    <n v="59495524"/>
    <s v="success"/>
    <n v="7"/>
    <n v="9048713"/>
    <n v="68562152"/>
    <n v="77610865"/>
    <n v="59495524"/>
    <n v="8.5770099999999996"/>
    <n v="0.86775999999999998"/>
    <n v="4.0562699999999996"/>
    <n v="1821238208"/>
    <s v="18 56388 739558 17265252 1407175"/>
    <s v="11 56384 739499 17265188 1407174"/>
    <n v="70641"/>
    <n v="9668"/>
    <m/>
    <m/>
    <m/>
    <m/>
    <m/>
    <m/>
    <n v="1437004110"/>
    <n v="0"/>
    <n v="159663785"/>
    <n v="1437004110"/>
    <n v="1596667895"/>
    <n v="47900137"/>
    <n v="0"/>
    <n v="5322126"/>
    <n v="47900137"/>
    <n v="53222263"/>
    <n v="85.227099999999993"/>
    <n v="50.295299999999997"/>
    <n v="9550.6200000000008"/>
    <m/>
    <n v="10373"/>
    <n v="1245"/>
    <x v="2"/>
  </r>
  <r>
    <s v="istree_exp9_zipf/step10046.txt"/>
    <x v="1"/>
    <n v="208"/>
    <s v="reclaimer_debra"/>
    <s v="allocator_new"/>
    <s v="pool_none"/>
    <n v="30000"/>
    <n v="5"/>
    <n v="5"/>
    <n v="0"/>
    <n v="1"/>
    <n v="200000000"/>
    <n v="24"/>
    <x v="0"/>
    <n v="24"/>
    <n v="0"/>
    <s v="insertIfAbsent"/>
    <n v="2241463441970130"/>
    <n v="22416706"/>
    <n v="2241463441970130"/>
    <n v="22416706"/>
    <s v="success"/>
    <n v="10"/>
    <n v="420769"/>
    <n v="2896431"/>
    <n v="3317200"/>
    <n v="22416706"/>
    <n v="7.8836599999999999"/>
    <n v="7.73942"/>
    <n v="9"/>
    <n v="689977600"/>
    <m/>
    <m/>
    <m/>
    <s v="3736 113856"/>
    <m/>
    <m/>
    <m/>
    <m/>
    <m/>
    <m/>
    <n v="267331853"/>
    <n v="0"/>
    <n v="29694916"/>
    <n v="267331853"/>
    <n v="297026769"/>
    <n v="8911061"/>
    <n v="0"/>
    <n v="989830"/>
    <n v="8911061"/>
    <n v="9900892"/>
    <n v="92.216300000000004"/>
    <n v="47.438299999999998"/>
    <n v="6754.99"/>
    <m/>
    <n v="3403"/>
    <n v="1645"/>
    <x v="2"/>
  </r>
  <r>
    <s v="istree_exp9_zipf/step10047.txt"/>
    <x v="1"/>
    <n v="208"/>
    <s v="reclaimer_debra"/>
    <s v="allocator_new"/>
    <s v="pool_none"/>
    <n v="30000"/>
    <n v="5"/>
    <n v="5"/>
    <n v="0"/>
    <n v="1"/>
    <n v="200000000"/>
    <n v="48"/>
    <x v="1"/>
    <n v="48"/>
    <n v="0"/>
    <s v="insertIfAbsent"/>
    <n v="3062534979763390"/>
    <n v="30623006"/>
    <n v="3062534979763390"/>
    <n v="30623006"/>
    <s v="success"/>
    <n v="10"/>
    <n v="578235"/>
    <n v="3980085"/>
    <n v="4558320"/>
    <n v="30623006"/>
    <n v="7.8831600000000002"/>
    <n v="7.6940600000000003"/>
    <n v="9"/>
    <n v="948130560"/>
    <m/>
    <m/>
    <m/>
    <s v="974 48372"/>
    <m/>
    <m/>
    <m/>
    <m/>
    <m/>
    <m/>
    <n v="468623650"/>
    <n v="0"/>
    <n v="52065881"/>
    <n v="468623650"/>
    <n v="520689531"/>
    <n v="15620788"/>
    <n v="0"/>
    <n v="1735529"/>
    <n v="15620788"/>
    <n v="17356317"/>
    <n v="83.685100000000006"/>
    <n v="41.137500000000003"/>
    <n v="7699.34"/>
    <m/>
    <n v="3721"/>
    <n v="1231"/>
    <x v="2"/>
  </r>
  <r>
    <s v="istree_exp9_zipf/step10048.txt"/>
    <x v="1"/>
    <n v="208"/>
    <s v="reclaimer_debra"/>
    <s v="allocator_new"/>
    <s v="pool_none"/>
    <n v="30000"/>
    <n v="5"/>
    <n v="5"/>
    <n v="0"/>
    <n v="1"/>
    <n v="200000000"/>
    <n v="96"/>
    <x v="2"/>
    <n v="96"/>
    <n v="0"/>
    <s v="insertIfAbsent"/>
    <n v="4476859304562900"/>
    <n v="44766917"/>
    <n v="4476859304562900"/>
    <n v="44766917"/>
    <s v="success"/>
    <n v="10"/>
    <n v="856131"/>
    <n v="5894563"/>
    <n v="6750694"/>
    <n v="44766917"/>
    <n v="7.8851199999999997"/>
    <n v="7.5946100000000003"/>
    <n v="9"/>
    <n v="1404144352"/>
    <m/>
    <m/>
    <m/>
    <s v="356 22386"/>
    <m/>
    <m/>
    <m/>
    <m/>
    <m/>
    <m/>
    <n v="878512570"/>
    <n v="0"/>
    <n v="97615882"/>
    <n v="878512570"/>
    <n v="976128452"/>
    <n v="29283752"/>
    <n v="0"/>
    <n v="3253862"/>
    <n v="29283752"/>
    <n v="32537615"/>
    <n v="87.5548"/>
    <n v="48.625999999999998"/>
    <n v="8173.13"/>
    <m/>
    <n v="4277"/>
    <n v="1130"/>
    <x v="2"/>
  </r>
  <r>
    <s v="istree_exp9_zipf/step10049.txt"/>
    <x v="1"/>
    <n v="208"/>
    <s v="reclaimer_debra"/>
    <s v="allocator_new"/>
    <s v="pool_none"/>
    <n v="30000"/>
    <n v="5"/>
    <n v="5"/>
    <n v="0"/>
    <n v="1"/>
    <n v="200000000"/>
    <n v="144"/>
    <x v="3"/>
    <n v="144"/>
    <n v="0"/>
    <s v="insertIfAbsent"/>
    <n v="5451615360227490"/>
    <n v="54516031"/>
    <n v="5451615360227490"/>
    <n v="54516031"/>
    <s v="success"/>
    <n v="10"/>
    <n v="1055256"/>
    <n v="7262838"/>
    <n v="8318094"/>
    <n v="54516031"/>
    <n v="7.8825399999999997"/>
    <n v="7.5061600000000004"/>
    <n v="9"/>
    <n v="1730163552"/>
    <m/>
    <m/>
    <m/>
    <s v="280 13864"/>
    <m/>
    <m/>
    <m/>
    <m/>
    <m/>
    <m/>
    <n v="1228893550"/>
    <n v="0"/>
    <n v="136532612"/>
    <n v="1228893550"/>
    <n v="1365426162"/>
    <n v="40963118"/>
    <n v="0"/>
    <n v="4551087"/>
    <n v="40963118"/>
    <n v="45514205"/>
    <n v="88.930999999999997"/>
    <n v="50.468200000000003"/>
    <n v="8691.07"/>
    <m/>
    <n v="4673"/>
    <n v="903"/>
    <x v="2"/>
  </r>
  <r>
    <s v="istree_exp9_zipf/step10050.txt"/>
    <x v="1"/>
    <n v="208"/>
    <s v="reclaimer_debra"/>
    <s v="allocator_new"/>
    <s v="pool_none"/>
    <n v="30000"/>
    <n v="5"/>
    <n v="5"/>
    <n v="0"/>
    <n v="1"/>
    <n v="200000000"/>
    <n v="190"/>
    <x v="4"/>
    <n v="190"/>
    <n v="0"/>
    <s v="insertIfAbsent"/>
    <n v="6087027408791770"/>
    <n v="60875753"/>
    <n v="6087027408791770"/>
    <n v="60875753"/>
    <s v="success"/>
    <n v="10"/>
    <n v="1189240"/>
    <n v="8185296"/>
    <n v="9374536"/>
    <n v="60875753"/>
    <n v="7.8827999999999996"/>
    <n v="7.4372100000000003"/>
    <n v="9"/>
    <n v="1949903488"/>
    <m/>
    <m/>
    <m/>
    <s v="252 10452"/>
    <m/>
    <m/>
    <m/>
    <m/>
    <m/>
    <m/>
    <n v="1499746782"/>
    <n v="0"/>
    <n v="166643270"/>
    <n v="1499746782"/>
    <n v="1666390052"/>
    <n v="49991559"/>
    <n v="0"/>
    <n v="5554775"/>
    <n v="49991559"/>
    <n v="55546335"/>
    <n v="90.221800000000002"/>
    <n v="51.723300000000002"/>
    <n v="9401.14"/>
    <m/>
    <n v="5030"/>
    <n v="998"/>
    <x v="2"/>
  </r>
  <r>
    <s v="istree_exp9_zipf/step10051.txt"/>
    <x v="2"/>
    <m/>
    <s v="reclaimer_debra"/>
    <s v="allocator_new"/>
    <s v="pool_none"/>
    <n v="30000"/>
    <n v="5"/>
    <n v="5"/>
    <n v="0"/>
    <n v="1"/>
    <n v="200000000"/>
    <n v="24"/>
    <x v="0"/>
    <n v="24"/>
    <n v="0"/>
    <s v="insertIfAbsent"/>
    <n v="1819916683960820"/>
    <n v="18197359"/>
    <n v="1819916683960820"/>
    <n v="18197359"/>
    <s v="success"/>
    <n v="30"/>
    <n v="10553413"/>
    <n v="7920173"/>
    <n v="18473586"/>
    <n v="18197359"/>
    <n v="1.75048"/>
    <n v="2.2976000000000001"/>
    <n v="23.607700000000001"/>
    <n v="1034520816"/>
    <m/>
    <m/>
    <m/>
    <s v="3654 74456"/>
    <m/>
    <m/>
    <m/>
    <m/>
    <m/>
    <m/>
    <n v="171948828"/>
    <n v="0"/>
    <n v="19103147"/>
    <n v="171948828"/>
    <n v="191051975"/>
    <n v="5731627"/>
    <n v="0"/>
    <n v="636771"/>
    <n v="5731627"/>
    <n v="6368399"/>
    <n v="107.062"/>
    <n v="54.713200000000001"/>
    <n v="10502.8"/>
    <m/>
    <n v="3826"/>
    <n v="2048"/>
    <x v="2"/>
  </r>
  <r>
    <s v="istree_exp9_zipf/step10052.txt"/>
    <x v="2"/>
    <m/>
    <s v="reclaimer_debra"/>
    <s v="allocator_new"/>
    <s v="pool_none"/>
    <n v="30000"/>
    <n v="5"/>
    <n v="5"/>
    <n v="0"/>
    <n v="1"/>
    <n v="200000000"/>
    <n v="48"/>
    <x v="1"/>
    <n v="48"/>
    <n v="0"/>
    <s v="insertIfAbsent"/>
    <n v="2425919474299580"/>
    <n v="24256759"/>
    <n v="2425919474299580"/>
    <n v="24256759"/>
    <s v="success"/>
    <n v="30"/>
    <n v="14193298"/>
    <n v="10653235"/>
    <n v="24846533"/>
    <n v="24256759"/>
    <n v="1.75058"/>
    <n v="2.2769400000000002"/>
    <n v="24.0396"/>
    <n v="1391405848"/>
    <m/>
    <m/>
    <m/>
    <s v="896 32322"/>
    <m/>
    <m/>
    <m/>
    <m/>
    <m/>
    <m/>
    <n v="310339869"/>
    <n v="0"/>
    <n v="34492532"/>
    <n v="310339869"/>
    <n v="344832401"/>
    <n v="10344662"/>
    <n v="0"/>
    <n v="1149751"/>
    <n v="10344662"/>
    <n v="11494413"/>
    <n v="100.986"/>
    <n v="49.653100000000002"/>
    <n v="11632"/>
    <m/>
    <n v="4244"/>
    <n v="1359"/>
    <x v="2"/>
  </r>
  <r>
    <s v="istree_exp9_zipf/step10053.txt"/>
    <x v="2"/>
    <m/>
    <s v="reclaimer_debra"/>
    <s v="allocator_new"/>
    <s v="pool_none"/>
    <n v="30000"/>
    <n v="5"/>
    <n v="5"/>
    <n v="0"/>
    <n v="1"/>
    <n v="200000000"/>
    <n v="96"/>
    <x v="2"/>
    <n v="96"/>
    <n v="0"/>
    <s v="insertIfAbsent"/>
    <n v="3627434540424110"/>
    <n v="36277782"/>
    <n v="3627434540424110"/>
    <n v="36277782"/>
    <s v="success"/>
    <n v="31"/>
    <n v="21589614"/>
    <n v="16213445"/>
    <n v="37803059"/>
    <n v="36277782"/>
    <n v="1.75098"/>
    <n v="2.2375099999999999"/>
    <n v="24.7178"/>
    <n v="2116971304"/>
    <m/>
    <m/>
    <m/>
    <s v="458 15844"/>
    <m/>
    <m/>
    <m/>
    <m/>
    <m/>
    <m/>
    <n v="621365697"/>
    <n v="0"/>
    <n v="69043449"/>
    <n v="621365697"/>
    <n v="690409146"/>
    <n v="20712189"/>
    <n v="0"/>
    <n v="2301448"/>
    <n v="20712189"/>
    <n v="23013638"/>
    <n v="104.88500000000001"/>
    <n v="57.678199999999997"/>
    <n v="11582.8"/>
    <m/>
    <n v="5096"/>
    <n v="948"/>
    <x v="2"/>
  </r>
  <r>
    <s v="istree_exp9_zipf/step10054.txt"/>
    <x v="2"/>
    <m/>
    <s v="reclaimer_debra"/>
    <s v="allocator_new"/>
    <s v="pool_none"/>
    <n v="30000"/>
    <n v="5"/>
    <n v="5"/>
    <n v="0"/>
    <n v="1"/>
    <n v="200000000"/>
    <n v="144"/>
    <x v="3"/>
    <n v="144"/>
    <n v="0"/>
    <s v="insertIfAbsent"/>
    <n v="4480217676682380"/>
    <n v="44799054"/>
    <n v="4480217676682380"/>
    <n v="44799054"/>
    <s v="success"/>
    <n v="32"/>
    <n v="26996515"/>
    <n v="20282118"/>
    <n v="47278633"/>
    <n v="44799054"/>
    <n v="1.75129"/>
    <n v="2.2088000000000001"/>
    <n v="25.081"/>
    <n v="2647603448"/>
    <m/>
    <m/>
    <m/>
    <s v="162 9846"/>
    <m/>
    <m/>
    <m/>
    <m/>
    <m/>
    <m/>
    <n v="879998707"/>
    <n v="0"/>
    <n v="97756076"/>
    <n v="879998707"/>
    <n v="977754783"/>
    <n v="29333290"/>
    <n v="0"/>
    <n v="3258535"/>
    <n v="29333290"/>
    <n v="32591826"/>
    <n v="106.431"/>
    <n v="60.057499999999997"/>
    <n v="12232.1"/>
    <m/>
    <n v="5722"/>
    <n v="584"/>
    <x v="2"/>
  </r>
  <r>
    <s v="istree_exp9_zipf/step10055.txt"/>
    <x v="2"/>
    <m/>
    <s v="reclaimer_debra"/>
    <s v="allocator_new"/>
    <s v="pool_none"/>
    <n v="30000"/>
    <n v="5"/>
    <n v="5"/>
    <n v="0"/>
    <n v="1"/>
    <n v="200000000"/>
    <n v="190"/>
    <x v="4"/>
    <n v="190"/>
    <n v="0"/>
    <s v="insertIfAbsent"/>
    <n v="5147022819847840"/>
    <n v="51470263"/>
    <n v="5147022819847840"/>
    <n v="51470263"/>
    <s v="success"/>
    <n v="32"/>
    <n v="31337691"/>
    <n v="23552355"/>
    <n v="54890046"/>
    <n v="51470263"/>
    <n v="1.7515700000000001"/>
    <n v="2.1853600000000002"/>
    <n v="25.271000000000001"/>
    <n v="3073842576"/>
    <m/>
    <m/>
    <m/>
    <s v="114 7404"/>
    <m/>
    <m/>
    <m/>
    <m/>
    <m/>
    <m/>
    <n v="1111852623"/>
    <n v="0"/>
    <n v="123537491"/>
    <n v="1111852623"/>
    <n v="1235390114"/>
    <n v="37061754"/>
    <n v="0"/>
    <n v="4117916"/>
    <n v="37061754"/>
    <n v="41179670"/>
    <n v="107.49"/>
    <n v="61.373800000000003"/>
    <n v="12780.2"/>
    <m/>
    <n v="6227"/>
    <n v="576"/>
    <x v="2"/>
  </r>
  <r>
    <s v="istree_exp9_zipf/step10056.txt"/>
    <x v="3"/>
    <m/>
    <s v="reclaimer_debra"/>
    <s v="allocator_new"/>
    <s v="pool_none"/>
    <n v="30000"/>
    <n v="5"/>
    <n v="5"/>
    <n v="0"/>
    <n v="1"/>
    <n v="200000000"/>
    <n v="24"/>
    <x v="0"/>
    <n v="24"/>
    <n v="0"/>
    <s v="insertIfAbsent"/>
    <n v="1750920393815710"/>
    <n v="17510191"/>
    <n v="1750920393815710"/>
    <n v="17510191"/>
    <s v="success"/>
    <n v="60"/>
    <n v="17510190"/>
    <n v="17510191"/>
    <n v="35020381"/>
    <n v="17510191"/>
    <n v="2"/>
    <n v="1"/>
    <n v="31.747"/>
    <n v="1120652192"/>
    <m/>
    <m/>
    <m/>
    <s v="3650 68590"/>
    <m/>
    <m/>
    <m/>
    <m/>
    <m/>
    <m/>
    <n v="156803551"/>
    <n v="0"/>
    <n v="17423335"/>
    <n v="156803551"/>
    <n v="174226886"/>
    <n v="5226785"/>
    <n v="0"/>
    <n v="580777"/>
    <n v="5226785"/>
    <n v="5807562"/>
    <n v="101.21299999999999"/>
    <n v="51.940100000000001"/>
    <n v="11517.6"/>
    <m/>
    <n v="3765"/>
    <n v="2008"/>
    <x v="2"/>
  </r>
  <r>
    <s v="istree_exp9_zipf/step10057.txt"/>
    <x v="3"/>
    <m/>
    <s v="reclaimer_debra"/>
    <s v="allocator_new"/>
    <s v="pool_none"/>
    <n v="30000"/>
    <n v="5"/>
    <n v="5"/>
    <n v="0"/>
    <n v="1"/>
    <n v="200000000"/>
    <n v="48"/>
    <x v="1"/>
    <n v="48"/>
    <n v="0"/>
    <s v="insertIfAbsent"/>
    <n v="2325442766402050"/>
    <n v="23258942"/>
    <n v="2325442766402050"/>
    <n v="23258942"/>
    <s v="success"/>
    <n v="67"/>
    <n v="23258941"/>
    <n v="23258942"/>
    <n v="46517883"/>
    <n v="23258942"/>
    <n v="2"/>
    <n v="1"/>
    <n v="34.4666"/>
    <n v="1488572256"/>
    <m/>
    <m/>
    <m/>
    <s v="894 30082"/>
    <m/>
    <m/>
    <m/>
    <m/>
    <m/>
    <m/>
    <n v="286874581"/>
    <n v="0"/>
    <n v="31873846"/>
    <n v="286874581"/>
    <n v="318748427"/>
    <n v="9562486"/>
    <n v="0"/>
    <n v="1062461"/>
    <n v="9562486"/>
    <n v="10624947"/>
    <n v="92.876800000000003"/>
    <n v="45.421399999999998"/>
    <n v="12585.8"/>
    <m/>
    <n v="4141"/>
    <n v="1335"/>
    <x v="2"/>
  </r>
  <r>
    <s v="istree_exp9_zipf/step10058.txt"/>
    <x v="3"/>
    <m/>
    <s v="reclaimer_debra"/>
    <s v="allocator_new"/>
    <s v="pool_none"/>
    <n v="30000"/>
    <n v="5"/>
    <n v="5"/>
    <n v="0"/>
    <n v="1"/>
    <n v="200000000"/>
    <n v="96"/>
    <x v="2"/>
    <n v="96"/>
    <n v="0"/>
    <s v="insertIfAbsent"/>
    <n v="3516357987978790"/>
    <n v="35164859"/>
    <n v="3516357987978790"/>
    <n v="35164859"/>
    <s v="success"/>
    <n v="66"/>
    <n v="35164858"/>
    <n v="35164859"/>
    <n v="70329717"/>
    <n v="35164859"/>
    <n v="2"/>
    <n v="1"/>
    <n v="34.254100000000001"/>
    <n v="2250550944"/>
    <m/>
    <m/>
    <m/>
    <s v="226 15090"/>
    <m/>
    <m/>
    <m/>
    <m/>
    <m/>
    <m/>
    <n v="590298601"/>
    <n v="0"/>
    <n v="65585905"/>
    <n v="590298601"/>
    <n v="655884506"/>
    <n v="19676620"/>
    <n v="0"/>
    <n v="2186196"/>
    <n v="19676620"/>
    <n v="21862816"/>
    <n v="97.022400000000005"/>
    <n v="52.801200000000001"/>
    <n v="12208.7"/>
    <m/>
    <n v="4923"/>
    <n v="883"/>
    <x v="2"/>
  </r>
  <r>
    <s v="istree_exp9_zipf/step10059.txt"/>
    <x v="3"/>
    <m/>
    <s v="reclaimer_debra"/>
    <s v="allocator_new"/>
    <s v="pool_none"/>
    <n v="30000"/>
    <n v="5"/>
    <n v="5"/>
    <n v="0"/>
    <n v="1"/>
    <n v="200000000"/>
    <n v="144"/>
    <x v="3"/>
    <n v="144"/>
    <n v="0"/>
    <s v="insertIfAbsent"/>
    <n v="4397745472570130"/>
    <n v="43973122"/>
    <n v="4397745472570130"/>
    <n v="43973122"/>
    <s v="success"/>
    <n v="71"/>
    <n v="43973121"/>
    <n v="43973122"/>
    <n v="87946243"/>
    <n v="43973122"/>
    <n v="2"/>
    <n v="1"/>
    <n v="34.655099999999997"/>
    <n v="2814279776"/>
    <m/>
    <m/>
    <m/>
    <s v="162 9516"/>
    <m/>
    <m/>
    <m/>
    <m/>
    <m/>
    <m/>
    <n v="853127825"/>
    <n v="0"/>
    <n v="94805261"/>
    <n v="853127825"/>
    <n v="947933086"/>
    <n v="28437594"/>
    <n v="0"/>
    <n v="3160175"/>
    <n v="28437594"/>
    <n v="31597769"/>
    <n v="98.759399999999999"/>
    <n v="54.980899999999998"/>
    <n v="12669.5"/>
    <m/>
    <n v="5508"/>
    <n v="524"/>
    <x v="2"/>
  </r>
  <r>
    <s v="istree_exp9_zipf/step10060.txt"/>
    <x v="3"/>
    <m/>
    <s v="reclaimer_debra"/>
    <s v="allocator_new"/>
    <s v="pool_none"/>
    <n v="30000"/>
    <n v="5"/>
    <n v="5"/>
    <n v="0"/>
    <n v="1"/>
    <n v="200000000"/>
    <n v="190"/>
    <x v="4"/>
    <n v="190"/>
    <n v="0"/>
    <s v="insertIfAbsent"/>
    <n v="5092771034384370"/>
    <n v="50922436"/>
    <n v="5092771034384370"/>
    <n v="50922436"/>
    <s v="success"/>
    <n v="64"/>
    <n v="50922435"/>
    <n v="50922436"/>
    <n v="101844871"/>
    <n v="50922436"/>
    <n v="2"/>
    <n v="1"/>
    <n v="34.248600000000003"/>
    <n v="3259035872"/>
    <m/>
    <m/>
    <m/>
    <s v="120 7202"/>
    <m/>
    <m/>
    <m/>
    <m/>
    <m/>
    <m/>
    <n v="1091321807"/>
    <n v="0"/>
    <n v="121269011"/>
    <n v="1091321807"/>
    <n v="1212590818"/>
    <n v="36377393"/>
    <n v="0"/>
    <n v="4042300"/>
    <n v="36377393"/>
    <n v="40419693"/>
    <n v="99.980999999999995"/>
    <n v="56.212499999999999"/>
    <n v="13058"/>
    <m/>
    <n v="5969"/>
    <n v="537"/>
    <x v="2"/>
  </r>
  <r>
    <m/>
    <x v="4"/>
    <m/>
    <m/>
    <m/>
    <m/>
    <m/>
    <m/>
    <m/>
    <m/>
    <m/>
    <m/>
    <m/>
    <x v="5"/>
    <m/>
    <m/>
    <m/>
    <m/>
    <m/>
    <m/>
    <m/>
    <m/>
    <m/>
    <m/>
    <m/>
    <m/>
    <m/>
    <m/>
    <m/>
    <m/>
    <m/>
    <m/>
    <m/>
    <m/>
    <m/>
    <m/>
    <m/>
    <m/>
    <m/>
    <m/>
    <m/>
    <m/>
    <m/>
    <m/>
    <m/>
    <m/>
    <m/>
    <m/>
    <m/>
    <m/>
    <m/>
    <m/>
    <m/>
    <m/>
    <m/>
    <m/>
    <m/>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s v="istree_exp9_zipf/step10001.txt"/>
    <x v="0"/>
    <n v="72"/>
    <s v="reclaimer_debra"/>
    <s v="allocator_new"/>
    <s v="pool_none"/>
    <n v="30000"/>
    <n v="0"/>
    <n v="0"/>
    <n v="0"/>
    <n v="1"/>
    <n v="200000000"/>
    <n v="24"/>
    <x v="0"/>
    <n v="24"/>
    <n v="0"/>
    <s v="insertIfAbsent"/>
    <n v="1000072427298130"/>
    <n v="10000000"/>
    <n v="1000072427298130"/>
    <n v="10000000"/>
    <s v="success"/>
    <n v="6"/>
    <n v="1625784"/>
    <n v="11442328"/>
    <n v="13068112"/>
    <n v="10000000"/>
    <n v="8.0380400000000005"/>
    <n v="0.87394799999999995"/>
    <n v="4"/>
    <n v="313139952"/>
    <m/>
    <m/>
    <m/>
    <n v="127992"/>
    <m/>
    <m/>
    <m/>
    <m/>
    <m/>
    <m/>
    <n v="348239620"/>
    <n v="0"/>
    <n v="0"/>
    <n v="348239620"/>
    <n v="348239620"/>
    <n v="11607987"/>
    <n v="0"/>
    <n v="0"/>
    <n v="11607987"/>
    <n v="11607987"/>
    <n v="85.353499999999997"/>
    <n v="45.146099999999997"/>
    <n v="5760.71"/>
    <m/>
    <n v="5917"/>
    <n v="1439"/>
    <x v="0"/>
    <n v="0"/>
  </r>
  <r>
    <s v="istree_exp9_zipf/step10002.txt"/>
    <x v="0"/>
    <n v="72"/>
    <s v="reclaimer_debra"/>
    <s v="allocator_new"/>
    <s v="pool_none"/>
    <n v="30000"/>
    <n v="0"/>
    <n v="0"/>
    <n v="0"/>
    <n v="1"/>
    <n v="200000000"/>
    <n v="48"/>
    <x v="1"/>
    <n v="48"/>
    <n v="0"/>
    <s v="insertIfAbsent"/>
    <n v="1000106748298940"/>
    <n v="10000000"/>
    <n v="1000106748298940"/>
    <n v="10000000"/>
    <s v="success"/>
    <n v="6"/>
    <n v="1625784"/>
    <n v="11442328"/>
    <n v="13068112"/>
    <n v="10000000"/>
    <n v="8.0380400000000005"/>
    <n v="0.87394799999999995"/>
    <n v="4"/>
    <n v="313139952"/>
    <m/>
    <m/>
    <m/>
    <n v="54744"/>
    <m/>
    <m/>
    <m/>
    <m/>
    <m/>
    <m/>
    <n v="607697853"/>
    <n v="0"/>
    <n v="0"/>
    <n v="607697853"/>
    <n v="607697853"/>
    <n v="20256595"/>
    <n v="0"/>
    <n v="0"/>
    <n v="20256595"/>
    <n v="20256595"/>
    <n v="74.083699999999993"/>
    <n v="38.209499999999998"/>
    <n v="6561.24"/>
    <m/>
    <n v="5925"/>
    <n v="1262"/>
    <x v="0"/>
    <n v="0"/>
  </r>
  <r>
    <s v="istree_exp9_zipf/step10003.txt"/>
    <x v="0"/>
    <n v="72"/>
    <s v="reclaimer_debra"/>
    <s v="allocator_new"/>
    <s v="pool_none"/>
    <n v="30000"/>
    <n v="0"/>
    <n v="0"/>
    <n v="0"/>
    <n v="1"/>
    <n v="200000000"/>
    <n v="96"/>
    <x v="2"/>
    <n v="96"/>
    <n v="0"/>
    <s v="insertIfAbsent"/>
    <n v="999878713333255"/>
    <n v="10000000"/>
    <n v="999878713333255"/>
    <n v="10000000"/>
    <s v="success"/>
    <n v="6"/>
    <n v="1625784"/>
    <n v="11442328"/>
    <n v="13068112"/>
    <n v="10000000"/>
    <n v="8.0380400000000005"/>
    <n v="0.87394799999999995"/>
    <n v="4"/>
    <n v="313139952"/>
    <m/>
    <m/>
    <m/>
    <n v="25188"/>
    <m/>
    <m/>
    <m/>
    <m/>
    <m/>
    <m/>
    <n v="1127782411"/>
    <n v="0"/>
    <n v="0"/>
    <n v="1127782411"/>
    <n v="1127782411"/>
    <n v="37592747"/>
    <n v="0"/>
    <n v="0"/>
    <n v="37592747"/>
    <n v="37592747"/>
    <n v="78.511099999999999"/>
    <n v="44.786700000000003"/>
    <n v="7073.53"/>
    <m/>
    <n v="5940"/>
    <n v="1105"/>
    <x v="0"/>
    <n v="0"/>
  </r>
  <r>
    <s v="istree_exp9_zipf/step10004.txt"/>
    <x v="0"/>
    <n v="72"/>
    <s v="reclaimer_debra"/>
    <s v="allocator_new"/>
    <s v="pool_none"/>
    <n v="30000"/>
    <n v="0"/>
    <n v="0"/>
    <n v="0"/>
    <n v="1"/>
    <n v="200000000"/>
    <n v="144"/>
    <x v="3"/>
    <n v="144"/>
    <n v="0"/>
    <s v="insertIfAbsent"/>
    <n v="1000325329848810"/>
    <n v="10000000"/>
    <n v="1000325329848810"/>
    <n v="10000000"/>
    <s v="success"/>
    <n v="6"/>
    <n v="1625784"/>
    <n v="11442328"/>
    <n v="13068112"/>
    <n v="10000000"/>
    <n v="8.0380400000000005"/>
    <n v="0.87394799999999995"/>
    <n v="4"/>
    <n v="313139952"/>
    <m/>
    <m/>
    <m/>
    <n v="15144"/>
    <m/>
    <m/>
    <m/>
    <m/>
    <m/>
    <m/>
    <n v="1519590017"/>
    <n v="0"/>
    <n v="0"/>
    <n v="1519590017"/>
    <n v="1519590017"/>
    <n v="50653000"/>
    <n v="0"/>
    <n v="0"/>
    <n v="50653000"/>
    <n v="50653000"/>
    <n v="79.638099999999994"/>
    <n v="45.923200000000001"/>
    <n v="7835.78"/>
    <m/>
    <n v="5958"/>
    <n v="1082"/>
    <x v="0"/>
    <n v="0"/>
  </r>
  <r>
    <s v="istree_exp9_zipf/step10005.txt"/>
    <x v="0"/>
    <n v="72"/>
    <s v="reclaimer_debra"/>
    <s v="allocator_new"/>
    <s v="pool_none"/>
    <n v="30000"/>
    <n v="0"/>
    <n v="0"/>
    <n v="0"/>
    <n v="1"/>
    <n v="200000000"/>
    <n v="190"/>
    <x v="4"/>
    <n v="190"/>
    <n v="0"/>
    <s v="insertIfAbsent"/>
    <n v="1000089117770840"/>
    <n v="10000000"/>
    <n v="1000089117770840"/>
    <n v="10000000"/>
    <s v="success"/>
    <n v="6"/>
    <n v="1625784"/>
    <n v="11442328"/>
    <n v="13068112"/>
    <n v="10000000"/>
    <n v="8.0380400000000005"/>
    <n v="0.87394799999999995"/>
    <n v="4"/>
    <n v="313139952"/>
    <m/>
    <m/>
    <m/>
    <n v="11644"/>
    <m/>
    <m/>
    <m/>
    <m/>
    <m/>
    <m/>
    <n v="1840087698"/>
    <n v="0"/>
    <n v="0"/>
    <n v="1840087698"/>
    <n v="1840087698"/>
    <n v="61336256"/>
    <n v="0"/>
    <n v="0"/>
    <n v="61336256"/>
    <n v="61336256"/>
    <n v="80.255899999999997"/>
    <n v="46.539900000000003"/>
    <n v="8545.14"/>
    <m/>
    <n v="5976"/>
    <n v="1223"/>
    <x v="0"/>
    <n v="0"/>
  </r>
  <r>
    <s v="istree_exp9_zipf/step10006.txt"/>
    <x v="1"/>
    <n v="208"/>
    <s v="reclaimer_debra"/>
    <s v="allocator_new"/>
    <s v="pool_none"/>
    <n v="30000"/>
    <n v="0"/>
    <n v="0"/>
    <n v="0"/>
    <n v="1"/>
    <n v="200000000"/>
    <n v="24"/>
    <x v="0"/>
    <n v="24"/>
    <n v="0"/>
    <s v="insertIfAbsent"/>
    <n v="1000321183241480"/>
    <n v="10000000"/>
    <n v="1000321183241480"/>
    <n v="10000000"/>
    <s v="success"/>
    <n v="9"/>
    <n v="185114"/>
    <n v="1275903"/>
    <n v="1461017"/>
    <n v="10000000"/>
    <n v="7.8925299999999998"/>
    <n v="7.8375899999999996"/>
    <n v="8"/>
    <n v="303891536"/>
    <m/>
    <m/>
    <m/>
    <s v="3736 121076"/>
    <m/>
    <m/>
    <m/>
    <m/>
    <m/>
    <m/>
    <n v="317209308"/>
    <n v="0"/>
    <n v="0"/>
    <n v="317209308"/>
    <n v="317209308"/>
    <n v="10573643"/>
    <n v="0"/>
    <n v="0"/>
    <n v="10573643"/>
    <n v="10573643"/>
    <n v="89.2697"/>
    <n v="45.391100000000002"/>
    <n v="6329.61"/>
    <m/>
    <n v="2996"/>
    <n v="1624"/>
    <x v="0"/>
    <n v="0"/>
  </r>
  <r>
    <s v="istree_exp9_zipf/step10007.txt"/>
    <x v="1"/>
    <n v="208"/>
    <s v="reclaimer_debra"/>
    <s v="allocator_new"/>
    <s v="pool_none"/>
    <n v="30000"/>
    <n v="0"/>
    <n v="0"/>
    <n v="0"/>
    <n v="1"/>
    <n v="200000000"/>
    <n v="48"/>
    <x v="1"/>
    <n v="48"/>
    <n v="0"/>
    <s v="insertIfAbsent"/>
    <n v="1000140719940840"/>
    <n v="10000000"/>
    <n v="1000140719940840"/>
    <n v="10000000"/>
    <s v="success"/>
    <n v="9"/>
    <n v="185370"/>
    <n v="1276129"/>
    <n v="1461499"/>
    <n v="10000000"/>
    <n v="7.8842299999999996"/>
    <n v="7.8361999999999998"/>
    <n v="8"/>
    <n v="303991792"/>
    <m/>
    <m/>
    <m/>
    <s v="980 51874"/>
    <m/>
    <m/>
    <m/>
    <m/>
    <m/>
    <m/>
    <n v="560033591"/>
    <n v="0"/>
    <n v="0"/>
    <n v="560033591"/>
    <n v="560033591"/>
    <n v="18667786"/>
    <n v="0"/>
    <n v="0"/>
    <n v="18667786"/>
    <n v="18667786"/>
    <n v="80.114000000000004"/>
    <n v="38.663200000000003"/>
    <n v="7145.99"/>
    <m/>
    <n v="3040"/>
    <n v="1278"/>
    <x v="0"/>
    <n v="0"/>
  </r>
  <r>
    <s v="istree_exp9_zipf/step10008.txt"/>
    <x v="1"/>
    <n v="208"/>
    <s v="reclaimer_debra"/>
    <s v="allocator_new"/>
    <s v="pool_none"/>
    <n v="30000"/>
    <n v="0"/>
    <n v="0"/>
    <n v="0"/>
    <n v="1"/>
    <n v="200000000"/>
    <n v="96"/>
    <x v="2"/>
    <n v="96"/>
    <n v="0"/>
    <s v="insertIfAbsent"/>
    <n v="1000104241175390"/>
    <n v="10000000"/>
    <n v="1000104241175390"/>
    <n v="10000000"/>
    <s v="success"/>
    <n v="9"/>
    <n v="185381"/>
    <n v="1276256"/>
    <n v="1461637"/>
    <n v="10000000"/>
    <n v="7.8845000000000001"/>
    <n v="7.8354200000000001"/>
    <n v="8"/>
    <n v="304020496"/>
    <m/>
    <m/>
    <m/>
    <s v="346 24678"/>
    <m/>
    <m/>
    <m/>
    <m/>
    <m/>
    <m/>
    <n v="1079931734"/>
    <n v="0"/>
    <n v="0"/>
    <n v="1079931734"/>
    <n v="1079931734"/>
    <n v="35997724"/>
    <n v="0"/>
    <n v="0"/>
    <n v="35997724"/>
    <n v="35997724"/>
    <n v="83.699100000000001"/>
    <n v="46.2851"/>
    <n v="7388.14"/>
    <m/>
    <n v="3112"/>
    <n v="1140"/>
    <x v="0"/>
    <n v="0"/>
  </r>
  <r>
    <s v="istree_exp9_zipf/step10009.txt"/>
    <x v="1"/>
    <n v="208"/>
    <s v="reclaimer_debra"/>
    <s v="allocator_new"/>
    <s v="pool_none"/>
    <n v="30000"/>
    <n v="0"/>
    <n v="0"/>
    <n v="0"/>
    <n v="1"/>
    <n v="200000000"/>
    <n v="144"/>
    <x v="3"/>
    <n v="144"/>
    <n v="0"/>
    <s v="insertIfAbsent"/>
    <n v="999833487103664"/>
    <n v="10000000"/>
    <n v="999833487103664"/>
    <n v="10000000"/>
    <s v="success"/>
    <n v="9"/>
    <n v="185355"/>
    <n v="1275805"/>
    <n v="1461160"/>
    <n v="10000000"/>
    <n v="7.8830400000000003"/>
    <n v="7.83819"/>
    <n v="8"/>
    <n v="303921280"/>
    <m/>
    <m/>
    <m/>
    <s v="308 15504"/>
    <m/>
    <m/>
    <m/>
    <m/>
    <m/>
    <m/>
    <n v="1531186602"/>
    <n v="0"/>
    <n v="0"/>
    <n v="1531186602"/>
    <n v="1531186602"/>
    <n v="51039553"/>
    <n v="0"/>
    <n v="0"/>
    <n v="51039553"/>
    <n v="51039553"/>
    <n v="84.494100000000003"/>
    <n v="47.510100000000001"/>
    <n v="7690.99"/>
    <m/>
    <n v="3157"/>
    <n v="927"/>
    <x v="0"/>
    <n v="0"/>
  </r>
  <r>
    <s v="istree_exp9_zipf/step10010.txt"/>
    <x v="1"/>
    <n v="208"/>
    <s v="reclaimer_debra"/>
    <s v="allocator_new"/>
    <s v="pool_none"/>
    <n v="30000"/>
    <n v="0"/>
    <n v="0"/>
    <n v="0"/>
    <n v="1"/>
    <n v="200000000"/>
    <n v="190"/>
    <x v="4"/>
    <n v="190"/>
    <n v="0"/>
    <s v="insertIfAbsent"/>
    <n v="1000144451819380"/>
    <n v="10000000"/>
    <n v="1000144451819380"/>
    <n v="10000000"/>
    <s v="success"/>
    <n v="9"/>
    <n v="185516"/>
    <n v="1275939"/>
    <n v="1461455"/>
    <n v="10000000"/>
    <n v="7.8777799999999996"/>
    <n v="7.8373699999999999"/>
    <n v="8"/>
    <n v="303982640"/>
    <m/>
    <m/>
    <m/>
    <s v="262 11696"/>
    <m/>
    <m/>
    <m/>
    <m/>
    <m/>
    <m/>
    <n v="1838101982"/>
    <n v="0"/>
    <n v="0"/>
    <n v="1838101982"/>
    <n v="1838101982"/>
    <n v="61270066"/>
    <n v="0"/>
    <n v="0"/>
    <n v="61270066"/>
    <n v="61270066"/>
    <n v="85.712400000000002"/>
    <n v="48.303600000000003"/>
    <n v="8514.24"/>
    <m/>
    <n v="3198"/>
    <n v="1004"/>
    <x v="0"/>
    <n v="0"/>
  </r>
  <r>
    <s v="istree_exp9_zipf/step10011.txt"/>
    <x v="2"/>
    <m/>
    <s v="reclaimer_debra"/>
    <s v="allocator_new"/>
    <s v="pool_none"/>
    <n v="30000"/>
    <n v="0"/>
    <n v="0"/>
    <n v="0"/>
    <n v="1"/>
    <n v="200000000"/>
    <n v="24"/>
    <x v="0"/>
    <n v="24"/>
    <n v="0"/>
    <s v="insertIfAbsent"/>
    <n v="999958227009502"/>
    <n v="10000000"/>
    <n v="999958227009502"/>
    <n v="10000000"/>
    <s v="success"/>
    <n v="29"/>
    <n v="5714001"/>
    <n v="4286000"/>
    <n v="10000001"/>
    <n v="10000000"/>
    <n v="1.7500899999999999"/>
    <n v="2.33318"/>
    <n v="22.748999999999999"/>
    <n v="560000056"/>
    <m/>
    <m/>
    <m/>
    <s v="3646 78104"/>
    <m/>
    <m/>
    <m/>
    <m/>
    <m/>
    <m/>
    <n v="201222142"/>
    <n v="0"/>
    <n v="0"/>
    <n v="201222142"/>
    <n v="201222142"/>
    <n v="6707404"/>
    <n v="0"/>
    <n v="0"/>
    <n v="6707404"/>
    <n v="6707404"/>
    <n v="104.06"/>
    <n v="52.911299999999997"/>
    <n v="9980.7800000000007"/>
    <m/>
    <n v="3279"/>
    <n v="2044"/>
    <x v="0"/>
    <n v="0"/>
  </r>
  <r>
    <s v="istree_exp9_zipf/step10012.txt"/>
    <x v="2"/>
    <m/>
    <s v="reclaimer_debra"/>
    <s v="allocator_new"/>
    <s v="pool_none"/>
    <n v="30000"/>
    <n v="0"/>
    <n v="0"/>
    <n v="0"/>
    <n v="1"/>
    <n v="200000000"/>
    <n v="48"/>
    <x v="1"/>
    <n v="48"/>
    <n v="0"/>
    <s v="insertIfAbsent"/>
    <n v="1000198930205970"/>
    <n v="10000000"/>
    <n v="1000198930205970"/>
    <n v="10000000"/>
    <s v="success"/>
    <n v="29"/>
    <n v="5714713"/>
    <n v="4285288"/>
    <n v="10000001"/>
    <n v="10000000"/>
    <n v="1.74987"/>
    <n v="2.3335699999999999"/>
    <n v="22.654800000000002"/>
    <n v="560000056"/>
    <m/>
    <m/>
    <m/>
    <s v="898 34488"/>
    <m/>
    <m/>
    <m/>
    <m/>
    <m/>
    <m/>
    <n v="369129910"/>
    <n v="0"/>
    <n v="0"/>
    <n v="369129910"/>
    <n v="369129910"/>
    <n v="12304330"/>
    <n v="0"/>
    <n v="0"/>
    <n v="12304330"/>
    <n v="12304330"/>
    <n v="97.195499999999996"/>
    <n v="47.139200000000002"/>
    <n v="10877.2"/>
    <m/>
    <n v="3285"/>
    <n v="1379"/>
    <x v="0"/>
    <n v="0"/>
  </r>
  <r>
    <s v="istree_exp9_zipf/step10013.txt"/>
    <x v="2"/>
    <m/>
    <s v="reclaimer_debra"/>
    <s v="allocator_new"/>
    <s v="pool_none"/>
    <n v="30000"/>
    <n v="0"/>
    <n v="0"/>
    <n v="0"/>
    <n v="1"/>
    <n v="200000000"/>
    <n v="96"/>
    <x v="2"/>
    <n v="96"/>
    <n v="0"/>
    <s v="insertIfAbsent"/>
    <n v="999930732256592"/>
    <n v="10000000"/>
    <n v="999930732256592"/>
    <n v="10000000"/>
    <s v="success"/>
    <n v="29"/>
    <n v="5714355"/>
    <n v="4285646"/>
    <n v="10000001"/>
    <n v="10000000"/>
    <n v="1.7499800000000001"/>
    <n v="2.3333699999999999"/>
    <n v="22.689599999999999"/>
    <n v="560000056"/>
    <m/>
    <m/>
    <m/>
    <s v="224 17730"/>
    <m/>
    <m/>
    <m/>
    <m/>
    <m/>
    <m/>
    <n v="776380648"/>
    <n v="0"/>
    <n v="0"/>
    <n v="776380648"/>
    <n v="776380648"/>
    <n v="25879354"/>
    <n v="0"/>
    <n v="0"/>
    <n v="25879354"/>
    <n v="25879354"/>
    <n v="100.188"/>
    <n v="54.593800000000002"/>
    <n v="10283.700000000001"/>
    <m/>
    <n v="3300"/>
    <n v="929"/>
    <x v="0"/>
    <n v="0"/>
  </r>
  <r>
    <s v="istree_exp9_zipf/step10014.txt"/>
    <x v="2"/>
    <m/>
    <s v="reclaimer_debra"/>
    <s v="allocator_new"/>
    <s v="pool_none"/>
    <n v="30000"/>
    <n v="0"/>
    <n v="0"/>
    <n v="0"/>
    <n v="1"/>
    <n v="200000000"/>
    <n v="144"/>
    <x v="3"/>
    <n v="144"/>
    <n v="0"/>
    <s v="insertIfAbsent"/>
    <n v="999772957575788"/>
    <n v="10000000"/>
    <n v="999772957575788"/>
    <n v="10000000"/>
    <s v="success"/>
    <n v="29"/>
    <n v="5714639"/>
    <n v="4285362"/>
    <n v="10000001"/>
    <n v="10000000"/>
    <n v="1.7498899999999999"/>
    <n v="2.3335300000000001"/>
    <n v="22.700900000000001"/>
    <n v="560000056"/>
    <m/>
    <m/>
    <m/>
    <s v="148 11176"/>
    <m/>
    <m/>
    <m/>
    <m/>
    <m/>
    <m/>
    <n v="1112023132"/>
    <n v="0"/>
    <n v="0"/>
    <n v="1112023132"/>
    <n v="1112023132"/>
    <n v="37067437"/>
    <n v="0"/>
    <n v="0"/>
    <n v="37067437"/>
    <n v="37067437"/>
    <n v="100.84699999999999"/>
    <n v="56.051499999999997"/>
    <n v="10756.3"/>
    <m/>
    <n v="3315"/>
    <n v="572"/>
    <x v="0"/>
    <n v="0"/>
  </r>
  <r>
    <s v="istree_exp9_zipf/step10015.txt"/>
    <x v="2"/>
    <m/>
    <s v="reclaimer_debra"/>
    <s v="allocator_new"/>
    <s v="pool_none"/>
    <n v="30000"/>
    <n v="0"/>
    <n v="0"/>
    <n v="0"/>
    <n v="1"/>
    <n v="200000000"/>
    <n v="190"/>
    <x v="4"/>
    <n v="190"/>
    <n v="0"/>
    <s v="insertIfAbsent"/>
    <n v="1000069449276480"/>
    <n v="10000000"/>
    <n v="1000069449276480"/>
    <n v="10000000"/>
    <s v="success"/>
    <n v="29"/>
    <n v="5714122"/>
    <n v="4285879"/>
    <n v="10000001"/>
    <n v="10000000"/>
    <n v="1.7500500000000001"/>
    <n v="2.33324"/>
    <n v="22.6767"/>
    <n v="560000056"/>
    <m/>
    <m/>
    <m/>
    <s v="124 8456"/>
    <m/>
    <m/>
    <m/>
    <m/>
    <m/>
    <m/>
    <n v="1392083431"/>
    <n v="0"/>
    <n v="0"/>
    <n v="1392083431"/>
    <n v="1392083431"/>
    <n v="46402781"/>
    <n v="0"/>
    <n v="0"/>
    <n v="46402781"/>
    <n v="46402781"/>
    <n v="101.34399999999999"/>
    <n v="56.709099999999999"/>
    <n v="11326.6"/>
    <m/>
    <n v="3328"/>
    <n v="568"/>
    <x v="0"/>
    <n v="0"/>
  </r>
  <r>
    <s v="istree_exp9_zipf/step10016.txt"/>
    <x v="3"/>
    <m/>
    <s v="reclaimer_debra"/>
    <s v="allocator_new"/>
    <s v="pool_none"/>
    <n v="30000"/>
    <n v="0"/>
    <n v="0"/>
    <n v="0"/>
    <n v="1"/>
    <n v="200000000"/>
    <n v="24"/>
    <x v="0"/>
    <n v="24"/>
    <n v="0"/>
    <s v="insertIfAbsent"/>
    <n v="999954557455281"/>
    <n v="10000000"/>
    <n v="999954557455281"/>
    <n v="10000000"/>
    <s v="success"/>
    <n v="59"/>
    <n v="9999999"/>
    <n v="10000000"/>
    <n v="19999999"/>
    <n v="10000000"/>
    <n v="2"/>
    <n v="1"/>
    <n v="30.891500000000001"/>
    <n v="639999968"/>
    <m/>
    <m/>
    <m/>
    <s v="3662 72162"/>
    <m/>
    <m/>
    <m/>
    <m/>
    <m/>
    <m/>
    <n v="184000701"/>
    <n v="0"/>
    <n v="0"/>
    <n v="184000701"/>
    <n v="184000701"/>
    <n v="6133356"/>
    <n v="0"/>
    <n v="0"/>
    <n v="6133356"/>
    <n v="6133356"/>
    <n v="98.491299999999995"/>
    <n v="50.249400000000001"/>
    <n v="10915.7"/>
    <m/>
    <n v="3279"/>
    <n v="2004"/>
    <x v="0"/>
    <n v="0"/>
  </r>
  <r>
    <s v="istree_exp9_zipf/step10017.txt"/>
    <x v="3"/>
    <m/>
    <s v="reclaimer_debra"/>
    <s v="allocator_new"/>
    <s v="pool_none"/>
    <n v="30000"/>
    <n v="0"/>
    <n v="0"/>
    <n v="0"/>
    <n v="1"/>
    <n v="200000000"/>
    <n v="48"/>
    <x v="1"/>
    <n v="48"/>
    <n v="0"/>
    <s v="insertIfAbsent"/>
    <n v="1000032895867270"/>
    <n v="10000000"/>
    <n v="1000032895867270"/>
    <n v="10000000"/>
    <s v="success"/>
    <n v="62"/>
    <n v="9999999"/>
    <n v="10000000"/>
    <n v="19999999"/>
    <n v="10000000"/>
    <n v="2"/>
    <n v="1"/>
    <n v="32.119700000000002"/>
    <n v="639999968"/>
    <m/>
    <m/>
    <m/>
    <s v="900 32314"/>
    <m/>
    <m/>
    <m/>
    <m/>
    <m/>
    <m/>
    <n v="343365235"/>
    <n v="0"/>
    <n v="0"/>
    <n v="343365235"/>
    <n v="343365235"/>
    <n v="11445507"/>
    <n v="0"/>
    <n v="0"/>
    <n v="11445507"/>
    <n v="11445507"/>
    <n v="89.690100000000001"/>
    <n v="43.284500000000001"/>
    <n v="11693.4"/>
    <m/>
    <n v="3285"/>
    <n v="1352"/>
    <x v="0"/>
    <n v="0"/>
  </r>
  <r>
    <s v="istree_exp9_zipf/step10018.txt"/>
    <x v="3"/>
    <m/>
    <s v="reclaimer_debra"/>
    <s v="allocator_new"/>
    <s v="pool_none"/>
    <n v="30000"/>
    <n v="0"/>
    <n v="0"/>
    <n v="0"/>
    <n v="1"/>
    <n v="200000000"/>
    <n v="96"/>
    <x v="2"/>
    <n v="96"/>
    <n v="0"/>
    <s v="insertIfAbsent"/>
    <n v="999939758380824"/>
    <n v="10000000"/>
    <n v="999939758380824"/>
    <n v="10000000"/>
    <s v="success"/>
    <n v="61"/>
    <n v="9999999"/>
    <n v="10000000"/>
    <n v="19999999"/>
    <n v="10000000"/>
    <n v="2"/>
    <n v="1"/>
    <n v="30.994399999999999"/>
    <n v="639999968"/>
    <m/>
    <m/>
    <m/>
    <s v="222 17048"/>
    <m/>
    <m/>
    <m/>
    <m/>
    <m/>
    <m/>
    <n v="743503935"/>
    <n v="0"/>
    <n v="0"/>
    <n v="743503935"/>
    <n v="743503935"/>
    <n v="24783464"/>
    <n v="0"/>
    <n v="0"/>
    <n v="24783464"/>
    <n v="24783464"/>
    <n v="92.7453"/>
    <n v="49.902000000000001"/>
    <n v="10777.1"/>
    <m/>
    <n v="3299"/>
    <n v="889"/>
    <x v="0"/>
    <n v="0"/>
  </r>
  <r>
    <s v="istree_exp9_zipf/step10019.txt"/>
    <x v="3"/>
    <m/>
    <s v="reclaimer_debra"/>
    <s v="allocator_new"/>
    <s v="pool_none"/>
    <n v="30000"/>
    <n v="0"/>
    <n v="0"/>
    <n v="0"/>
    <n v="1"/>
    <n v="200000000"/>
    <n v="144"/>
    <x v="3"/>
    <n v="144"/>
    <n v="0"/>
    <s v="insertIfAbsent"/>
    <n v="1000115445403880"/>
    <n v="10000000"/>
    <n v="1000115445403880"/>
    <n v="10000000"/>
    <s v="success"/>
    <n v="59"/>
    <n v="9999999"/>
    <n v="10000000"/>
    <n v="19999999"/>
    <n v="10000000"/>
    <n v="2"/>
    <n v="1"/>
    <n v="31.4176"/>
    <n v="639999968"/>
    <m/>
    <m/>
    <m/>
    <s v="160 11008"/>
    <m/>
    <m/>
    <m/>
    <m/>
    <m/>
    <m/>
    <n v="1097050075"/>
    <n v="0"/>
    <n v="0"/>
    <n v="1097050075"/>
    <n v="1097050075"/>
    <n v="36568335"/>
    <n v="0"/>
    <n v="0"/>
    <n v="36568335"/>
    <n v="36568335"/>
    <n v="93.188800000000001"/>
    <n v="51.221299999999999"/>
    <n v="10945.7"/>
    <m/>
    <n v="3314"/>
    <n v="532"/>
    <x v="0"/>
    <n v="0"/>
  </r>
  <r>
    <s v="istree_exp9_zipf/step10020.txt"/>
    <x v="3"/>
    <m/>
    <s v="reclaimer_debra"/>
    <s v="allocator_new"/>
    <s v="pool_none"/>
    <n v="30000"/>
    <n v="0"/>
    <n v="0"/>
    <n v="0"/>
    <n v="1"/>
    <n v="200000000"/>
    <n v="190"/>
    <x v="4"/>
    <n v="190"/>
    <n v="0"/>
    <s v="insertIfAbsent"/>
    <n v="1000425319626970"/>
    <n v="10000000"/>
    <n v="1000425319626970"/>
    <n v="10000000"/>
    <s v="success"/>
    <n v="62"/>
    <n v="9999999"/>
    <n v="10000000"/>
    <n v="19999999"/>
    <n v="10000000"/>
    <n v="2"/>
    <n v="1"/>
    <n v="30.708400000000001"/>
    <n v="639999968"/>
    <m/>
    <m/>
    <m/>
    <s v="126 8474"/>
    <m/>
    <m/>
    <m/>
    <m/>
    <m/>
    <m/>
    <n v="1415671288"/>
    <n v="0"/>
    <n v="0"/>
    <n v="1415671288"/>
    <n v="1415671288"/>
    <n v="47189042"/>
    <n v="0"/>
    <n v="0"/>
    <n v="47189042"/>
    <n v="47189042"/>
    <n v="93.438699999999997"/>
    <n v="51.734299999999998"/>
    <n v="11180.4"/>
    <m/>
    <n v="3326"/>
    <n v="530"/>
    <x v="0"/>
    <n v="0"/>
  </r>
  <r>
    <s v="istree_exp9_zipf/step10021.txt"/>
    <x v="0"/>
    <n v="72"/>
    <s v="reclaimer_debra"/>
    <s v="allocator_new"/>
    <s v="pool_none"/>
    <n v="30000"/>
    <n v="0.5"/>
    <n v="0.5"/>
    <n v="0"/>
    <n v="1"/>
    <n v="200000000"/>
    <n v="24"/>
    <x v="0"/>
    <n v="24"/>
    <n v="0"/>
    <s v="insertIfAbsent"/>
    <n v="1149909533432260"/>
    <n v="11500085"/>
    <n v="1149909533432260"/>
    <n v="11500085"/>
    <s v="success"/>
    <n v="7"/>
    <n v="2222849"/>
    <n v="13574341"/>
    <n v="15797190"/>
    <n v="11500085"/>
    <n v="7.1067299999999998"/>
    <n v="0.84719299999999997"/>
    <n v="4.1010499999999999"/>
    <n v="395027680"/>
    <s v="0 0 19327 470983 8926"/>
    <s v="0 0 19327 470983 8926"/>
    <m/>
    <n v="123606"/>
    <m/>
    <m/>
    <m/>
    <m/>
    <m/>
    <m/>
    <n v="332489935"/>
    <n v="0"/>
    <n v="3360398"/>
    <n v="332489935"/>
    <n v="335850333"/>
    <n v="11082997"/>
    <n v="0"/>
    <n v="112013"/>
    <n v="11082997"/>
    <n v="11195011"/>
    <n v="87.021900000000002"/>
    <n v="46.273699999999998"/>
    <n v="5975.34"/>
    <m/>
    <n v="6083"/>
    <n v="1406"/>
    <x v="1"/>
    <n v="0"/>
  </r>
  <r>
    <s v="istree_exp9_zipf/step10022.txt"/>
    <x v="0"/>
    <n v="72"/>
    <s v="reclaimer_debra"/>
    <s v="allocator_new"/>
    <s v="pool_none"/>
    <n v="30000"/>
    <n v="0.5"/>
    <n v="0.5"/>
    <n v="0"/>
    <n v="1"/>
    <n v="200000000"/>
    <n v="48"/>
    <x v="1"/>
    <n v="48"/>
    <n v="0"/>
    <s v="insertIfAbsent"/>
    <n v="1264454377365840"/>
    <n v="12645557"/>
    <n v="1264454377365840"/>
    <n v="12645557"/>
    <s v="success"/>
    <n v="7"/>
    <n v="2227672"/>
    <n v="14682844"/>
    <n v="16910516"/>
    <n v="12645557"/>
    <n v="7.5911200000000001"/>
    <n v="0.86124699999999998"/>
    <n v="4.0531199999999998"/>
    <n v="413139552"/>
    <s v="1 3093 68274 728591 15371"/>
    <s v="1 3093 68272 728591 15371"/>
    <n v="400"/>
    <n v="53674"/>
    <m/>
    <m/>
    <m/>
    <m/>
    <m/>
    <m/>
    <n v="590725206"/>
    <n v="0"/>
    <n v="5966224"/>
    <n v="590725206"/>
    <n v="596691430"/>
    <n v="19690840"/>
    <n v="0"/>
    <n v="198874"/>
    <n v="19690840"/>
    <n v="19889714"/>
    <n v="74.917500000000004"/>
    <n v="37.689599999999999"/>
    <n v="6709.52"/>
    <m/>
    <n v="6710"/>
    <n v="1135"/>
    <x v="1"/>
    <s v="400"/>
  </r>
  <r>
    <s v="istree_exp9_zipf/step10023.txt"/>
    <x v="0"/>
    <n v="72"/>
    <s v="reclaimer_debra"/>
    <s v="allocator_new"/>
    <s v="pool_none"/>
    <n v="30000"/>
    <n v="0.5"/>
    <n v="0.5"/>
    <n v="0"/>
    <n v="1"/>
    <n v="200000000"/>
    <n v="96"/>
    <x v="2"/>
    <n v="96"/>
    <n v="0"/>
    <s v="insertIfAbsent"/>
    <n v="1470385659017150"/>
    <n v="14705141"/>
    <n v="1470385659017150"/>
    <n v="14705141"/>
    <s v="success"/>
    <n v="7"/>
    <n v="2299474"/>
    <n v="16794758"/>
    <n v="19094232"/>
    <n v="14705141"/>
    <n v="8.3037399999999995"/>
    <n v="0.875579"/>
    <n v="4.03355"/>
    <n v="452674704"/>
    <s v="1 6537 102489 1424907 31854"/>
    <s v="1 6537 102488 1424907 31854"/>
    <n v="1352"/>
    <n v="23996"/>
    <m/>
    <m/>
    <m/>
    <m/>
    <m/>
    <m/>
    <n v="1062978838"/>
    <n v="0"/>
    <n v="10736425"/>
    <n v="1062978838"/>
    <n v="1073715263"/>
    <n v="35432627"/>
    <n v="0"/>
    <n v="357880"/>
    <n v="35432627"/>
    <n v="35790508"/>
    <n v="79.867099999999994"/>
    <n v="45.1511"/>
    <n v="7417.63"/>
    <m/>
    <n v="6789"/>
    <n v="1234"/>
    <x v="1"/>
    <s v="1352"/>
  </r>
  <r>
    <s v="istree_exp9_zipf/step10024.txt"/>
    <x v="0"/>
    <n v="72"/>
    <s v="reclaimer_debra"/>
    <s v="allocator_new"/>
    <s v="pool_none"/>
    <n v="30000"/>
    <n v="0.5"/>
    <n v="0.5"/>
    <n v="0"/>
    <n v="1"/>
    <n v="200000000"/>
    <n v="144"/>
    <x v="3"/>
    <n v="144"/>
    <n v="0"/>
    <s v="insertIfAbsent"/>
    <n v="1640882147806460"/>
    <n v="16407528"/>
    <n v="1640882147806460"/>
    <n v="16407528"/>
    <s v="success"/>
    <n v="7"/>
    <n v="2955330"/>
    <n v="19184058"/>
    <n v="22139388"/>
    <n v="16407528"/>
    <n v="7.4913400000000001"/>
    <n v="0.85526899999999995"/>
    <n v="4.0933599999999997"/>
    <n v="543385104"/>
    <s v="3 6659 76860 1929410 35342"/>
    <s v="2 6659 76859 1929407 35342"/>
    <n v="3204"/>
    <n v="14726"/>
    <m/>
    <m/>
    <m/>
    <m/>
    <m/>
    <m/>
    <n v="1462508456"/>
    <n v="0"/>
    <n v="14777726"/>
    <n v="1462508456"/>
    <n v="1477286182"/>
    <n v="48750281"/>
    <n v="0"/>
    <n v="492590"/>
    <n v="48750281"/>
    <n v="49242872"/>
    <n v="80.666899999999998"/>
    <n v="46.317100000000003"/>
    <n v="8034.35"/>
    <m/>
    <n v="7218"/>
    <n v="1155"/>
    <x v="1"/>
    <s v="3204"/>
  </r>
  <r>
    <s v="istree_exp9_zipf/step10025.txt"/>
    <x v="0"/>
    <n v="72"/>
    <s v="reclaimer_debra"/>
    <s v="allocator_new"/>
    <s v="pool_none"/>
    <n v="30000"/>
    <n v="0.5"/>
    <n v="0.5"/>
    <n v="0"/>
    <n v="1"/>
    <n v="200000000"/>
    <n v="190"/>
    <x v="4"/>
    <n v="190"/>
    <n v="0"/>
    <s v="insertIfAbsent"/>
    <n v="1769326898035750"/>
    <n v="17694529"/>
    <n v="1769326898035750"/>
    <n v="17694529"/>
    <s v="success"/>
    <n v="7"/>
    <n v="2946780"/>
    <n v="20410752"/>
    <n v="23357532"/>
    <n v="17694529"/>
    <n v="7.9264599999999996"/>
    <n v="0.86692199999999997"/>
    <n v="4.0388200000000003"/>
    <n v="562315136"/>
    <s v="2 10480 85724 2342404 45198"/>
    <s v="2 10480 85724 2342401 45198"/>
    <n v="3270"/>
    <n v="11128"/>
    <m/>
    <m/>
    <m/>
    <m/>
    <m/>
    <m/>
    <n v="1768774585"/>
    <n v="0"/>
    <n v="17873566"/>
    <n v="1768774585"/>
    <n v="1786648151"/>
    <n v="58959152"/>
    <n v="0"/>
    <n v="595785"/>
    <n v="58959152"/>
    <n v="59554938"/>
    <n v="81.390699999999995"/>
    <n v="47.102200000000003"/>
    <n v="8767.51"/>
    <m/>
    <n v="7225"/>
    <n v="1230"/>
    <x v="1"/>
    <s v="3270"/>
  </r>
  <r>
    <s v="istree_exp9_zipf/step10026.txt"/>
    <x v="1"/>
    <n v="208"/>
    <s v="reclaimer_debra"/>
    <s v="allocator_new"/>
    <s v="pool_none"/>
    <n v="30000"/>
    <n v="0.5"/>
    <n v="0.5"/>
    <n v="0"/>
    <n v="1"/>
    <n v="200000000"/>
    <n v="24"/>
    <x v="0"/>
    <n v="24"/>
    <n v="0"/>
    <s v="insertIfAbsent"/>
    <n v="1140324761987050"/>
    <n v="11403701"/>
    <n v="1140324761987050"/>
    <n v="11403701"/>
    <s v="success"/>
    <n v="9"/>
    <n v="212568"/>
    <n v="1461223"/>
    <n v="1673791"/>
    <n v="11403701"/>
    <n v="7.8741399999999997"/>
    <n v="7.8042199999999999"/>
    <n v="8"/>
    <n v="348148528"/>
    <m/>
    <m/>
    <m/>
    <s v="3722 120290"/>
    <m/>
    <m/>
    <m/>
    <m/>
    <m/>
    <m/>
    <n v="311824859"/>
    <n v="0"/>
    <n v="3147351"/>
    <n v="311824859"/>
    <n v="314972210"/>
    <n v="10394161"/>
    <n v="0"/>
    <n v="104911"/>
    <n v="10394161"/>
    <n v="10499073"/>
    <n v="89.613100000000003"/>
    <n v="45.459000000000003"/>
    <n v="6373.9"/>
    <m/>
    <n v="3041"/>
    <n v="1622"/>
    <x v="1"/>
    <n v="0"/>
  </r>
  <r>
    <s v="istree_exp9_zipf/step10027.txt"/>
    <x v="1"/>
    <n v="208"/>
    <s v="reclaimer_debra"/>
    <s v="allocator_new"/>
    <s v="pool_none"/>
    <n v="30000"/>
    <n v="0.5"/>
    <n v="0.5"/>
    <n v="0"/>
    <n v="1"/>
    <n v="200000000"/>
    <n v="48"/>
    <x v="1"/>
    <n v="48"/>
    <n v="0"/>
    <s v="insertIfAbsent"/>
    <n v="1245617020831950"/>
    <n v="12459368"/>
    <n v="1245617020831950"/>
    <n v="12459368"/>
    <s v="success"/>
    <n v="9"/>
    <n v="232439"/>
    <n v="1598579"/>
    <n v="1831018"/>
    <n v="12459368"/>
    <n v="7.8774100000000002"/>
    <n v="7.7940300000000002"/>
    <n v="8"/>
    <n v="380851744"/>
    <m/>
    <m/>
    <m/>
    <s v="976 51412"/>
    <m/>
    <m/>
    <m/>
    <m/>
    <m/>
    <m/>
    <n v="548927417"/>
    <n v="0"/>
    <n v="5544342"/>
    <n v="548927417"/>
    <n v="554471759"/>
    <n v="18297580"/>
    <n v="0"/>
    <n v="184811"/>
    <n v="18297580"/>
    <n v="18482391"/>
    <n v="80.723299999999995"/>
    <n v="39.049199999999999"/>
    <n v="7211.67"/>
    <m/>
    <n v="3120"/>
    <n v="1261"/>
    <x v="1"/>
    <n v="0"/>
  </r>
  <r>
    <s v="istree_exp9_zipf/step10028.txt"/>
    <x v="1"/>
    <n v="208"/>
    <s v="reclaimer_debra"/>
    <s v="allocator_new"/>
    <s v="pool_none"/>
    <n v="30000"/>
    <n v="0.5"/>
    <n v="0.5"/>
    <n v="0"/>
    <n v="1"/>
    <n v="200000000"/>
    <n v="96"/>
    <x v="2"/>
    <n v="96"/>
    <n v="0"/>
    <s v="insertIfAbsent"/>
    <n v="1462620650930510"/>
    <n v="14626850"/>
    <n v="1462620650930510"/>
    <n v="14626850"/>
    <s v="success"/>
    <n v="9"/>
    <n v="273062"/>
    <n v="1879634"/>
    <n v="2152696"/>
    <n v="14626850"/>
    <n v="7.88354"/>
    <n v="7.7817499999999997"/>
    <n v="8"/>
    <n v="447760768"/>
    <m/>
    <m/>
    <m/>
    <s v="336 24158"/>
    <m/>
    <m/>
    <m/>
    <m/>
    <m/>
    <m/>
    <n v="1045064335"/>
    <n v="0"/>
    <n v="10550679"/>
    <n v="1045064335"/>
    <n v="1055615014"/>
    <n v="34835477"/>
    <n v="0"/>
    <n v="351689"/>
    <n v="34835477"/>
    <n v="35187167"/>
    <n v="84.564099999999996"/>
    <n v="46.610900000000001"/>
    <n v="7556.11"/>
    <m/>
    <n v="3261"/>
    <n v="1149"/>
    <x v="1"/>
    <n v="0"/>
  </r>
  <r>
    <s v="istree_exp9_zipf/step10029.txt"/>
    <x v="1"/>
    <n v="208"/>
    <s v="reclaimer_debra"/>
    <s v="allocator_new"/>
    <s v="pool_none"/>
    <n v="30000"/>
    <n v="0.5"/>
    <n v="0.5"/>
    <n v="0"/>
    <n v="1"/>
    <n v="200000000"/>
    <n v="144"/>
    <x v="3"/>
    <n v="144"/>
    <n v="0"/>
    <s v="insertIfAbsent"/>
    <n v="1649397317555460"/>
    <n v="16490809"/>
    <n v="1649397317555460"/>
    <n v="16490809"/>
    <s v="success"/>
    <n v="9"/>
    <n v="308382"/>
    <n v="2122351"/>
    <n v="2430733"/>
    <n v="16490809"/>
    <n v="7.8822099999999997"/>
    <n v="7.7700699999999996"/>
    <n v="8"/>
    <n v="505592464"/>
    <m/>
    <m/>
    <m/>
    <s v="294 15156"/>
    <m/>
    <m/>
    <m/>
    <m/>
    <m/>
    <m/>
    <n v="1482178064"/>
    <n v="0"/>
    <n v="14976007"/>
    <n v="1482178064"/>
    <n v="1497154071"/>
    <n v="49405935"/>
    <n v="0"/>
    <n v="499200"/>
    <n v="49405935"/>
    <n v="49905135"/>
    <n v="85.651499999999999"/>
    <n v="47.946899999999999"/>
    <n v="7895.88"/>
    <m/>
    <n v="3340"/>
    <n v="898"/>
    <x v="1"/>
    <n v="0"/>
  </r>
  <r>
    <s v="istree_exp9_zipf/step10030.txt"/>
    <x v="1"/>
    <n v="208"/>
    <s v="reclaimer_debra"/>
    <s v="allocator_new"/>
    <s v="pool_none"/>
    <n v="30000"/>
    <n v="0.5"/>
    <n v="0.5"/>
    <n v="0"/>
    <n v="1"/>
    <n v="200000000"/>
    <n v="190"/>
    <x v="4"/>
    <n v="190"/>
    <n v="0"/>
    <s v="insertIfAbsent"/>
    <n v="1775699507992670"/>
    <n v="17756332"/>
    <n v="1775699507992670"/>
    <n v="17756332"/>
    <s v="success"/>
    <n v="10"/>
    <n v="332391"/>
    <n v="2287124"/>
    <n v="2619515"/>
    <n v="17756332"/>
    <n v="7.8808199999999999"/>
    <n v="7.7636099999999999"/>
    <n v="9"/>
    <n v="544859120"/>
    <m/>
    <m/>
    <m/>
    <s v="250 11438"/>
    <m/>
    <m/>
    <m/>
    <m/>
    <m/>
    <m/>
    <n v="1784113958"/>
    <n v="0"/>
    <n v="18023128"/>
    <n v="1784113958"/>
    <n v="1802137086"/>
    <n v="59470465"/>
    <n v="0"/>
    <n v="600770"/>
    <n v="59470465"/>
    <n v="60071236"/>
    <n v="86.951599999999999"/>
    <n v="49.000599999999999"/>
    <n v="8698.51"/>
    <m/>
    <n v="3462"/>
    <n v="969"/>
    <x v="1"/>
    <n v="0"/>
  </r>
  <r>
    <s v="istree_exp9_zipf/step10031.txt"/>
    <x v="2"/>
    <m/>
    <s v="reclaimer_debra"/>
    <s v="allocator_new"/>
    <s v="pool_none"/>
    <n v="30000"/>
    <n v="0.5"/>
    <n v="0.5"/>
    <n v="0"/>
    <n v="1"/>
    <n v="200000000"/>
    <n v="24"/>
    <x v="0"/>
    <n v="24"/>
    <n v="0"/>
    <s v="insertIfAbsent"/>
    <n v="1089131978057180"/>
    <n v="10893677"/>
    <n v="1089131978057180"/>
    <n v="10893677"/>
    <s v="success"/>
    <n v="29"/>
    <n v="6237205"/>
    <n v="4678732"/>
    <n v="10915937"/>
    <n v="10893677"/>
    <n v="1.75013"/>
    <n v="2.3283399999999999"/>
    <n v="22.8673"/>
    <n v="611292472"/>
    <m/>
    <m/>
    <m/>
    <s v="3650 77456"/>
    <m/>
    <m/>
    <m/>
    <m/>
    <m/>
    <m/>
    <n v="197434510"/>
    <n v="0"/>
    <n v="1994555"/>
    <n v="197434510"/>
    <n v="199429065"/>
    <n v="6581150"/>
    <n v="0"/>
    <n v="66485"/>
    <n v="6581150"/>
    <n v="6647635"/>
    <n v="104.852"/>
    <n v="53.415300000000002"/>
    <n v="10068.9"/>
    <m/>
    <n v="3340"/>
    <n v="2052"/>
    <x v="1"/>
    <n v="0"/>
  </r>
  <r>
    <s v="istree_exp9_zipf/step10032.txt"/>
    <x v="2"/>
    <m/>
    <s v="reclaimer_debra"/>
    <s v="allocator_new"/>
    <s v="pool_none"/>
    <n v="30000"/>
    <n v="0.5"/>
    <n v="0.5"/>
    <n v="0"/>
    <n v="1"/>
    <n v="200000000"/>
    <n v="48"/>
    <x v="1"/>
    <n v="48"/>
    <n v="0"/>
    <s v="insertIfAbsent"/>
    <n v="1163024732420640"/>
    <n v="11629479"/>
    <n v="1163024732420640"/>
    <n v="11629479"/>
    <s v="success"/>
    <n v="29"/>
    <n v="6667895"/>
    <n v="5003301"/>
    <n v="11671196"/>
    <n v="11629479"/>
    <n v="1.7503599999999999"/>
    <n v="2.32436"/>
    <n v="22.952500000000001"/>
    <n v="653586976"/>
    <m/>
    <m/>
    <m/>
    <s v="898 34138"/>
    <m/>
    <m/>
    <m/>
    <m/>
    <m/>
    <m/>
    <n v="361660899"/>
    <n v="0"/>
    <n v="3653078"/>
    <n v="361660899"/>
    <n v="365313977"/>
    <n v="12055363"/>
    <n v="0"/>
    <n v="121769"/>
    <n v="12055363"/>
    <n v="12177132"/>
    <n v="98.0595"/>
    <n v="47.591500000000003"/>
    <n v="10989.3"/>
    <m/>
    <n v="3393"/>
    <n v="1366"/>
    <x v="1"/>
    <n v="0"/>
  </r>
  <r>
    <s v="istree_exp9_zipf/step10033.txt"/>
    <x v="2"/>
    <m/>
    <s v="reclaimer_debra"/>
    <s v="allocator_new"/>
    <s v="pool_none"/>
    <n v="30000"/>
    <n v="0.5"/>
    <n v="0.5"/>
    <n v="0"/>
    <n v="1"/>
    <n v="200000000"/>
    <n v="96"/>
    <x v="2"/>
    <n v="96"/>
    <n v="0"/>
    <s v="insertIfAbsent"/>
    <n v="1333626179943460"/>
    <n v="13337064"/>
    <n v="1333626179943460"/>
    <n v="13337064"/>
    <s v="success"/>
    <n v="30"/>
    <n v="7672272"/>
    <n v="5756944"/>
    <n v="13429216"/>
    <n v="13337064"/>
    <n v="1.7503599999999999"/>
    <n v="2.3166899999999999"/>
    <n v="23.168299999999999"/>
    <n v="752036096"/>
    <m/>
    <m/>
    <m/>
    <s v="230 17276"/>
    <m/>
    <m/>
    <m/>
    <m/>
    <m/>
    <m/>
    <n v="747710573"/>
    <n v="0"/>
    <n v="7553074"/>
    <n v="747710573"/>
    <n v="755263647"/>
    <n v="24923685"/>
    <n v="0"/>
    <n v="251769"/>
    <n v="24923685"/>
    <n v="25175454"/>
    <n v="101.26300000000001"/>
    <n v="55.1511"/>
    <n v="10569.1"/>
    <m/>
    <n v="3521"/>
    <n v="936"/>
    <x v="1"/>
    <n v="0"/>
  </r>
  <r>
    <s v="istree_exp9_zipf/step10034.txt"/>
    <x v="2"/>
    <m/>
    <s v="reclaimer_debra"/>
    <s v="allocator_new"/>
    <s v="pool_none"/>
    <n v="30000"/>
    <n v="0.5"/>
    <n v="0.5"/>
    <n v="0"/>
    <n v="1"/>
    <n v="200000000"/>
    <n v="144"/>
    <x v="3"/>
    <n v="144"/>
    <n v="0"/>
    <s v="insertIfAbsent"/>
    <n v="1474098431640000"/>
    <n v="14740597"/>
    <n v="1474098431640000"/>
    <n v="14740597"/>
    <s v="success"/>
    <n v="30"/>
    <n v="8500201"/>
    <n v="6379406"/>
    <n v="14879607"/>
    <n v="14740597"/>
    <n v="1.7504999999999999"/>
    <n v="2.3106499999999999"/>
    <n v="23.315200000000001"/>
    <n v="833257992"/>
    <m/>
    <m/>
    <m/>
    <s v="160 10890"/>
    <m/>
    <m/>
    <m/>
    <m/>
    <m/>
    <m/>
    <n v="1071253702"/>
    <n v="0"/>
    <n v="10815637"/>
    <n v="1071253702"/>
    <n v="1082069339"/>
    <n v="35708456"/>
    <n v="0"/>
    <n v="360521"/>
    <n v="35708456"/>
    <n v="36068977"/>
    <n v="102.146"/>
    <n v="56.854700000000001"/>
    <n v="11058.9"/>
    <m/>
    <n v="3629"/>
    <n v="565"/>
    <x v="1"/>
    <n v="0"/>
  </r>
  <r>
    <s v="istree_exp9_zipf/step10035.txt"/>
    <x v="2"/>
    <m/>
    <s v="reclaimer_debra"/>
    <s v="allocator_new"/>
    <s v="pool_none"/>
    <n v="30000"/>
    <n v="0.5"/>
    <n v="0.5"/>
    <n v="0"/>
    <n v="1"/>
    <n v="200000000"/>
    <n v="190"/>
    <x v="4"/>
    <n v="190"/>
    <n v="0"/>
    <s v="insertIfAbsent"/>
    <n v="1588577647129230"/>
    <n v="15887728"/>
    <n v="1588577647129230"/>
    <n v="15887728"/>
    <s v="success"/>
    <n v="30"/>
    <n v="9180559"/>
    <n v="6888439"/>
    <n v="16068998"/>
    <n v="15887728"/>
    <n v="1.7503299999999999"/>
    <n v="2.3064300000000002"/>
    <n v="23.407900000000001"/>
    <n v="899863888"/>
    <m/>
    <m/>
    <m/>
    <s v="116 8216"/>
    <m/>
    <m/>
    <m/>
    <m/>
    <m/>
    <m/>
    <n v="1339685475"/>
    <n v="0"/>
    <n v="13531234"/>
    <n v="1339685475"/>
    <n v="1353216709"/>
    <n v="44656182"/>
    <n v="0"/>
    <n v="451041"/>
    <n v="44656182"/>
    <n v="45107223"/>
    <n v="103.099"/>
    <n v="57.707599999999999"/>
    <n v="11653.2"/>
    <m/>
    <n v="3720"/>
    <n v="573"/>
    <x v="1"/>
    <n v="0"/>
  </r>
  <r>
    <s v="istree_exp9_zipf/step10036.txt"/>
    <x v="3"/>
    <m/>
    <s v="reclaimer_debra"/>
    <s v="allocator_new"/>
    <s v="pool_none"/>
    <n v="30000"/>
    <n v="0.5"/>
    <n v="0.5"/>
    <n v="0"/>
    <n v="1"/>
    <n v="200000000"/>
    <n v="24"/>
    <x v="0"/>
    <n v="24"/>
    <n v="0"/>
    <s v="insertIfAbsent"/>
    <n v="1081277791246280"/>
    <n v="10816249"/>
    <n v="1081277791246280"/>
    <n v="10816249"/>
    <s v="success"/>
    <n v="67"/>
    <n v="10816248"/>
    <n v="10816249"/>
    <n v="21632497"/>
    <n v="10816249"/>
    <n v="2"/>
    <n v="1"/>
    <n v="32.284999999999997"/>
    <n v="692239904"/>
    <m/>
    <m/>
    <m/>
    <s v="3640 71494"/>
    <m/>
    <m/>
    <m/>
    <m/>
    <m/>
    <m/>
    <n v="180349692"/>
    <n v="0"/>
    <n v="1822724"/>
    <n v="180349692"/>
    <n v="182172416"/>
    <n v="6011656"/>
    <n v="0"/>
    <n v="60757"/>
    <n v="6011656"/>
    <n v="6072413"/>
    <n v="98.896699999999996"/>
    <n v="50.541800000000002"/>
    <n v="11023.7"/>
    <m/>
    <n v="3331"/>
    <n v="2009"/>
    <x v="1"/>
    <n v="0"/>
  </r>
  <r>
    <s v="istree_exp9_zipf/step10037.txt"/>
    <x v="3"/>
    <m/>
    <s v="reclaimer_debra"/>
    <s v="allocator_new"/>
    <s v="pool_none"/>
    <n v="30000"/>
    <n v="0.5"/>
    <n v="0.5"/>
    <n v="0"/>
    <n v="1"/>
    <n v="200000000"/>
    <n v="48"/>
    <x v="1"/>
    <n v="48"/>
    <n v="0"/>
    <s v="insertIfAbsent"/>
    <n v="1151110902051060"/>
    <n v="11515737"/>
    <n v="1151110902051060"/>
    <n v="11515737"/>
    <s v="success"/>
    <n v="61"/>
    <n v="11515736"/>
    <n v="11515737"/>
    <n v="23031473"/>
    <n v="11515737"/>
    <n v="2"/>
    <n v="1"/>
    <n v="31.7059"/>
    <n v="737007136"/>
    <m/>
    <m/>
    <m/>
    <s v="896 31968"/>
    <m/>
    <m/>
    <m/>
    <m/>
    <m/>
    <m/>
    <n v="336292079"/>
    <n v="0"/>
    <n v="3397161"/>
    <n v="336292079"/>
    <n v="339689240"/>
    <n v="11209735"/>
    <n v="0"/>
    <n v="113238"/>
    <n v="11209735"/>
    <n v="11322974"/>
    <n v="90.279499999999999"/>
    <n v="43.655000000000001"/>
    <n v="11820.2"/>
    <m/>
    <n v="3382"/>
    <n v="1338"/>
    <x v="1"/>
    <n v="0"/>
  </r>
  <r>
    <s v="istree_exp9_zipf/step10038.txt"/>
    <x v="3"/>
    <m/>
    <s v="reclaimer_debra"/>
    <s v="allocator_new"/>
    <s v="pool_none"/>
    <n v="30000"/>
    <n v="0.5"/>
    <n v="0.5"/>
    <n v="0"/>
    <n v="1"/>
    <n v="200000000"/>
    <n v="96"/>
    <x v="2"/>
    <n v="96"/>
    <n v="0"/>
    <s v="insertIfAbsent"/>
    <n v="1320434896295040"/>
    <n v="13205683"/>
    <n v="1320434896295040"/>
    <n v="13205683"/>
    <s v="success"/>
    <n v="62"/>
    <n v="13205682"/>
    <n v="13205683"/>
    <n v="26411365"/>
    <n v="13205683"/>
    <n v="2"/>
    <n v="1"/>
    <n v="30.836200000000002"/>
    <n v="845163680"/>
    <m/>
    <m/>
    <m/>
    <s v="236 16642"/>
    <m/>
    <m/>
    <m/>
    <m/>
    <m/>
    <m/>
    <n v="717981509"/>
    <n v="0"/>
    <n v="7254667"/>
    <n v="717981509"/>
    <n v="725236176"/>
    <n v="23932716"/>
    <n v="0"/>
    <n v="241822"/>
    <n v="23932716"/>
    <n v="24174539"/>
    <n v="93.589299999999994"/>
    <n v="50.409500000000001"/>
    <n v="11050.4"/>
    <m/>
    <n v="3506"/>
    <n v="879"/>
    <x v="1"/>
    <n v="0"/>
  </r>
  <r>
    <s v="istree_exp9_zipf/step10039.txt"/>
    <x v="3"/>
    <m/>
    <s v="reclaimer_debra"/>
    <s v="allocator_new"/>
    <s v="pool_none"/>
    <n v="30000"/>
    <n v="0.5"/>
    <n v="0.5"/>
    <n v="0"/>
    <n v="1"/>
    <n v="200000000"/>
    <n v="144"/>
    <x v="3"/>
    <n v="144"/>
    <n v="0"/>
    <s v="insertIfAbsent"/>
    <n v="1466217867890140"/>
    <n v="14660176"/>
    <n v="1466217867890140"/>
    <n v="14660176"/>
    <s v="success"/>
    <n v="68"/>
    <n v="14660175"/>
    <n v="14660176"/>
    <n v="29320351"/>
    <n v="14660176"/>
    <n v="2"/>
    <n v="1"/>
    <n v="32.968200000000003"/>
    <n v="938251232"/>
    <m/>
    <m/>
    <m/>
    <s v="160 10674"/>
    <m/>
    <m/>
    <m/>
    <m/>
    <m/>
    <m/>
    <n v="1052487328"/>
    <n v="0"/>
    <n v="10633088"/>
    <n v="1052487328"/>
    <n v="1063120416"/>
    <n v="35082910"/>
    <n v="0"/>
    <n v="354436"/>
    <n v="35082910"/>
    <n v="35437347"/>
    <n v="94.529300000000006"/>
    <n v="51.946399999999997"/>
    <n v="11303.2"/>
    <m/>
    <n v="3614"/>
    <n v="535"/>
    <x v="1"/>
    <n v="0"/>
  </r>
  <r>
    <s v="istree_exp9_zipf/step10040.txt"/>
    <x v="3"/>
    <m/>
    <s v="reclaimer_debra"/>
    <s v="allocator_new"/>
    <s v="pool_none"/>
    <n v="30000"/>
    <n v="0.5"/>
    <n v="0.5"/>
    <n v="0"/>
    <n v="1"/>
    <n v="200000000"/>
    <n v="190"/>
    <x v="4"/>
    <n v="190"/>
    <n v="0"/>
    <s v="insertIfAbsent"/>
    <n v="1593528364333310"/>
    <n v="15935561"/>
    <n v="1593528364333310"/>
    <n v="15935561"/>
    <s v="success"/>
    <n v="62"/>
    <n v="15935560"/>
    <n v="15935561"/>
    <n v="31871121"/>
    <n v="15935561"/>
    <n v="2"/>
    <n v="1"/>
    <n v="32.159300000000002"/>
    <n v="1019875872"/>
    <m/>
    <m/>
    <m/>
    <s v="124 8174"/>
    <m/>
    <m/>
    <m/>
    <m/>
    <m/>
    <m/>
    <n v="1350851791"/>
    <n v="0"/>
    <n v="13644681"/>
    <n v="1350851791"/>
    <n v="1364496472"/>
    <n v="45028393"/>
    <n v="0"/>
    <n v="454822"/>
    <n v="45028393"/>
    <n v="45483215"/>
    <n v="95.125"/>
    <n v="52.764099999999999"/>
    <n v="11599.4"/>
    <m/>
    <n v="3710"/>
    <n v="536"/>
    <x v="1"/>
    <n v="0"/>
  </r>
  <r>
    <s v="istree_exp9_zipf/step10041.txt"/>
    <x v="0"/>
    <n v="72"/>
    <s v="reclaimer_debra"/>
    <s v="allocator_new"/>
    <s v="pool_none"/>
    <n v="30000"/>
    <n v="5"/>
    <n v="5"/>
    <n v="0"/>
    <n v="1"/>
    <n v="200000000"/>
    <n v="24"/>
    <x v="0"/>
    <n v="24"/>
    <n v="0"/>
    <s v="insertIfAbsent"/>
    <n v="2271512373256390"/>
    <n v="22713881"/>
    <n v="2271512373256390"/>
    <n v="22713881"/>
    <s v="success"/>
    <n v="7"/>
    <n v="4005954"/>
    <n v="26496132"/>
    <n v="30502086"/>
    <n v="22713881"/>
    <n v="7.6141899999999998"/>
    <n v="0.85725300000000004"/>
    <n v="4.0701599999999996"/>
    <n v="744419664"/>
    <s v="4 11017 405648 4160605 115335"/>
    <s v="4 11007 405642 4160600 115335"/>
    <n v="1616"/>
    <n v="111606"/>
    <m/>
    <m/>
    <m/>
    <m/>
    <m/>
    <m/>
    <n v="273934896"/>
    <n v="0"/>
    <n v="30442725"/>
    <n v="273934896"/>
    <n v="304377621"/>
    <n v="9131163"/>
    <n v="0"/>
    <n v="1014757"/>
    <n v="9131163"/>
    <n v="10145920"/>
    <n v="90.434600000000003"/>
    <n v="48.290100000000002"/>
    <n v="6556.91"/>
    <m/>
    <n v="7443"/>
    <n v="1469"/>
    <x v="2"/>
    <s v="1616"/>
  </r>
  <r>
    <s v="istree_exp9_zipf/step10042.txt"/>
    <x v="0"/>
    <n v="72"/>
    <s v="reclaimer_debra"/>
    <s v="allocator_new"/>
    <s v="pool_none"/>
    <n v="30000"/>
    <n v="5"/>
    <n v="5"/>
    <n v="0"/>
    <n v="1"/>
    <n v="200000000"/>
    <n v="48"/>
    <x v="1"/>
    <n v="48"/>
    <n v="0"/>
    <s v="insertIfAbsent"/>
    <n v="3055703427023320"/>
    <n v="30557780"/>
    <n v="3055703427023320"/>
    <n v="30557780"/>
    <s v="success"/>
    <n v="7"/>
    <n v="4413051"/>
    <n v="34602392"/>
    <n v="39015443"/>
    <n v="30557780"/>
    <n v="8.8409200000000006"/>
    <n v="0.88311200000000001"/>
    <n v="4.0182200000000003"/>
    <n v="906684672"/>
    <s v="7 23026 633073 7114134 202197"/>
    <s v="6 23015 633062 7114122 202197"/>
    <n v="7876"/>
    <n v="46484"/>
    <m/>
    <m/>
    <m/>
    <m/>
    <m/>
    <m/>
    <n v="466815898"/>
    <n v="0"/>
    <n v="51859542"/>
    <n v="466815898"/>
    <n v="518675440"/>
    <n v="15560529"/>
    <n v="0"/>
    <n v="1728651"/>
    <n v="15560529"/>
    <n v="17289181"/>
    <n v="80.876900000000006"/>
    <n v="41.487299999999998"/>
    <n v="7652.37"/>
    <m/>
    <n v="8189"/>
    <n v="1016"/>
    <x v="2"/>
    <s v="7876"/>
  </r>
  <r>
    <s v="istree_exp9_zipf/step10043.txt"/>
    <x v="0"/>
    <n v="72"/>
    <s v="reclaimer_debra"/>
    <s v="allocator_new"/>
    <s v="pool_none"/>
    <n v="30000"/>
    <n v="5"/>
    <n v="5"/>
    <n v="0"/>
    <n v="1"/>
    <n v="200000000"/>
    <n v="96"/>
    <x v="2"/>
    <n v="96"/>
    <n v="0"/>
    <s v="insertIfAbsent"/>
    <n v="4414675961893770"/>
    <n v="44142779"/>
    <n v="4414675961893770"/>
    <n v="44142779"/>
    <s v="success"/>
    <n v="7"/>
    <n v="7712934"/>
    <n v="52059457"/>
    <n v="59772391"/>
    <n v="44142779"/>
    <n v="7.7496299999999998"/>
    <n v="0.84792999999999996"/>
    <n v="4.1207099999999999"/>
    <n v="1450829440"/>
    <s v="9 35878 725932 11352475 756089"/>
    <s v="8 35871 725889 11352447 756089"/>
    <n v="25250"/>
    <n v="21156"/>
    <m/>
    <m/>
    <m/>
    <m/>
    <m/>
    <m/>
    <n v="858723372"/>
    <n v="0"/>
    <n v="95407870"/>
    <n v="858723372"/>
    <n v="954131242"/>
    <n v="28624112"/>
    <n v="0"/>
    <n v="3180262"/>
    <n v="28624112"/>
    <n v="31804374"/>
    <n v="83.244900000000001"/>
    <n v="47.697200000000002"/>
    <n v="8208.91"/>
    <m/>
    <n v="8915"/>
    <n v="1163"/>
    <x v="2"/>
    <s v="25250"/>
  </r>
  <r>
    <s v="istree_exp9_zipf/step10044.txt"/>
    <x v="0"/>
    <n v="72"/>
    <s v="reclaimer_debra"/>
    <s v="allocator_new"/>
    <s v="pool_none"/>
    <n v="30000"/>
    <n v="5"/>
    <n v="5"/>
    <n v="0"/>
    <n v="1"/>
    <n v="200000000"/>
    <n v="144"/>
    <x v="3"/>
    <n v="144"/>
    <n v="0"/>
    <s v="insertIfAbsent"/>
    <n v="5302064488745200"/>
    <n v="53021783"/>
    <n v="5302064488745200"/>
    <n v="53021783"/>
    <s v="success"/>
    <n v="7"/>
    <n v="7605791"/>
    <n v="60266010"/>
    <n v="67871801"/>
    <n v="53021783"/>
    <n v="8.9237000000000002"/>
    <n v="0.87979600000000002"/>
    <n v="4.0282400000000003"/>
    <n v="1572767312"/>
    <s v="15 49134 827806 14776223 1091172"/>
    <s v="10 49133 827764 14776176 1091171"/>
    <n v="50333"/>
    <n v="12798"/>
    <m/>
    <m/>
    <m/>
    <m/>
    <m/>
    <m/>
    <n v="1170055618"/>
    <n v="0"/>
    <n v="130020007"/>
    <n v="1170055618"/>
    <n v="1300075625"/>
    <n v="39001853"/>
    <n v="0"/>
    <n v="4334000"/>
    <n v="39001853"/>
    <n v="43335854"/>
    <n v="84.637100000000004"/>
    <n v="49.429499999999997"/>
    <n v="8933.7199999999993"/>
    <m/>
    <n v="9966"/>
    <n v="1011"/>
    <x v="2"/>
    <s v="50333"/>
  </r>
  <r>
    <s v="istree_exp9_zipf/step10045.txt"/>
    <x v="0"/>
    <n v="72"/>
    <s v="reclaimer_debra"/>
    <s v="allocator_new"/>
    <s v="pool_none"/>
    <n v="30000"/>
    <n v="5"/>
    <n v="5"/>
    <n v="0"/>
    <n v="1"/>
    <n v="200000000"/>
    <n v="190"/>
    <x v="4"/>
    <n v="190"/>
    <n v="0"/>
    <s v="insertIfAbsent"/>
    <n v="5949192646880830"/>
    <n v="59495524"/>
    <n v="5949192646880830"/>
    <n v="59495524"/>
    <s v="success"/>
    <n v="7"/>
    <n v="9048713"/>
    <n v="68562152"/>
    <n v="77610865"/>
    <n v="59495524"/>
    <n v="8.5770099999999996"/>
    <n v="0.86775999999999998"/>
    <n v="4.0562699999999996"/>
    <n v="1821238208"/>
    <s v="18 56388 739558 17265252 1407175"/>
    <s v="11 56384 739499 17265188 1407174"/>
    <n v="70641"/>
    <n v="9668"/>
    <m/>
    <m/>
    <m/>
    <m/>
    <m/>
    <m/>
    <n v="1437004110"/>
    <n v="0"/>
    <n v="159663785"/>
    <n v="1437004110"/>
    <n v="1596667895"/>
    <n v="47900137"/>
    <n v="0"/>
    <n v="5322126"/>
    <n v="47900137"/>
    <n v="53222263"/>
    <n v="85.227099999999993"/>
    <n v="50.295299999999997"/>
    <n v="9550.6200000000008"/>
    <m/>
    <n v="10373"/>
    <n v="1245"/>
    <x v="2"/>
    <s v="70641"/>
  </r>
  <r>
    <s v="istree_exp9_zipf/step10046.txt"/>
    <x v="1"/>
    <n v="208"/>
    <s v="reclaimer_debra"/>
    <s v="allocator_new"/>
    <s v="pool_none"/>
    <n v="30000"/>
    <n v="5"/>
    <n v="5"/>
    <n v="0"/>
    <n v="1"/>
    <n v="200000000"/>
    <n v="24"/>
    <x v="0"/>
    <n v="24"/>
    <n v="0"/>
    <s v="insertIfAbsent"/>
    <n v="2241463441970130"/>
    <n v="22416706"/>
    <n v="2241463441970130"/>
    <n v="22416706"/>
    <s v="success"/>
    <n v="10"/>
    <n v="420769"/>
    <n v="2896431"/>
    <n v="3317200"/>
    <n v="22416706"/>
    <n v="7.8836599999999999"/>
    <n v="7.73942"/>
    <n v="9"/>
    <n v="689977600"/>
    <m/>
    <m/>
    <m/>
    <s v="3736 113856"/>
    <m/>
    <m/>
    <m/>
    <m/>
    <m/>
    <m/>
    <n v="267331853"/>
    <n v="0"/>
    <n v="29694916"/>
    <n v="267331853"/>
    <n v="297026769"/>
    <n v="8911061"/>
    <n v="0"/>
    <n v="989830"/>
    <n v="8911061"/>
    <n v="9900892"/>
    <n v="92.216300000000004"/>
    <n v="47.438299999999998"/>
    <n v="6754.99"/>
    <m/>
    <n v="3403"/>
    <n v="1645"/>
    <x v="2"/>
    <n v="0"/>
  </r>
  <r>
    <s v="istree_exp9_zipf/step10047.txt"/>
    <x v="1"/>
    <n v="208"/>
    <s v="reclaimer_debra"/>
    <s v="allocator_new"/>
    <s v="pool_none"/>
    <n v="30000"/>
    <n v="5"/>
    <n v="5"/>
    <n v="0"/>
    <n v="1"/>
    <n v="200000000"/>
    <n v="48"/>
    <x v="1"/>
    <n v="48"/>
    <n v="0"/>
    <s v="insertIfAbsent"/>
    <n v="3062534979763390"/>
    <n v="30623006"/>
    <n v="3062534979763390"/>
    <n v="30623006"/>
    <s v="success"/>
    <n v="10"/>
    <n v="578235"/>
    <n v="3980085"/>
    <n v="4558320"/>
    <n v="30623006"/>
    <n v="7.8831600000000002"/>
    <n v="7.6940600000000003"/>
    <n v="9"/>
    <n v="948130560"/>
    <m/>
    <m/>
    <m/>
    <s v="974 48372"/>
    <m/>
    <m/>
    <m/>
    <m/>
    <m/>
    <m/>
    <n v="468623650"/>
    <n v="0"/>
    <n v="52065881"/>
    <n v="468623650"/>
    <n v="520689531"/>
    <n v="15620788"/>
    <n v="0"/>
    <n v="1735529"/>
    <n v="15620788"/>
    <n v="17356317"/>
    <n v="83.685100000000006"/>
    <n v="41.137500000000003"/>
    <n v="7699.34"/>
    <m/>
    <n v="3721"/>
    <n v="1231"/>
    <x v="2"/>
    <n v="0"/>
  </r>
  <r>
    <s v="istree_exp9_zipf/step10048.txt"/>
    <x v="1"/>
    <n v="208"/>
    <s v="reclaimer_debra"/>
    <s v="allocator_new"/>
    <s v="pool_none"/>
    <n v="30000"/>
    <n v="5"/>
    <n v="5"/>
    <n v="0"/>
    <n v="1"/>
    <n v="200000000"/>
    <n v="96"/>
    <x v="2"/>
    <n v="96"/>
    <n v="0"/>
    <s v="insertIfAbsent"/>
    <n v="4476859304562900"/>
    <n v="44766917"/>
    <n v="4476859304562900"/>
    <n v="44766917"/>
    <s v="success"/>
    <n v="10"/>
    <n v="856131"/>
    <n v="5894563"/>
    <n v="6750694"/>
    <n v="44766917"/>
    <n v="7.8851199999999997"/>
    <n v="7.5946100000000003"/>
    <n v="9"/>
    <n v="1404144352"/>
    <m/>
    <m/>
    <m/>
    <s v="356 22386"/>
    <m/>
    <m/>
    <m/>
    <m/>
    <m/>
    <m/>
    <n v="878512570"/>
    <n v="0"/>
    <n v="97615882"/>
    <n v="878512570"/>
    <n v="976128452"/>
    <n v="29283752"/>
    <n v="0"/>
    <n v="3253862"/>
    <n v="29283752"/>
    <n v="32537615"/>
    <n v="87.5548"/>
    <n v="48.625999999999998"/>
    <n v="8173.13"/>
    <m/>
    <n v="4277"/>
    <n v="1130"/>
    <x v="2"/>
    <n v="0"/>
  </r>
  <r>
    <s v="istree_exp9_zipf/step10049.txt"/>
    <x v="1"/>
    <n v="208"/>
    <s v="reclaimer_debra"/>
    <s v="allocator_new"/>
    <s v="pool_none"/>
    <n v="30000"/>
    <n v="5"/>
    <n v="5"/>
    <n v="0"/>
    <n v="1"/>
    <n v="200000000"/>
    <n v="144"/>
    <x v="3"/>
    <n v="144"/>
    <n v="0"/>
    <s v="insertIfAbsent"/>
    <n v="5451615360227490"/>
    <n v="54516031"/>
    <n v="5451615360227490"/>
    <n v="54516031"/>
    <s v="success"/>
    <n v="10"/>
    <n v="1055256"/>
    <n v="7262838"/>
    <n v="8318094"/>
    <n v="54516031"/>
    <n v="7.8825399999999997"/>
    <n v="7.5061600000000004"/>
    <n v="9"/>
    <n v="1730163552"/>
    <m/>
    <m/>
    <m/>
    <s v="280 13864"/>
    <m/>
    <m/>
    <m/>
    <m/>
    <m/>
    <m/>
    <n v="1228893550"/>
    <n v="0"/>
    <n v="136532612"/>
    <n v="1228893550"/>
    <n v="1365426162"/>
    <n v="40963118"/>
    <n v="0"/>
    <n v="4551087"/>
    <n v="40963118"/>
    <n v="45514205"/>
    <n v="88.930999999999997"/>
    <n v="50.468200000000003"/>
    <n v="8691.07"/>
    <m/>
    <n v="4673"/>
    <n v="903"/>
    <x v="2"/>
    <n v="0"/>
  </r>
  <r>
    <s v="istree_exp9_zipf/step10050.txt"/>
    <x v="1"/>
    <n v="208"/>
    <s v="reclaimer_debra"/>
    <s v="allocator_new"/>
    <s v="pool_none"/>
    <n v="30000"/>
    <n v="5"/>
    <n v="5"/>
    <n v="0"/>
    <n v="1"/>
    <n v="200000000"/>
    <n v="190"/>
    <x v="4"/>
    <n v="190"/>
    <n v="0"/>
    <s v="insertIfAbsent"/>
    <n v="6087027408791770"/>
    <n v="60875753"/>
    <n v="6087027408791770"/>
    <n v="60875753"/>
    <s v="success"/>
    <n v="10"/>
    <n v="1189240"/>
    <n v="8185296"/>
    <n v="9374536"/>
    <n v="60875753"/>
    <n v="7.8827999999999996"/>
    <n v="7.4372100000000003"/>
    <n v="9"/>
    <n v="1949903488"/>
    <m/>
    <m/>
    <m/>
    <s v="252 10452"/>
    <m/>
    <m/>
    <m/>
    <m/>
    <m/>
    <m/>
    <n v="1499746782"/>
    <n v="0"/>
    <n v="166643270"/>
    <n v="1499746782"/>
    <n v="1666390052"/>
    <n v="49991559"/>
    <n v="0"/>
    <n v="5554775"/>
    <n v="49991559"/>
    <n v="55546335"/>
    <n v="90.221800000000002"/>
    <n v="51.723300000000002"/>
    <n v="9401.14"/>
    <m/>
    <n v="5030"/>
    <n v="998"/>
    <x v="2"/>
    <n v="0"/>
  </r>
  <r>
    <s v="istree_exp9_zipf/step10051.txt"/>
    <x v="2"/>
    <m/>
    <s v="reclaimer_debra"/>
    <s v="allocator_new"/>
    <s v="pool_none"/>
    <n v="30000"/>
    <n v="5"/>
    <n v="5"/>
    <n v="0"/>
    <n v="1"/>
    <n v="200000000"/>
    <n v="24"/>
    <x v="0"/>
    <n v="24"/>
    <n v="0"/>
    <s v="insertIfAbsent"/>
    <n v="1819916683960820"/>
    <n v="18197359"/>
    <n v="1819916683960820"/>
    <n v="18197359"/>
    <s v="success"/>
    <n v="30"/>
    <n v="10553413"/>
    <n v="7920173"/>
    <n v="18473586"/>
    <n v="18197359"/>
    <n v="1.75048"/>
    <n v="2.2976000000000001"/>
    <n v="23.607700000000001"/>
    <n v="1034520816"/>
    <m/>
    <m/>
    <m/>
    <s v="3654 74456"/>
    <m/>
    <m/>
    <m/>
    <m/>
    <m/>
    <m/>
    <n v="171948828"/>
    <n v="0"/>
    <n v="19103147"/>
    <n v="171948828"/>
    <n v="191051975"/>
    <n v="5731627"/>
    <n v="0"/>
    <n v="636771"/>
    <n v="5731627"/>
    <n v="6368399"/>
    <n v="107.062"/>
    <n v="54.713200000000001"/>
    <n v="10502.8"/>
    <m/>
    <n v="3826"/>
    <n v="2048"/>
    <x v="2"/>
    <n v="0"/>
  </r>
  <r>
    <s v="istree_exp9_zipf/step10052.txt"/>
    <x v="2"/>
    <m/>
    <s v="reclaimer_debra"/>
    <s v="allocator_new"/>
    <s v="pool_none"/>
    <n v="30000"/>
    <n v="5"/>
    <n v="5"/>
    <n v="0"/>
    <n v="1"/>
    <n v="200000000"/>
    <n v="48"/>
    <x v="1"/>
    <n v="48"/>
    <n v="0"/>
    <s v="insertIfAbsent"/>
    <n v="2425919474299580"/>
    <n v="24256759"/>
    <n v="2425919474299580"/>
    <n v="24256759"/>
    <s v="success"/>
    <n v="30"/>
    <n v="14193298"/>
    <n v="10653235"/>
    <n v="24846533"/>
    <n v="24256759"/>
    <n v="1.75058"/>
    <n v="2.2769400000000002"/>
    <n v="24.0396"/>
    <n v="1391405848"/>
    <m/>
    <m/>
    <m/>
    <s v="896 32322"/>
    <m/>
    <m/>
    <m/>
    <m/>
    <m/>
    <m/>
    <n v="310339869"/>
    <n v="0"/>
    <n v="34492532"/>
    <n v="310339869"/>
    <n v="344832401"/>
    <n v="10344662"/>
    <n v="0"/>
    <n v="1149751"/>
    <n v="10344662"/>
    <n v="11494413"/>
    <n v="100.986"/>
    <n v="49.653100000000002"/>
    <n v="11632"/>
    <m/>
    <n v="4244"/>
    <n v="1359"/>
    <x v="2"/>
    <n v="0"/>
  </r>
  <r>
    <s v="istree_exp9_zipf/step10053.txt"/>
    <x v="2"/>
    <m/>
    <s v="reclaimer_debra"/>
    <s v="allocator_new"/>
    <s v="pool_none"/>
    <n v="30000"/>
    <n v="5"/>
    <n v="5"/>
    <n v="0"/>
    <n v="1"/>
    <n v="200000000"/>
    <n v="96"/>
    <x v="2"/>
    <n v="96"/>
    <n v="0"/>
    <s v="insertIfAbsent"/>
    <n v="3627434540424110"/>
    <n v="36277782"/>
    <n v="3627434540424110"/>
    <n v="36277782"/>
    <s v="success"/>
    <n v="31"/>
    <n v="21589614"/>
    <n v="16213445"/>
    <n v="37803059"/>
    <n v="36277782"/>
    <n v="1.75098"/>
    <n v="2.2375099999999999"/>
    <n v="24.7178"/>
    <n v="2116971304"/>
    <m/>
    <m/>
    <m/>
    <s v="458 15844"/>
    <m/>
    <m/>
    <m/>
    <m/>
    <m/>
    <m/>
    <n v="621365697"/>
    <n v="0"/>
    <n v="69043449"/>
    <n v="621365697"/>
    <n v="690409146"/>
    <n v="20712189"/>
    <n v="0"/>
    <n v="2301448"/>
    <n v="20712189"/>
    <n v="23013638"/>
    <n v="104.88500000000001"/>
    <n v="57.678199999999997"/>
    <n v="11582.8"/>
    <m/>
    <n v="5096"/>
    <n v="948"/>
    <x v="2"/>
    <n v="0"/>
  </r>
  <r>
    <s v="istree_exp9_zipf/step10054.txt"/>
    <x v="2"/>
    <m/>
    <s v="reclaimer_debra"/>
    <s v="allocator_new"/>
    <s v="pool_none"/>
    <n v="30000"/>
    <n v="5"/>
    <n v="5"/>
    <n v="0"/>
    <n v="1"/>
    <n v="200000000"/>
    <n v="144"/>
    <x v="3"/>
    <n v="144"/>
    <n v="0"/>
    <s v="insertIfAbsent"/>
    <n v="4480217676682380"/>
    <n v="44799054"/>
    <n v="4480217676682380"/>
    <n v="44799054"/>
    <s v="success"/>
    <n v="32"/>
    <n v="26996515"/>
    <n v="20282118"/>
    <n v="47278633"/>
    <n v="44799054"/>
    <n v="1.75129"/>
    <n v="2.2088000000000001"/>
    <n v="25.081"/>
    <n v="2647603448"/>
    <m/>
    <m/>
    <m/>
    <s v="162 9846"/>
    <m/>
    <m/>
    <m/>
    <m/>
    <m/>
    <m/>
    <n v="879998707"/>
    <n v="0"/>
    <n v="97756076"/>
    <n v="879998707"/>
    <n v="977754783"/>
    <n v="29333290"/>
    <n v="0"/>
    <n v="3258535"/>
    <n v="29333290"/>
    <n v="32591826"/>
    <n v="106.431"/>
    <n v="60.057499999999997"/>
    <n v="12232.1"/>
    <m/>
    <n v="5722"/>
    <n v="584"/>
    <x v="2"/>
    <n v="0"/>
  </r>
  <r>
    <s v="istree_exp9_zipf/step10055.txt"/>
    <x v="2"/>
    <m/>
    <s v="reclaimer_debra"/>
    <s v="allocator_new"/>
    <s v="pool_none"/>
    <n v="30000"/>
    <n v="5"/>
    <n v="5"/>
    <n v="0"/>
    <n v="1"/>
    <n v="200000000"/>
    <n v="190"/>
    <x v="4"/>
    <n v="190"/>
    <n v="0"/>
    <s v="insertIfAbsent"/>
    <n v="5147022819847840"/>
    <n v="51470263"/>
    <n v="5147022819847840"/>
    <n v="51470263"/>
    <s v="success"/>
    <n v="32"/>
    <n v="31337691"/>
    <n v="23552355"/>
    <n v="54890046"/>
    <n v="51470263"/>
    <n v="1.7515700000000001"/>
    <n v="2.1853600000000002"/>
    <n v="25.271000000000001"/>
    <n v="3073842576"/>
    <m/>
    <m/>
    <m/>
    <s v="114 7404"/>
    <m/>
    <m/>
    <m/>
    <m/>
    <m/>
    <m/>
    <n v="1111852623"/>
    <n v="0"/>
    <n v="123537491"/>
    <n v="1111852623"/>
    <n v="1235390114"/>
    <n v="37061754"/>
    <n v="0"/>
    <n v="4117916"/>
    <n v="37061754"/>
    <n v="41179670"/>
    <n v="107.49"/>
    <n v="61.373800000000003"/>
    <n v="12780.2"/>
    <m/>
    <n v="6227"/>
    <n v="576"/>
    <x v="2"/>
    <n v="0"/>
  </r>
  <r>
    <s v="istree_exp9_zipf/step10056.txt"/>
    <x v="3"/>
    <m/>
    <s v="reclaimer_debra"/>
    <s v="allocator_new"/>
    <s v="pool_none"/>
    <n v="30000"/>
    <n v="5"/>
    <n v="5"/>
    <n v="0"/>
    <n v="1"/>
    <n v="200000000"/>
    <n v="24"/>
    <x v="0"/>
    <n v="24"/>
    <n v="0"/>
    <s v="insertIfAbsent"/>
    <n v="1750920393815710"/>
    <n v="17510191"/>
    <n v="1750920393815710"/>
    <n v="17510191"/>
    <s v="success"/>
    <n v="60"/>
    <n v="17510190"/>
    <n v="17510191"/>
    <n v="35020381"/>
    <n v="17510191"/>
    <n v="2"/>
    <n v="1"/>
    <n v="31.747"/>
    <n v="1120652192"/>
    <m/>
    <m/>
    <m/>
    <s v="3650 68590"/>
    <m/>
    <m/>
    <m/>
    <m/>
    <m/>
    <m/>
    <n v="156803551"/>
    <n v="0"/>
    <n v="17423335"/>
    <n v="156803551"/>
    <n v="174226886"/>
    <n v="5226785"/>
    <n v="0"/>
    <n v="580777"/>
    <n v="5226785"/>
    <n v="5807562"/>
    <n v="101.21299999999999"/>
    <n v="51.940100000000001"/>
    <n v="11517.6"/>
    <m/>
    <n v="3765"/>
    <n v="2008"/>
    <x v="2"/>
    <n v="0"/>
  </r>
  <r>
    <s v="istree_exp9_zipf/step10057.txt"/>
    <x v="3"/>
    <m/>
    <s v="reclaimer_debra"/>
    <s v="allocator_new"/>
    <s v="pool_none"/>
    <n v="30000"/>
    <n v="5"/>
    <n v="5"/>
    <n v="0"/>
    <n v="1"/>
    <n v="200000000"/>
    <n v="48"/>
    <x v="1"/>
    <n v="48"/>
    <n v="0"/>
    <s v="insertIfAbsent"/>
    <n v="2325442766402050"/>
    <n v="23258942"/>
    <n v="2325442766402050"/>
    <n v="23258942"/>
    <s v="success"/>
    <n v="67"/>
    <n v="23258941"/>
    <n v="23258942"/>
    <n v="46517883"/>
    <n v="23258942"/>
    <n v="2"/>
    <n v="1"/>
    <n v="34.4666"/>
    <n v="1488572256"/>
    <m/>
    <m/>
    <m/>
    <s v="894 30082"/>
    <m/>
    <m/>
    <m/>
    <m/>
    <m/>
    <m/>
    <n v="286874581"/>
    <n v="0"/>
    <n v="31873846"/>
    <n v="286874581"/>
    <n v="318748427"/>
    <n v="9562486"/>
    <n v="0"/>
    <n v="1062461"/>
    <n v="9562486"/>
    <n v="10624947"/>
    <n v="92.876800000000003"/>
    <n v="45.421399999999998"/>
    <n v="12585.8"/>
    <m/>
    <n v="4141"/>
    <n v="1335"/>
    <x v="2"/>
    <n v="0"/>
  </r>
  <r>
    <s v="istree_exp9_zipf/step10058.txt"/>
    <x v="3"/>
    <m/>
    <s v="reclaimer_debra"/>
    <s v="allocator_new"/>
    <s v="pool_none"/>
    <n v="30000"/>
    <n v="5"/>
    <n v="5"/>
    <n v="0"/>
    <n v="1"/>
    <n v="200000000"/>
    <n v="96"/>
    <x v="2"/>
    <n v="96"/>
    <n v="0"/>
    <s v="insertIfAbsent"/>
    <n v="3516357987978790"/>
    <n v="35164859"/>
    <n v="3516357987978790"/>
    <n v="35164859"/>
    <s v="success"/>
    <n v="66"/>
    <n v="35164858"/>
    <n v="35164859"/>
    <n v="70329717"/>
    <n v="35164859"/>
    <n v="2"/>
    <n v="1"/>
    <n v="34.254100000000001"/>
    <n v="2250550944"/>
    <m/>
    <m/>
    <m/>
    <s v="226 15090"/>
    <m/>
    <m/>
    <m/>
    <m/>
    <m/>
    <m/>
    <n v="590298601"/>
    <n v="0"/>
    <n v="65585905"/>
    <n v="590298601"/>
    <n v="655884506"/>
    <n v="19676620"/>
    <n v="0"/>
    <n v="2186196"/>
    <n v="19676620"/>
    <n v="21862816"/>
    <n v="97.022400000000005"/>
    <n v="52.801200000000001"/>
    <n v="12208.7"/>
    <m/>
    <n v="4923"/>
    <n v="883"/>
    <x v="2"/>
    <n v="0"/>
  </r>
  <r>
    <s v="istree_exp9_zipf/step10059.txt"/>
    <x v="3"/>
    <m/>
    <s v="reclaimer_debra"/>
    <s v="allocator_new"/>
    <s v="pool_none"/>
    <n v="30000"/>
    <n v="5"/>
    <n v="5"/>
    <n v="0"/>
    <n v="1"/>
    <n v="200000000"/>
    <n v="144"/>
    <x v="3"/>
    <n v="144"/>
    <n v="0"/>
    <s v="insertIfAbsent"/>
    <n v="4397745472570130"/>
    <n v="43973122"/>
    <n v="4397745472570130"/>
    <n v="43973122"/>
    <s v="success"/>
    <n v="71"/>
    <n v="43973121"/>
    <n v="43973122"/>
    <n v="87946243"/>
    <n v="43973122"/>
    <n v="2"/>
    <n v="1"/>
    <n v="34.655099999999997"/>
    <n v="2814279776"/>
    <m/>
    <m/>
    <m/>
    <s v="162 9516"/>
    <m/>
    <m/>
    <m/>
    <m/>
    <m/>
    <m/>
    <n v="853127825"/>
    <n v="0"/>
    <n v="94805261"/>
    <n v="853127825"/>
    <n v="947933086"/>
    <n v="28437594"/>
    <n v="0"/>
    <n v="3160175"/>
    <n v="28437594"/>
    <n v="31597769"/>
    <n v="98.759399999999999"/>
    <n v="54.980899999999998"/>
    <n v="12669.5"/>
    <m/>
    <n v="5508"/>
    <n v="524"/>
    <x v="2"/>
    <n v="0"/>
  </r>
  <r>
    <s v="istree_exp9_zipf/step10060.txt"/>
    <x v="3"/>
    <m/>
    <s v="reclaimer_debra"/>
    <s v="allocator_new"/>
    <s v="pool_none"/>
    <n v="30000"/>
    <n v="5"/>
    <n v="5"/>
    <n v="0"/>
    <n v="1"/>
    <n v="200000000"/>
    <n v="190"/>
    <x v="4"/>
    <n v="190"/>
    <n v="0"/>
    <s v="insertIfAbsent"/>
    <n v="5092771034384370"/>
    <n v="50922436"/>
    <n v="5092771034384370"/>
    <n v="50922436"/>
    <s v="success"/>
    <n v="64"/>
    <n v="50922435"/>
    <n v="50922436"/>
    <n v="101844871"/>
    <n v="50922436"/>
    <n v="2"/>
    <n v="1"/>
    <n v="34.248600000000003"/>
    <n v="3259035872"/>
    <m/>
    <m/>
    <m/>
    <s v="120 7202"/>
    <m/>
    <m/>
    <m/>
    <m/>
    <m/>
    <m/>
    <n v="1091321807"/>
    <n v="0"/>
    <n v="121269011"/>
    <n v="1091321807"/>
    <n v="1212590818"/>
    <n v="36377393"/>
    <n v="0"/>
    <n v="4042300"/>
    <n v="36377393"/>
    <n v="40419693"/>
    <n v="99.980999999999995"/>
    <n v="56.212499999999999"/>
    <n v="13058"/>
    <m/>
    <n v="5969"/>
    <n v="537"/>
    <x v="2"/>
    <n v="0"/>
  </r>
  <r>
    <m/>
    <x v="4"/>
    <m/>
    <m/>
    <m/>
    <m/>
    <m/>
    <m/>
    <m/>
    <m/>
    <m/>
    <m/>
    <m/>
    <x v="5"/>
    <m/>
    <m/>
    <m/>
    <m/>
    <m/>
    <m/>
    <m/>
    <m/>
    <m/>
    <m/>
    <m/>
    <m/>
    <m/>
    <m/>
    <m/>
    <m/>
    <m/>
    <m/>
    <m/>
    <m/>
    <m/>
    <m/>
    <m/>
    <m/>
    <m/>
    <m/>
    <m/>
    <m/>
    <m/>
    <m/>
    <m/>
    <m/>
    <m/>
    <m/>
    <m/>
    <m/>
    <m/>
    <m/>
    <m/>
    <m/>
    <m/>
    <m/>
    <m/>
    <x v="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Main" cacheId="14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8">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axis="axisPage" showAll="0" defaultSubtotal="0">
      <items count="4">
        <item x="3"/>
        <item x="0"/>
        <item x="1"/>
        <item x="2"/>
      </items>
    </pivotField>
  </pivotFields>
  <rowFields count="1">
    <field x="13"/>
  </rowFields>
  <rowItems count="5">
    <i>
      <x v="1"/>
    </i>
    <i>
      <x v="2"/>
    </i>
    <i>
      <x v="3"/>
    </i>
    <i>
      <x v="4"/>
    </i>
    <i>
      <x v="5"/>
    </i>
  </rowItems>
  <colFields count="1">
    <field x="1"/>
  </colFields>
  <colItems count="4">
    <i>
      <x v="1"/>
    </i>
    <i>
      <x v="2"/>
    </i>
    <i>
      <x v="3"/>
    </i>
    <i>
      <x v="4"/>
    </i>
  </colItems>
  <pageFields count="1">
    <pageField fld="57" hier="-1"/>
  </pageFields>
  <dataFields count="1">
    <dataField name="Average of maxresident_mb" fld="55" subtotal="average" baseField="13" baseItem="3"/>
  </dataFields>
  <formats count="2">
    <format dxfId="17">
      <pivotArea outline="0" collapsedLevelsAreSubtotals="1" fieldPosition="0"/>
    </format>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Main" cacheId="14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8">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4">
        <item x="3"/>
        <item x="0"/>
        <item x="1"/>
        <item x="2"/>
      </items>
    </pivotField>
  </pivotFields>
  <rowFields count="1">
    <field x="13"/>
  </rowFields>
  <rowItems count="5">
    <i>
      <x v="1"/>
    </i>
    <i>
      <x v="2"/>
    </i>
    <i>
      <x v="3"/>
    </i>
    <i>
      <x v="4"/>
    </i>
    <i>
      <x v="5"/>
    </i>
  </rowItems>
  <colFields count="1">
    <field x="1"/>
  </colFields>
  <colItems count="4">
    <i>
      <x v="1"/>
    </i>
    <i>
      <x v="2"/>
    </i>
    <i>
      <x v="3"/>
    </i>
    <i>
      <x v="4"/>
    </i>
  </colItems>
  <pageFields count="1">
    <pageField fld="57" hier="-1"/>
  </pageFields>
  <dataFields count="1">
    <dataField name="Average of PAPI_TOT_CYC" fld="53" subtotal="average" baseField="13" baseItem="1"/>
  </dataFields>
  <formats count="2">
    <format dxfId="15">
      <pivotArea outline="0" collapsedLevelsAreSubtotals="1" fieldPosition="0"/>
    </format>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80DCC95-15A4-4AE8-A8F7-22211D8C536C}" name="PivotTableMax" cacheId="147"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65:E71" firstHeaderRow="1" firstDataRow="2" firstDataCol="1" rowPageCount="1" colPageCount="1"/>
  <pivotFields count="59">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4">
        <item x="3"/>
        <item x="0"/>
        <item x="1"/>
        <item x="2"/>
      </items>
    </pivotField>
    <pivotField showAll="0"/>
  </pivotFields>
  <rowFields count="1">
    <field x="13"/>
  </rowFields>
  <rowItems count="5">
    <i>
      <x v="1"/>
    </i>
    <i>
      <x v="2"/>
    </i>
    <i>
      <x v="3"/>
    </i>
    <i>
      <x v="4"/>
    </i>
    <i>
      <x v="5"/>
    </i>
  </rowItems>
  <colFields count="1">
    <field x="1"/>
  </colFields>
  <colItems count="4">
    <i>
      <x v="1"/>
    </i>
    <i>
      <x v="2"/>
    </i>
    <i>
      <x v="3"/>
    </i>
    <i>
      <x v="4"/>
    </i>
  </colItems>
  <pageFields count="1">
    <pageField fld="57" item="3" hier="-1"/>
  </pageFields>
  <dataFields count="1">
    <dataField name="Max of total_throughput" fld="50" subtotal="max" baseField="13" baseItem="2" numFmtId="1"/>
  </dataFields>
  <formats count="2">
    <format dxfId="9">
      <pivotArea outline="0" collapsedLevelsAreSubtotals="1" fieldPosition="0"/>
    </format>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137FFF5-E0F6-4683-A821-CE0791C1E4F2}" name="PivotTableMin" cacheId="147"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38:E44" firstHeaderRow="1" firstDataRow="2" firstDataCol="1" rowPageCount="1" colPageCount="1"/>
  <pivotFields count="59">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4">
        <item x="3"/>
        <item x="0"/>
        <item x="1"/>
        <item x="2"/>
      </items>
    </pivotField>
    <pivotField showAll="0"/>
  </pivotFields>
  <rowFields count="1">
    <field x="13"/>
  </rowFields>
  <rowItems count="5">
    <i>
      <x v="1"/>
    </i>
    <i>
      <x v="2"/>
    </i>
    <i>
      <x v="3"/>
    </i>
    <i>
      <x v="4"/>
    </i>
    <i>
      <x v="5"/>
    </i>
  </rowItems>
  <colFields count="1">
    <field x="1"/>
  </colFields>
  <colItems count="4">
    <i>
      <x v="1"/>
    </i>
    <i>
      <x v="2"/>
    </i>
    <i>
      <x v="3"/>
    </i>
    <i>
      <x v="4"/>
    </i>
  </colItems>
  <pageFields count="1">
    <pageField fld="57" item="3" hier="-1"/>
  </pageFields>
  <dataFields count="1">
    <dataField name="Min of total_throughput" fld="50" subtotal="min" baseField="13" baseItem="1" numFmtId="1"/>
  </dataFields>
  <formats count="2">
    <format dxfId="11">
      <pivotArea outline="0" collapsedLevelsAreSubtotals="1" fieldPosition="0"/>
    </format>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CE70E82-92BC-45FF-9DC9-3D7FAA75CB50}" name="PivotTableMain" cacheId="147"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9">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4">
        <item x="3"/>
        <item x="0"/>
        <item x="1"/>
        <item x="2"/>
      </items>
    </pivotField>
    <pivotField showAll="0"/>
  </pivotFields>
  <rowFields count="1">
    <field x="13"/>
  </rowFields>
  <rowItems count="5">
    <i>
      <x v="1"/>
    </i>
    <i>
      <x v="2"/>
    </i>
    <i>
      <x v="3"/>
    </i>
    <i>
      <x v="4"/>
    </i>
    <i>
      <x v="5"/>
    </i>
  </rowItems>
  <colFields count="1">
    <field x="1"/>
  </colFields>
  <colItems count="4">
    <i>
      <x v="1"/>
    </i>
    <i>
      <x v="2"/>
    </i>
    <i>
      <x v="3"/>
    </i>
    <i>
      <x v="4"/>
    </i>
  </colItems>
  <pageFields count="1">
    <pageField fld="57" item="3" hier="-1"/>
  </pageFields>
  <dataFields count="1">
    <dataField name="Average of total_throughput" fld="50" subtotal="average" baseField="13" baseItem="0" numFmtId="1"/>
  </dataFields>
  <formats count="2">
    <format dxfId="13">
      <pivotArea outline="0" collapsedLevelsAreSubtotals="1" fieldPosition="0"/>
    </format>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Main" cacheId="14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8">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4">
        <item x="3"/>
        <item x="0"/>
        <item x="1"/>
        <item x="2"/>
      </items>
    </pivotField>
  </pivotFields>
  <rowFields count="1">
    <field x="13"/>
  </rowFields>
  <rowItems count="5">
    <i>
      <x v="1"/>
    </i>
    <i>
      <x v="2"/>
    </i>
    <i>
      <x v="3"/>
    </i>
    <i>
      <x v="4"/>
    </i>
    <i>
      <x v="5"/>
    </i>
  </rowItems>
  <colFields count="1">
    <field x="1"/>
  </colFields>
  <colItems count="4">
    <i>
      <x v="1"/>
    </i>
    <i>
      <x v="2"/>
    </i>
    <i>
      <x v="3"/>
    </i>
    <i>
      <x v="4"/>
    </i>
  </colItems>
  <pageFields count="1">
    <pageField fld="57" hier="-1"/>
  </pageFields>
  <dataFields count="1">
    <dataField name="Average of tree_stats_height" fld="22" subtotal="average" baseField="13" baseItem="3"/>
  </data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Main" cacheId="14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58">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axis="axisPage" showAll="0" defaultSubtotal="0">
      <items count="4">
        <item x="3"/>
        <item x="0"/>
        <item x="1"/>
        <item x="2"/>
      </items>
    </pivotField>
  </pivotFields>
  <rowFields count="1">
    <field x="13"/>
  </rowFields>
  <rowItems count="5">
    <i>
      <x v="1"/>
    </i>
    <i>
      <x v="2"/>
    </i>
    <i>
      <x v="3"/>
    </i>
    <i>
      <x v="4"/>
    </i>
    <i>
      <x v="5"/>
    </i>
  </rowItems>
  <colFields count="1">
    <field x="1"/>
  </colFields>
  <colItems count="4">
    <i>
      <x v="1"/>
    </i>
    <i>
      <x v="2"/>
    </i>
    <i>
      <x v="3"/>
    </i>
    <i>
      <x v="4"/>
    </i>
  </colItems>
  <pageFields count="1">
    <pageField fld="57" hier="-1"/>
  </pageFields>
  <dataFields count="1">
    <dataField name="Average of prefill_elapsed_ms" fld="56" subtotal="average" baseField="13" baseItem="3"/>
  </dataFields>
  <formats count="2">
    <format dxfId="5">
      <pivotArea outline="0" collapsedLevelsAreSubtotals="1" fieldPosition="0"/>
    </format>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PivotTableOther" cacheId="14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4:B48" firstHeaderRow="1" firstDataRow="1" firstDataCol="1" rowPageCount="2" colPageCount="1"/>
  <pivotFields count="58">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axis="axisPage" showAll="0" defaultSubtotal="0">
      <items count="4">
        <item x="3"/>
        <item x="0"/>
        <item x="1"/>
        <item x="2"/>
      </items>
    </pivotField>
  </pivotFields>
  <rowFields count="1">
    <field x="1"/>
  </rowFields>
  <rowItems count="4">
    <i>
      <x v="1"/>
    </i>
    <i>
      <x v="2"/>
    </i>
    <i>
      <x v="3"/>
    </i>
    <i>
      <x v="4"/>
    </i>
  </rowItems>
  <colItems count="1">
    <i/>
  </colItems>
  <pageFields count="2">
    <pageField fld="13" item="5" hier="-1"/>
    <pageField fld="57" hier="-1"/>
  </pageFields>
  <dataFields count="1">
    <dataField name="Average of PAPI_RES_STL" fld="54" subtotal="average" baseField="13" baseItem="2"/>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Main" cacheId="142"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B8" firstHeaderRow="1" firstDataRow="1" firstDataCol="1" rowPageCount="2" colPageCount="1"/>
  <pivotFields count="58">
    <pivotField showAll="0" defaultSubtotal="0"/>
    <pivotField axis="axisRow"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axis="axisPage" showAll="0" defaultSubtotal="0">
      <items count="4">
        <item x="3"/>
        <item x="0"/>
        <item x="1"/>
        <item x="2"/>
      </items>
    </pivotField>
  </pivotFields>
  <rowFields count="1">
    <field x="1"/>
  </rowFields>
  <rowItems count="4">
    <i>
      <x v="1"/>
    </i>
    <i>
      <x v="2"/>
    </i>
    <i>
      <x v="3"/>
    </i>
    <i>
      <x v="4"/>
    </i>
  </rowItems>
  <colItems count="1">
    <i/>
  </colItems>
  <pageFields count="2">
    <pageField fld="13" item="5" hier="-1"/>
    <pageField fld="57" hier="-1"/>
  </pageFields>
  <dataFields count="1">
    <dataField name="Average of PAPI_TOT_CYC" fld="53" subtotal="average" baseField="13" baseItem="3"/>
  </dataFields>
  <formats count="2">
    <format dxfId="3">
      <pivotArea outline="0" collapsedLevelsAreSubtotals="1" fieldPosition="0"/>
    </format>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2" growShrinkType="overwriteClear" connectionId="1" xr16:uid="{00000000-0016-0000-0100-000003000000}"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1" growShrinkType="overwriteClear" connectionId="4" xr16:uid="{00000000-0016-0000-0100-000002000000}"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4" growShrinkType="overwriteClear" connectionId="3" xr16:uid="{00000000-0016-0000-0100-000001000000}"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3" growShrinkType="overwriteClear" connectionId="2" xr16:uid="{00000000-0016-0000-0100-000000000000}"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B5A886"/>
      </a:dk1>
      <a:lt1>
        <a:sysClr val="window" lastClr="3F3A2D"/>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G61"/>
  <sheetViews>
    <sheetView workbookViewId="0">
      <pane ySplit="1" topLeftCell="A2" activePane="bottomLeft" state="frozen"/>
      <selection pane="bottomLeft" activeCell="BG1" sqref="BG1"/>
    </sheetView>
  </sheetViews>
  <sheetFormatPr defaultRowHeight="14.6"/>
  <cols>
    <col min="1" max="1" width="25.92187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10.84375" bestFit="1"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14.765625" bestFit="1" customWidth="1"/>
    <col min="48" max="48" width="16.3828125" bestFit="1" customWidth="1"/>
  </cols>
  <sheetData>
    <row r="1" spans="1:59">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70</v>
      </c>
      <c r="S1" t="s">
        <v>71</v>
      </c>
      <c r="T1" t="s">
        <v>45</v>
      </c>
      <c r="U1" t="s">
        <v>72</v>
      </c>
      <c r="V1" t="s">
        <v>73</v>
      </c>
      <c r="W1" t="s">
        <v>37</v>
      </c>
      <c r="X1" t="s">
        <v>38</v>
      </c>
      <c r="Y1" t="s">
        <v>39</v>
      </c>
      <c r="Z1" t="s">
        <v>40</v>
      </c>
      <c r="AA1" t="s">
        <v>41</v>
      </c>
      <c r="AB1" t="s">
        <v>42</v>
      </c>
      <c r="AC1" t="s">
        <v>43</v>
      </c>
      <c r="AD1" t="s">
        <v>44</v>
      </c>
      <c r="AE1" t="s">
        <v>77</v>
      </c>
      <c r="AF1" t="s">
        <v>78</v>
      </c>
      <c r="AG1" t="s">
        <v>79</v>
      </c>
      <c r="AH1" t="s">
        <v>80</v>
      </c>
      <c r="AI1" t="s">
        <v>81</v>
      </c>
      <c r="AJ1" t="s">
        <v>101</v>
      </c>
      <c r="AK1" t="s">
        <v>102</v>
      </c>
      <c r="AL1" t="s">
        <v>103</v>
      </c>
      <c r="AM1" t="s">
        <v>104</v>
      </c>
      <c r="AN1" t="s">
        <v>105</v>
      </c>
      <c r="AO1" t="s">
        <v>106</v>
      </c>
      <c r="AP1" t="s">
        <v>46</v>
      </c>
      <c r="AQ1" t="s">
        <v>47</v>
      </c>
      <c r="AR1" t="s">
        <v>48</v>
      </c>
      <c r="AS1" t="s">
        <v>49</v>
      </c>
      <c r="AT1" t="s">
        <v>50</v>
      </c>
      <c r="AU1" t="s">
        <v>51</v>
      </c>
      <c r="AV1" t="s">
        <v>52</v>
      </c>
      <c r="AW1" t="s">
        <v>53</v>
      </c>
      <c r="AX1" t="s">
        <v>54</v>
      </c>
      <c r="AY1" t="s">
        <v>55</v>
      </c>
      <c r="AZ1" t="s">
        <v>56</v>
      </c>
      <c r="BA1" t="s">
        <v>57</v>
      </c>
      <c r="BB1" t="s">
        <v>58</v>
      </c>
      <c r="BC1" t="s">
        <v>82</v>
      </c>
      <c r="BD1" t="s">
        <v>75</v>
      </c>
      <c r="BE1" t="s">
        <v>76</v>
      </c>
      <c r="BF1" t="s">
        <v>68</v>
      </c>
      <c r="BG1" t="s">
        <v>100</v>
      </c>
    </row>
    <row r="2" spans="1:59">
      <c r="A2" t="s">
        <v>107</v>
      </c>
      <c r="B2" t="s">
        <v>63</v>
      </c>
      <c r="C2">
        <v>72</v>
      </c>
      <c r="D2" t="s">
        <v>64</v>
      </c>
      <c r="E2" t="s">
        <v>59</v>
      </c>
      <c r="F2" t="s">
        <v>60</v>
      </c>
      <c r="G2">
        <v>30000</v>
      </c>
      <c r="H2">
        <v>0</v>
      </c>
      <c r="I2">
        <v>0</v>
      </c>
      <c r="J2">
        <v>0</v>
      </c>
      <c r="K2">
        <v>1</v>
      </c>
      <c r="L2">
        <v>200000000</v>
      </c>
      <c r="M2">
        <v>24</v>
      </c>
      <c r="N2">
        <v>24</v>
      </c>
      <c r="O2">
        <v>24</v>
      </c>
      <c r="P2">
        <v>0</v>
      </c>
      <c r="Q2" t="s">
        <v>61</v>
      </c>
      <c r="R2">
        <v>1000072427298130</v>
      </c>
      <c r="S2">
        <v>10000000</v>
      </c>
      <c r="T2">
        <v>1000072427298130</v>
      </c>
      <c r="U2">
        <v>10000000</v>
      </c>
      <c r="V2" t="s">
        <v>74</v>
      </c>
      <c r="W2">
        <v>6</v>
      </c>
      <c r="X2">
        <v>1625784</v>
      </c>
      <c r="Y2">
        <v>11442328</v>
      </c>
      <c r="Z2">
        <v>13068112</v>
      </c>
      <c r="AA2">
        <v>10000000</v>
      </c>
      <c r="AB2">
        <v>8.0380400000000005</v>
      </c>
      <c r="AC2">
        <v>0.87394799999999995</v>
      </c>
      <c r="AD2">
        <v>4</v>
      </c>
      <c r="AE2">
        <v>313139952</v>
      </c>
      <c r="AI2">
        <v>127992</v>
      </c>
      <c r="AP2">
        <v>348239620</v>
      </c>
      <c r="AQ2">
        <v>0</v>
      </c>
      <c r="AR2">
        <v>0</v>
      </c>
      <c r="AS2">
        <v>348239620</v>
      </c>
      <c r="AT2">
        <v>348239620</v>
      </c>
      <c r="AU2">
        <v>11607987</v>
      </c>
      <c r="AV2">
        <v>0</v>
      </c>
      <c r="AW2">
        <v>0</v>
      </c>
      <c r="AX2">
        <v>11607987</v>
      </c>
      <c r="AY2">
        <v>11607987</v>
      </c>
      <c r="AZ2">
        <v>85.353499999999997</v>
      </c>
      <c r="BA2">
        <v>45.146099999999997</v>
      </c>
      <c r="BB2">
        <v>5760.71</v>
      </c>
      <c r="BD2">
        <v>5917</v>
      </c>
      <c r="BE2">
        <v>1439</v>
      </c>
      <c r="BF2" t="str">
        <f>"u="&amp;(H2+I2)&amp;"%, k=2x10^"&amp;LOG10(L2/2)</f>
        <v>u=0%, k=2x10^8</v>
      </c>
      <c r="BG2">
        <f>IF(AH2="",0,LEFT(AH2,IF(ISNUMBER(FIND(" ",AH2)),FIND(" ",AH2)-1,LEN(AH2))))</f>
        <v>0</v>
      </c>
    </row>
    <row r="3" spans="1:59">
      <c r="A3" t="s">
        <v>108</v>
      </c>
      <c r="B3" t="s">
        <v>63</v>
      </c>
      <c r="C3">
        <v>72</v>
      </c>
      <c r="D3" t="s">
        <v>64</v>
      </c>
      <c r="E3" t="s">
        <v>59</v>
      </c>
      <c r="F3" t="s">
        <v>60</v>
      </c>
      <c r="G3">
        <v>30000</v>
      </c>
      <c r="H3">
        <v>0</v>
      </c>
      <c r="I3">
        <v>0</v>
      </c>
      <c r="J3">
        <v>0</v>
      </c>
      <c r="K3">
        <v>1</v>
      </c>
      <c r="L3">
        <v>200000000</v>
      </c>
      <c r="M3">
        <v>48</v>
      </c>
      <c r="N3">
        <v>48</v>
      </c>
      <c r="O3">
        <v>48</v>
      </c>
      <c r="P3">
        <v>0</v>
      </c>
      <c r="Q3" t="s">
        <v>61</v>
      </c>
      <c r="R3">
        <v>1000106748298940</v>
      </c>
      <c r="S3">
        <v>10000000</v>
      </c>
      <c r="T3">
        <v>1000106748298940</v>
      </c>
      <c r="U3">
        <v>10000000</v>
      </c>
      <c r="V3" t="s">
        <v>74</v>
      </c>
      <c r="W3">
        <v>6</v>
      </c>
      <c r="X3">
        <v>1625784</v>
      </c>
      <c r="Y3">
        <v>11442328</v>
      </c>
      <c r="Z3">
        <v>13068112</v>
      </c>
      <c r="AA3">
        <v>10000000</v>
      </c>
      <c r="AB3">
        <v>8.0380400000000005</v>
      </c>
      <c r="AC3">
        <v>0.87394799999999995</v>
      </c>
      <c r="AD3">
        <v>4</v>
      </c>
      <c r="AE3">
        <v>313139952</v>
      </c>
      <c r="AI3">
        <v>54744</v>
      </c>
      <c r="AP3">
        <v>607697853</v>
      </c>
      <c r="AQ3">
        <v>0</v>
      </c>
      <c r="AR3">
        <v>0</v>
      </c>
      <c r="AS3">
        <v>607697853</v>
      </c>
      <c r="AT3">
        <v>607697853</v>
      </c>
      <c r="AU3">
        <v>20256595</v>
      </c>
      <c r="AV3">
        <v>0</v>
      </c>
      <c r="AW3">
        <v>0</v>
      </c>
      <c r="AX3">
        <v>20256595</v>
      </c>
      <c r="AY3">
        <v>20256595</v>
      </c>
      <c r="AZ3">
        <v>74.083699999999993</v>
      </c>
      <c r="BA3">
        <v>38.209499999999998</v>
      </c>
      <c r="BB3">
        <v>6561.24</v>
      </c>
      <c r="BD3">
        <v>5925</v>
      </c>
      <c r="BE3">
        <v>1262</v>
      </c>
      <c r="BF3" t="str">
        <f t="shared" ref="BF3:BF61" si="0">"u="&amp;(H3+I3)&amp;"%, k=2x10^"&amp;LOG10(L3/2)</f>
        <v>u=0%, k=2x10^8</v>
      </c>
      <c r="BG3">
        <f t="shared" ref="BG3:BG61" si="1">IF(AH3="",0,LEFT(AH3,IF(ISNUMBER(FIND(" ",AH3)),FIND(" ",AH3)-1,LEN(AH3))))</f>
        <v>0</v>
      </c>
    </row>
    <row r="4" spans="1:59">
      <c r="A4" t="s">
        <v>109</v>
      </c>
      <c r="B4" t="s">
        <v>63</v>
      </c>
      <c r="C4">
        <v>72</v>
      </c>
      <c r="D4" t="s">
        <v>64</v>
      </c>
      <c r="E4" t="s">
        <v>59</v>
      </c>
      <c r="F4" t="s">
        <v>60</v>
      </c>
      <c r="G4">
        <v>30000</v>
      </c>
      <c r="H4">
        <v>0</v>
      </c>
      <c r="I4">
        <v>0</v>
      </c>
      <c r="J4">
        <v>0</v>
      </c>
      <c r="K4">
        <v>1</v>
      </c>
      <c r="L4">
        <v>200000000</v>
      </c>
      <c r="M4">
        <v>96</v>
      </c>
      <c r="N4">
        <v>96</v>
      </c>
      <c r="O4">
        <v>96</v>
      </c>
      <c r="P4">
        <v>0</v>
      </c>
      <c r="Q4" t="s">
        <v>61</v>
      </c>
      <c r="R4">
        <v>999878713333255</v>
      </c>
      <c r="S4">
        <v>10000000</v>
      </c>
      <c r="T4">
        <v>999878713333255</v>
      </c>
      <c r="U4">
        <v>10000000</v>
      </c>
      <c r="V4" t="s">
        <v>74</v>
      </c>
      <c r="W4">
        <v>6</v>
      </c>
      <c r="X4">
        <v>1625784</v>
      </c>
      <c r="Y4">
        <v>11442328</v>
      </c>
      <c r="Z4">
        <v>13068112</v>
      </c>
      <c r="AA4">
        <v>10000000</v>
      </c>
      <c r="AB4">
        <v>8.0380400000000005</v>
      </c>
      <c r="AC4">
        <v>0.87394799999999995</v>
      </c>
      <c r="AD4">
        <v>4</v>
      </c>
      <c r="AE4">
        <v>313139952</v>
      </c>
      <c r="AI4">
        <v>25188</v>
      </c>
      <c r="AP4">
        <v>1127782411</v>
      </c>
      <c r="AQ4">
        <v>0</v>
      </c>
      <c r="AR4">
        <v>0</v>
      </c>
      <c r="AS4">
        <v>1127782411</v>
      </c>
      <c r="AT4">
        <v>1127782411</v>
      </c>
      <c r="AU4">
        <v>37592747</v>
      </c>
      <c r="AV4">
        <v>0</v>
      </c>
      <c r="AW4">
        <v>0</v>
      </c>
      <c r="AX4">
        <v>37592747</v>
      </c>
      <c r="AY4">
        <v>37592747</v>
      </c>
      <c r="AZ4">
        <v>78.511099999999999</v>
      </c>
      <c r="BA4">
        <v>44.786700000000003</v>
      </c>
      <c r="BB4">
        <v>7073.53</v>
      </c>
      <c r="BD4">
        <v>5940</v>
      </c>
      <c r="BE4">
        <v>1105</v>
      </c>
      <c r="BF4" t="str">
        <f t="shared" si="0"/>
        <v>u=0%, k=2x10^8</v>
      </c>
      <c r="BG4">
        <f t="shared" si="1"/>
        <v>0</v>
      </c>
    </row>
    <row r="5" spans="1:59">
      <c r="A5" t="s">
        <v>110</v>
      </c>
      <c r="B5" t="s">
        <v>63</v>
      </c>
      <c r="C5">
        <v>72</v>
      </c>
      <c r="D5" t="s">
        <v>64</v>
      </c>
      <c r="E5" t="s">
        <v>59</v>
      </c>
      <c r="F5" t="s">
        <v>60</v>
      </c>
      <c r="G5">
        <v>30000</v>
      </c>
      <c r="H5">
        <v>0</v>
      </c>
      <c r="I5">
        <v>0</v>
      </c>
      <c r="J5">
        <v>0</v>
      </c>
      <c r="K5">
        <v>1</v>
      </c>
      <c r="L5">
        <v>200000000</v>
      </c>
      <c r="M5">
        <v>144</v>
      </c>
      <c r="N5">
        <v>144</v>
      </c>
      <c r="O5">
        <v>144</v>
      </c>
      <c r="P5">
        <v>0</v>
      </c>
      <c r="Q5" t="s">
        <v>61</v>
      </c>
      <c r="R5">
        <v>1000325329848810</v>
      </c>
      <c r="S5">
        <v>10000000</v>
      </c>
      <c r="T5">
        <v>1000325329848810</v>
      </c>
      <c r="U5">
        <v>10000000</v>
      </c>
      <c r="V5" t="s">
        <v>74</v>
      </c>
      <c r="W5">
        <v>6</v>
      </c>
      <c r="X5">
        <v>1625784</v>
      </c>
      <c r="Y5">
        <v>11442328</v>
      </c>
      <c r="Z5">
        <v>13068112</v>
      </c>
      <c r="AA5">
        <v>10000000</v>
      </c>
      <c r="AB5">
        <v>8.0380400000000005</v>
      </c>
      <c r="AC5">
        <v>0.87394799999999995</v>
      </c>
      <c r="AD5">
        <v>4</v>
      </c>
      <c r="AE5">
        <v>313139952</v>
      </c>
      <c r="AI5">
        <v>15144</v>
      </c>
      <c r="AP5">
        <v>1519590017</v>
      </c>
      <c r="AQ5">
        <v>0</v>
      </c>
      <c r="AR5">
        <v>0</v>
      </c>
      <c r="AS5">
        <v>1519590017</v>
      </c>
      <c r="AT5">
        <v>1519590017</v>
      </c>
      <c r="AU5">
        <v>50653000</v>
      </c>
      <c r="AV5">
        <v>0</v>
      </c>
      <c r="AW5">
        <v>0</v>
      </c>
      <c r="AX5">
        <v>50653000</v>
      </c>
      <c r="AY5">
        <v>50653000</v>
      </c>
      <c r="AZ5">
        <v>79.638099999999994</v>
      </c>
      <c r="BA5">
        <v>45.923200000000001</v>
      </c>
      <c r="BB5">
        <v>7835.78</v>
      </c>
      <c r="BD5">
        <v>5958</v>
      </c>
      <c r="BE5">
        <v>1082</v>
      </c>
      <c r="BF5" t="str">
        <f t="shared" si="0"/>
        <v>u=0%, k=2x10^8</v>
      </c>
      <c r="BG5">
        <f t="shared" si="1"/>
        <v>0</v>
      </c>
    </row>
    <row r="6" spans="1:59">
      <c r="A6" t="s">
        <v>111</v>
      </c>
      <c r="B6" t="s">
        <v>63</v>
      </c>
      <c r="C6">
        <v>72</v>
      </c>
      <c r="D6" t="s">
        <v>64</v>
      </c>
      <c r="E6" t="s">
        <v>59</v>
      </c>
      <c r="F6" t="s">
        <v>60</v>
      </c>
      <c r="G6">
        <v>30000</v>
      </c>
      <c r="H6">
        <v>0</v>
      </c>
      <c r="I6">
        <v>0</v>
      </c>
      <c r="J6">
        <v>0</v>
      </c>
      <c r="K6">
        <v>1</v>
      </c>
      <c r="L6">
        <v>200000000</v>
      </c>
      <c r="M6">
        <v>190</v>
      </c>
      <c r="N6">
        <v>190</v>
      </c>
      <c r="O6">
        <v>190</v>
      </c>
      <c r="P6">
        <v>0</v>
      </c>
      <c r="Q6" t="s">
        <v>61</v>
      </c>
      <c r="R6">
        <v>1000089117770840</v>
      </c>
      <c r="S6">
        <v>10000000</v>
      </c>
      <c r="T6">
        <v>1000089117770840</v>
      </c>
      <c r="U6">
        <v>10000000</v>
      </c>
      <c r="V6" t="s">
        <v>74</v>
      </c>
      <c r="W6">
        <v>6</v>
      </c>
      <c r="X6">
        <v>1625784</v>
      </c>
      <c r="Y6">
        <v>11442328</v>
      </c>
      <c r="Z6">
        <v>13068112</v>
      </c>
      <c r="AA6">
        <v>10000000</v>
      </c>
      <c r="AB6">
        <v>8.0380400000000005</v>
      </c>
      <c r="AC6">
        <v>0.87394799999999995</v>
      </c>
      <c r="AD6">
        <v>4</v>
      </c>
      <c r="AE6">
        <v>313139952</v>
      </c>
      <c r="AI6">
        <v>11644</v>
      </c>
      <c r="AP6">
        <v>1840087698</v>
      </c>
      <c r="AQ6">
        <v>0</v>
      </c>
      <c r="AR6">
        <v>0</v>
      </c>
      <c r="AS6">
        <v>1840087698</v>
      </c>
      <c r="AT6">
        <v>1840087698</v>
      </c>
      <c r="AU6">
        <v>61336256</v>
      </c>
      <c r="AV6">
        <v>0</v>
      </c>
      <c r="AW6">
        <v>0</v>
      </c>
      <c r="AX6">
        <v>61336256</v>
      </c>
      <c r="AY6">
        <v>61336256</v>
      </c>
      <c r="AZ6">
        <v>80.255899999999997</v>
      </c>
      <c r="BA6">
        <v>46.539900000000003</v>
      </c>
      <c r="BB6">
        <v>8545.14</v>
      </c>
      <c r="BD6">
        <v>5976</v>
      </c>
      <c r="BE6">
        <v>1223</v>
      </c>
      <c r="BF6" t="str">
        <f t="shared" si="0"/>
        <v>u=0%, k=2x10^8</v>
      </c>
      <c r="BG6">
        <f t="shared" si="1"/>
        <v>0</v>
      </c>
    </row>
    <row r="7" spans="1:59">
      <c r="A7" t="s">
        <v>112</v>
      </c>
      <c r="B7" t="s">
        <v>65</v>
      </c>
      <c r="C7">
        <v>208</v>
      </c>
      <c r="D7" t="s">
        <v>64</v>
      </c>
      <c r="E7" t="s">
        <v>59</v>
      </c>
      <c r="F7" t="s">
        <v>60</v>
      </c>
      <c r="G7">
        <v>30000</v>
      </c>
      <c r="H7">
        <v>0</v>
      </c>
      <c r="I7">
        <v>0</v>
      </c>
      <c r="J7">
        <v>0</v>
      </c>
      <c r="K7">
        <v>1</v>
      </c>
      <c r="L7">
        <v>200000000</v>
      </c>
      <c r="M7">
        <v>24</v>
      </c>
      <c r="N7">
        <v>24</v>
      </c>
      <c r="O7">
        <v>24</v>
      </c>
      <c r="P7">
        <v>0</v>
      </c>
      <c r="Q7" t="s">
        <v>61</v>
      </c>
      <c r="R7">
        <v>1000321183241480</v>
      </c>
      <c r="S7">
        <v>10000000</v>
      </c>
      <c r="T7">
        <v>1000321183241480</v>
      </c>
      <c r="U7">
        <v>10000000</v>
      </c>
      <c r="V7" t="s">
        <v>74</v>
      </c>
      <c r="W7">
        <v>9</v>
      </c>
      <c r="X7">
        <v>185114</v>
      </c>
      <c r="Y7">
        <v>1275903</v>
      </c>
      <c r="Z7">
        <v>1461017</v>
      </c>
      <c r="AA7">
        <v>10000000</v>
      </c>
      <c r="AB7">
        <v>7.8925299999999998</v>
      </c>
      <c r="AC7">
        <v>7.8375899999999996</v>
      </c>
      <c r="AD7">
        <v>8</v>
      </c>
      <c r="AE7">
        <v>303891536</v>
      </c>
      <c r="AI7" t="s">
        <v>113</v>
      </c>
      <c r="AP7">
        <v>317209308</v>
      </c>
      <c r="AQ7">
        <v>0</v>
      </c>
      <c r="AR7">
        <v>0</v>
      </c>
      <c r="AS7">
        <v>317209308</v>
      </c>
      <c r="AT7">
        <v>317209308</v>
      </c>
      <c r="AU7">
        <v>10573643</v>
      </c>
      <c r="AV7">
        <v>0</v>
      </c>
      <c r="AW7">
        <v>0</v>
      </c>
      <c r="AX7">
        <v>10573643</v>
      </c>
      <c r="AY7">
        <v>10573643</v>
      </c>
      <c r="AZ7">
        <v>89.2697</v>
      </c>
      <c r="BA7">
        <v>45.391100000000002</v>
      </c>
      <c r="BB7">
        <v>6329.61</v>
      </c>
      <c r="BD7">
        <v>2996</v>
      </c>
      <c r="BE7">
        <v>1624</v>
      </c>
      <c r="BF7" t="str">
        <f t="shared" si="0"/>
        <v>u=0%, k=2x10^8</v>
      </c>
      <c r="BG7">
        <f t="shared" si="1"/>
        <v>0</v>
      </c>
    </row>
    <row r="8" spans="1:59">
      <c r="A8" t="s">
        <v>114</v>
      </c>
      <c r="B8" t="s">
        <v>65</v>
      </c>
      <c r="C8">
        <v>208</v>
      </c>
      <c r="D8" t="s">
        <v>64</v>
      </c>
      <c r="E8" t="s">
        <v>59</v>
      </c>
      <c r="F8" t="s">
        <v>60</v>
      </c>
      <c r="G8">
        <v>30000</v>
      </c>
      <c r="H8">
        <v>0</v>
      </c>
      <c r="I8">
        <v>0</v>
      </c>
      <c r="J8">
        <v>0</v>
      </c>
      <c r="K8">
        <v>1</v>
      </c>
      <c r="L8">
        <v>200000000</v>
      </c>
      <c r="M8">
        <v>48</v>
      </c>
      <c r="N8">
        <v>48</v>
      </c>
      <c r="O8">
        <v>48</v>
      </c>
      <c r="P8">
        <v>0</v>
      </c>
      <c r="Q8" t="s">
        <v>61</v>
      </c>
      <c r="R8">
        <v>1000140719940840</v>
      </c>
      <c r="S8">
        <v>10000000</v>
      </c>
      <c r="T8">
        <v>1000140719940840</v>
      </c>
      <c r="U8">
        <v>10000000</v>
      </c>
      <c r="V8" t="s">
        <v>74</v>
      </c>
      <c r="W8">
        <v>9</v>
      </c>
      <c r="X8">
        <v>185370</v>
      </c>
      <c r="Y8">
        <v>1276129</v>
      </c>
      <c r="Z8">
        <v>1461499</v>
      </c>
      <c r="AA8">
        <v>10000000</v>
      </c>
      <c r="AB8">
        <v>7.8842299999999996</v>
      </c>
      <c r="AC8">
        <v>7.8361999999999998</v>
      </c>
      <c r="AD8">
        <v>8</v>
      </c>
      <c r="AE8">
        <v>303991792</v>
      </c>
      <c r="AI8" t="s">
        <v>115</v>
      </c>
      <c r="AP8">
        <v>560033591</v>
      </c>
      <c r="AQ8">
        <v>0</v>
      </c>
      <c r="AR8">
        <v>0</v>
      </c>
      <c r="AS8">
        <v>560033591</v>
      </c>
      <c r="AT8">
        <v>560033591</v>
      </c>
      <c r="AU8">
        <v>18667786</v>
      </c>
      <c r="AV8">
        <v>0</v>
      </c>
      <c r="AW8">
        <v>0</v>
      </c>
      <c r="AX8">
        <v>18667786</v>
      </c>
      <c r="AY8">
        <v>18667786</v>
      </c>
      <c r="AZ8">
        <v>80.114000000000004</v>
      </c>
      <c r="BA8">
        <v>38.663200000000003</v>
      </c>
      <c r="BB8">
        <v>7145.99</v>
      </c>
      <c r="BD8">
        <v>3040</v>
      </c>
      <c r="BE8">
        <v>1278</v>
      </c>
      <c r="BF8" t="str">
        <f t="shared" si="0"/>
        <v>u=0%, k=2x10^8</v>
      </c>
      <c r="BG8">
        <f t="shared" si="1"/>
        <v>0</v>
      </c>
    </row>
    <row r="9" spans="1:59">
      <c r="A9" t="s">
        <v>116</v>
      </c>
      <c r="B9" t="s">
        <v>65</v>
      </c>
      <c r="C9">
        <v>208</v>
      </c>
      <c r="D9" t="s">
        <v>64</v>
      </c>
      <c r="E9" t="s">
        <v>59</v>
      </c>
      <c r="F9" t="s">
        <v>60</v>
      </c>
      <c r="G9">
        <v>30000</v>
      </c>
      <c r="H9">
        <v>0</v>
      </c>
      <c r="I9">
        <v>0</v>
      </c>
      <c r="J9">
        <v>0</v>
      </c>
      <c r="K9">
        <v>1</v>
      </c>
      <c r="L9">
        <v>200000000</v>
      </c>
      <c r="M9">
        <v>96</v>
      </c>
      <c r="N9">
        <v>96</v>
      </c>
      <c r="O9">
        <v>96</v>
      </c>
      <c r="P9">
        <v>0</v>
      </c>
      <c r="Q9" t="s">
        <v>61</v>
      </c>
      <c r="R9">
        <v>1000104241175390</v>
      </c>
      <c r="S9">
        <v>10000000</v>
      </c>
      <c r="T9">
        <v>1000104241175390</v>
      </c>
      <c r="U9">
        <v>10000000</v>
      </c>
      <c r="V9" t="s">
        <v>74</v>
      </c>
      <c r="W9">
        <v>9</v>
      </c>
      <c r="X9">
        <v>185381</v>
      </c>
      <c r="Y9">
        <v>1276256</v>
      </c>
      <c r="Z9">
        <v>1461637</v>
      </c>
      <c r="AA9">
        <v>10000000</v>
      </c>
      <c r="AB9">
        <v>7.8845000000000001</v>
      </c>
      <c r="AC9">
        <v>7.8354200000000001</v>
      </c>
      <c r="AD9">
        <v>8</v>
      </c>
      <c r="AE9">
        <v>304020496</v>
      </c>
      <c r="AI9" t="s">
        <v>117</v>
      </c>
      <c r="AP9">
        <v>1079931734</v>
      </c>
      <c r="AQ9">
        <v>0</v>
      </c>
      <c r="AR9">
        <v>0</v>
      </c>
      <c r="AS9">
        <v>1079931734</v>
      </c>
      <c r="AT9">
        <v>1079931734</v>
      </c>
      <c r="AU9">
        <v>35997724</v>
      </c>
      <c r="AV9">
        <v>0</v>
      </c>
      <c r="AW9">
        <v>0</v>
      </c>
      <c r="AX9">
        <v>35997724</v>
      </c>
      <c r="AY9">
        <v>35997724</v>
      </c>
      <c r="AZ9">
        <v>83.699100000000001</v>
      </c>
      <c r="BA9">
        <v>46.2851</v>
      </c>
      <c r="BB9">
        <v>7388.14</v>
      </c>
      <c r="BD9">
        <v>3112</v>
      </c>
      <c r="BE9">
        <v>1140</v>
      </c>
      <c r="BF9" t="str">
        <f t="shared" si="0"/>
        <v>u=0%, k=2x10^8</v>
      </c>
      <c r="BG9">
        <f t="shared" si="1"/>
        <v>0</v>
      </c>
    </row>
    <row r="10" spans="1:59">
      <c r="A10" t="s">
        <v>118</v>
      </c>
      <c r="B10" t="s">
        <v>65</v>
      </c>
      <c r="C10">
        <v>208</v>
      </c>
      <c r="D10" t="s">
        <v>64</v>
      </c>
      <c r="E10" t="s">
        <v>59</v>
      </c>
      <c r="F10" t="s">
        <v>60</v>
      </c>
      <c r="G10">
        <v>30000</v>
      </c>
      <c r="H10">
        <v>0</v>
      </c>
      <c r="I10">
        <v>0</v>
      </c>
      <c r="J10">
        <v>0</v>
      </c>
      <c r="K10">
        <v>1</v>
      </c>
      <c r="L10">
        <v>200000000</v>
      </c>
      <c r="M10">
        <v>144</v>
      </c>
      <c r="N10">
        <v>144</v>
      </c>
      <c r="O10">
        <v>144</v>
      </c>
      <c r="P10">
        <v>0</v>
      </c>
      <c r="Q10" t="s">
        <v>61</v>
      </c>
      <c r="R10">
        <v>999833487103664</v>
      </c>
      <c r="S10">
        <v>10000000</v>
      </c>
      <c r="T10">
        <v>999833487103664</v>
      </c>
      <c r="U10">
        <v>10000000</v>
      </c>
      <c r="V10" t="s">
        <v>74</v>
      </c>
      <c r="W10">
        <v>9</v>
      </c>
      <c r="X10">
        <v>185355</v>
      </c>
      <c r="Y10">
        <v>1275805</v>
      </c>
      <c r="Z10">
        <v>1461160</v>
      </c>
      <c r="AA10">
        <v>10000000</v>
      </c>
      <c r="AB10">
        <v>7.8830400000000003</v>
      </c>
      <c r="AC10">
        <v>7.83819</v>
      </c>
      <c r="AD10">
        <v>8</v>
      </c>
      <c r="AE10">
        <v>303921280</v>
      </c>
      <c r="AI10" t="s">
        <v>119</v>
      </c>
      <c r="AP10">
        <v>1531186602</v>
      </c>
      <c r="AQ10">
        <v>0</v>
      </c>
      <c r="AR10">
        <v>0</v>
      </c>
      <c r="AS10">
        <v>1531186602</v>
      </c>
      <c r="AT10">
        <v>1531186602</v>
      </c>
      <c r="AU10">
        <v>51039553</v>
      </c>
      <c r="AV10">
        <v>0</v>
      </c>
      <c r="AW10">
        <v>0</v>
      </c>
      <c r="AX10">
        <v>51039553</v>
      </c>
      <c r="AY10">
        <v>51039553</v>
      </c>
      <c r="AZ10">
        <v>84.494100000000003</v>
      </c>
      <c r="BA10">
        <v>47.510100000000001</v>
      </c>
      <c r="BB10">
        <v>7690.99</v>
      </c>
      <c r="BD10">
        <v>3157</v>
      </c>
      <c r="BE10">
        <v>927</v>
      </c>
      <c r="BF10" t="str">
        <f t="shared" si="0"/>
        <v>u=0%, k=2x10^8</v>
      </c>
      <c r="BG10">
        <f t="shared" si="1"/>
        <v>0</v>
      </c>
    </row>
    <row r="11" spans="1:59">
      <c r="A11" t="s">
        <v>120</v>
      </c>
      <c r="B11" t="s">
        <v>65</v>
      </c>
      <c r="C11">
        <v>208</v>
      </c>
      <c r="D11" t="s">
        <v>64</v>
      </c>
      <c r="E11" t="s">
        <v>59</v>
      </c>
      <c r="F11" t="s">
        <v>60</v>
      </c>
      <c r="G11">
        <v>30000</v>
      </c>
      <c r="H11">
        <v>0</v>
      </c>
      <c r="I11">
        <v>0</v>
      </c>
      <c r="J11">
        <v>0</v>
      </c>
      <c r="K11">
        <v>1</v>
      </c>
      <c r="L11">
        <v>200000000</v>
      </c>
      <c r="M11">
        <v>190</v>
      </c>
      <c r="N11">
        <v>190</v>
      </c>
      <c r="O11">
        <v>190</v>
      </c>
      <c r="P11">
        <v>0</v>
      </c>
      <c r="Q11" t="s">
        <v>61</v>
      </c>
      <c r="R11">
        <v>1000144451819380</v>
      </c>
      <c r="S11">
        <v>10000000</v>
      </c>
      <c r="T11">
        <v>1000144451819380</v>
      </c>
      <c r="U11">
        <v>10000000</v>
      </c>
      <c r="V11" t="s">
        <v>74</v>
      </c>
      <c r="W11">
        <v>9</v>
      </c>
      <c r="X11">
        <v>185516</v>
      </c>
      <c r="Y11">
        <v>1275939</v>
      </c>
      <c r="Z11">
        <v>1461455</v>
      </c>
      <c r="AA11">
        <v>10000000</v>
      </c>
      <c r="AB11">
        <v>7.8777799999999996</v>
      </c>
      <c r="AC11">
        <v>7.8373699999999999</v>
      </c>
      <c r="AD11">
        <v>8</v>
      </c>
      <c r="AE11">
        <v>303982640</v>
      </c>
      <c r="AI11" t="s">
        <v>121</v>
      </c>
      <c r="AP11">
        <v>1838101982</v>
      </c>
      <c r="AQ11">
        <v>0</v>
      </c>
      <c r="AR11">
        <v>0</v>
      </c>
      <c r="AS11">
        <v>1838101982</v>
      </c>
      <c r="AT11">
        <v>1838101982</v>
      </c>
      <c r="AU11">
        <v>61270066</v>
      </c>
      <c r="AV11">
        <v>0</v>
      </c>
      <c r="AW11">
        <v>0</v>
      </c>
      <c r="AX11">
        <v>61270066</v>
      </c>
      <c r="AY11">
        <v>61270066</v>
      </c>
      <c r="AZ11">
        <v>85.712400000000002</v>
      </c>
      <c r="BA11">
        <v>48.303600000000003</v>
      </c>
      <c r="BB11">
        <v>8514.24</v>
      </c>
      <c r="BD11">
        <v>3198</v>
      </c>
      <c r="BE11">
        <v>1004</v>
      </c>
      <c r="BF11" t="str">
        <f t="shared" si="0"/>
        <v>u=0%, k=2x10^8</v>
      </c>
      <c r="BG11">
        <f t="shared" si="1"/>
        <v>0</v>
      </c>
    </row>
    <row r="12" spans="1:59">
      <c r="A12" t="s">
        <v>122</v>
      </c>
      <c r="B12" t="s">
        <v>66</v>
      </c>
      <c r="D12" t="s">
        <v>64</v>
      </c>
      <c r="E12" t="s">
        <v>59</v>
      </c>
      <c r="F12" t="s">
        <v>60</v>
      </c>
      <c r="G12">
        <v>30000</v>
      </c>
      <c r="H12">
        <v>0</v>
      </c>
      <c r="I12">
        <v>0</v>
      </c>
      <c r="J12">
        <v>0</v>
      </c>
      <c r="K12">
        <v>1</v>
      </c>
      <c r="L12">
        <v>200000000</v>
      </c>
      <c r="M12">
        <v>24</v>
      </c>
      <c r="N12">
        <v>24</v>
      </c>
      <c r="O12">
        <v>24</v>
      </c>
      <c r="P12">
        <v>0</v>
      </c>
      <c r="Q12" t="s">
        <v>61</v>
      </c>
      <c r="R12">
        <v>999958227009502</v>
      </c>
      <c r="S12">
        <v>10000000</v>
      </c>
      <c r="T12">
        <v>999958227009502</v>
      </c>
      <c r="U12">
        <v>10000000</v>
      </c>
      <c r="V12" t="s">
        <v>74</v>
      </c>
      <c r="W12">
        <v>29</v>
      </c>
      <c r="X12">
        <v>5714001</v>
      </c>
      <c r="Y12">
        <v>4286000</v>
      </c>
      <c r="Z12">
        <v>10000001</v>
      </c>
      <c r="AA12">
        <v>10000000</v>
      </c>
      <c r="AB12">
        <v>1.7500899999999999</v>
      </c>
      <c r="AC12">
        <v>2.33318</v>
      </c>
      <c r="AD12">
        <v>22.748999999999999</v>
      </c>
      <c r="AE12">
        <v>560000056</v>
      </c>
      <c r="AI12" t="s">
        <v>123</v>
      </c>
      <c r="AP12">
        <v>201222142</v>
      </c>
      <c r="AQ12">
        <v>0</v>
      </c>
      <c r="AR12">
        <v>0</v>
      </c>
      <c r="AS12">
        <v>201222142</v>
      </c>
      <c r="AT12">
        <v>201222142</v>
      </c>
      <c r="AU12">
        <v>6707404</v>
      </c>
      <c r="AV12">
        <v>0</v>
      </c>
      <c r="AW12">
        <v>0</v>
      </c>
      <c r="AX12">
        <v>6707404</v>
      </c>
      <c r="AY12">
        <v>6707404</v>
      </c>
      <c r="AZ12">
        <v>104.06</v>
      </c>
      <c r="BA12">
        <v>52.911299999999997</v>
      </c>
      <c r="BB12">
        <v>9980.7800000000007</v>
      </c>
      <c r="BD12">
        <v>3279</v>
      </c>
      <c r="BE12">
        <v>2044</v>
      </c>
      <c r="BF12" t="str">
        <f t="shared" si="0"/>
        <v>u=0%, k=2x10^8</v>
      </c>
      <c r="BG12">
        <f t="shared" si="1"/>
        <v>0</v>
      </c>
    </row>
    <row r="13" spans="1:59">
      <c r="A13" t="s">
        <v>124</v>
      </c>
      <c r="B13" t="s">
        <v>66</v>
      </c>
      <c r="D13" t="s">
        <v>64</v>
      </c>
      <c r="E13" t="s">
        <v>59</v>
      </c>
      <c r="F13" t="s">
        <v>60</v>
      </c>
      <c r="G13">
        <v>30000</v>
      </c>
      <c r="H13">
        <v>0</v>
      </c>
      <c r="I13">
        <v>0</v>
      </c>
      <c r="J13">
        <v>0</v>
      </c>
      <c r="K13">
        <v>1</v>
      </c>
      <c r="L13">
        <v>200000000</v>
      </c>
      <c r="M13">
        <v>48</v>
      </c>
      <c r="N13">
        <v>48</v>
      </c>
      <c r="O13">
        <v>48</v>
      </c>
      <c r="P13">
        <v>0</v>
      </c>
      <c r="Q13" t="s">
        <v>61</v>
      </c>
      <c r="R13">
        <v>1000198930205970</v>
      </c>
      <c r="S13">
        <v>10000000</v>
      </c>
      <c r="T13">
        <v>1000198930205970</v>
      </c>
      <c r="U13">
        <v>10000000</v>
      </c>
      <c r="V13" t="s">
        <v>74</v>
      </c>
      <c r="W13">
        <v>29</v>
      </c>
      <c r="X13">
        <v>5714713</v>
      </c>
      <c r="Y13">
        <v>4285288</v>
      </c>
      <c r="Z13">
        <v>10000001</v>
      </c>
      <c r="AA13">
        <v>10000000</v>
      </c>
      <c r="AB13">
        <v>1.74987</v>
      </c>
      <c r="AC13">
        <v>2.3335699999999999</v>
      </c>
      <c r="AD13">
        <v>22.654800000000002</v>
      </c>
      <c r="AE13">
        <v>560000056</v>
      </c>
      <c r="AI13" t="s">
        <v>125</v>
      </c>
      <c r="AP13">
        <v>369129910</v>
      </c>
      <c r="AQ13">
        <v>0</v>
      </c>
      <c r="AR13">
        <v>0</v>
      </c>
      <c r="AS13">
        <v>369129910</v>
      </c>
      <c r="AT13">
        <v>369129910</v>
      </c>
      <c r="AU13">
        <v>12304330</v>
      </c>
      <c r="AV13">
        <v>0</v>
      </c>
      <c r="AW13">
        <v>0</v>
      </c>
      <c r="AX13">
        <v>12304330</v>
      </c>
      <c r="AY13">
        <v>12304330</v>
      </c>
      <c r="AZ13">
        <v>97.195499999999996</v>
      </c>
      <c r="BA13">
        <v>47.139200000000002</v>
      </c>
      <c r="BB13">
        <v>10877.2</v>
      </c>
      <c r="BD13">
        <v>3285</v>
      </c>
      <c r="BE13">
        <v>1379</v>
      </c>
      <c r="BF13" t="str">
        <f t="shared" si="0"/>
        <v>u=0%, k=2x10^8</v>
      </c>
      <c r="BG13">
        <f t="shared" si="1"/>
        <v>0</v>
      </c>
    </row>
    <row r="14" spans="1:59">
      <c r="A14" t="s">
        <v>126</v>
      </c>
      <c r="B14" t="s">
        <v>66</v>
      </c>
      <c r="D14" t="s">
        <v>64</v>
      </c>
      <c r="E14" t="s">
        <v>59</v>
      </c>
      <c r="F14" t="s">
        <v>60</v>
      </c>
      <c r="G14">
        <v>30000</v>
      </c>
      <c r="H14">
        <v>0</v>
      </c>
      <c r="I14">
        <v>0</v>
      </c>
      <c r="J14">
        <v>0</v>
      </c>
      <c r="K14">
        <v>1</v>
      </c>
      <c r="L14">
        <v>200000000</v>
      </c>
      <c r="M14">
        <v>96</v>
      </c>
      <c r="N14">
        <v>96</v>
      </c>
      <c r="O14">
        <v>96</v>
      </c>
      <c r="P14">
        <v>0</v>
      </c>
      <c r="Q14" t="s">
        <v>61</v>
      </c>
      <c r="R14">
        <v>999930732256592</v>
      </c>
      <c r="S14">
        <v>10000000</v>
      </c>
      <c r="T14">
        <v>999930732256592</v>
      </c>
      <c r="U14">
        <v>10000000</v>
      </c>
      <c r="V14" t="s">
        <v>74</v>
      </c>
      <c r="W14">
        <v>29</v>
      </c>
      <c r="X14">
        <v>5714355</v>
      </c>
      <c r="Y14">
        <v>4285646</v>
      </c>
      <c r="Z14">
        <v>10000001</v>
      </c>
      <c r="AA14">
        <v>10000000</v>
      </c>
      <c r="AB14">
        <v>1.7499800000000001</v>
      </c>
      <c r="AC14">
        <v>2.3333699999999999</v>
      </c>
      <c r="AD14">
        <v>22.689599999999999</v>
      </c>
      <c r="AE14">
        <v>560000056</v>
      </c>
      <c r="AI14" t="s">
        <v>127</v>
      </c>
      <c r="AP14">
        <v>776380648</v>
      </c>
      <c r="AQ14">
        <v>0</v>
      </c>
      <c r="AR14">
        <v>0</v>
      </c>
      <c r="AS14">
        <v>776380648</v>
      </c>
      <c r="AT14">
        <v>776380648</v>
      </c>
      <c r="AU14">
        <v>25879354</v>
      </c>
      <c r="AV14">
        <v>0</v>
      </c>
      <c r="AW14">
        <v>0</v>
      </c>
      <c r="AX14">
        <v>25879354</v>
      </c>
      <c r="AY14">
        <v>25879354</v>
      </c>
      <c r="AZ14">
        <v>100.188</v>
      </c>
      <c r="BA14">
        <v>54.593800000000002</v>
      </c>
      <c r="BB14">
        <v>10283.700000000001</v>
      </c>
      <c r="BD14">
        <v>3300</v>
      </c>
      <c r="BE14">
        <v>929</v>
      </c>
      <c r="BF14" t="str">
        <f t="shared" si="0"/>
        <v>u=0%, k=2x10^8</v>
      </c>
      <c r="BG14">
        <f t="shared" si="1"/>
        <v>0</v>
      </c>
    </row>
    <row r="15" spans="1:59">
      <c r="A15" t="s">
        <v>128</v>
      </c>
      <c r="B15" t="s">
        <v>66</v>
      </c>
      <c r="D15" t="s">
        <v>64</v>
      </c>
      <c r="E15" t="s">
        <v>59</v>
      </c>
      <c r="F15" t="s">
        <v>60</v>
      </c>
      <c r="G15">
        <v>30000</v>
      </c>
      <c r="H15">
        <v>0</v>
      </c>
      <c r="I15">
        <v>0</v>
      </c>
      <c r="J15">
        <v>0</v>
      </c>
      <c r="K15">
        <v>1</v>
      </c>
      <c r="L15">
        <v>200000000</v>
      </c>
      <c r="M15">
        <v>144</v>
      </c>
      <c r="N15">
        <v>144</v>
      </c>
      <c r="O15">
        <v>144</v>
      </c>
      <c r="P15">
        <v>0</v>
      </c>
      <c r="Q15" t="s">
        <v>61</v>
      </c>
      <c r="R15">
        <v>999772957575788</v>
      </c>
      <c r="S15">
        <v>10000000</v>
      </c>
      <c r="T15">
        <v>999772957575788</v>
      </c>
      <c r="U15">
        <v>10000000</v>
      </c>
      <c r="V15" t="s">
        <v>74</v>
      </c>
      <c r="W15">
        <v>29</v>
      </c>
      <c r="X15">
        <v>5714639</v>
      </c>
      <c r="Y15">
        <v>4285362</v>
      </c>
      <c r="Z15">
        <v>10000001</v>
      </c>
      <c r="AA15">
        <v>10000000</v>
      </c>
      <c r="AB15">
        <v>1.7498899999999999</v>
      </c>
      <c r="AC15">
        <v>2.3335300000000001</v>
      </c>
      <c r="AD15">
        <v>22.700900000000001</v>
      </c>
      <c r="AE15">
        <v>560000056</v>
      </c>
      <c r="AI15" t="s">
        <v>129</v>
      </c>
      <c r="AP15">
        <v>1112023132</v>
      </c>
      <c r="AQ15">
        <v>0</v>
      </c>
      <c r="AR15">
        <v>0</v>
      </c>
      <c r="AS15">
        <v>1112023132</v>
      </c>
      <c r="AT15">
        <v>1112023132</v>
      </c>
      <c r="AU15">
        <v>37067437</v>
      </c>
      <c r="AV15">
        <v>0</v>
      </c>
      <c r="AW15">
        <v>0</v>
      </c>
      <c r="AX15">
        <v>37067437</v>
      </c>
      <c r="AY15">
        <v>37067437</v>
      </c>
      <c r="AZ15">
        <v>100.84699999999999</v>
      </c>
      <c r="BA15">
        <v>56.051499999999997</v>
      </c>
      <c r="BB15">
        <v>10756.3</v>
      </c>
      <c r="BD15">
        <v>3315</v>
      </c>
      <c r="BE15">
        <v>572</v>
      </c>
      <c r="BF15" t="str">
        <f t="shared" si="0"/>
        <v>u=0%, k=2x10^8</v>
      </c>
      <c r="BG15">
        <f t="shared" si="1"/>
        <v>0</v>
      </c>
    </row>
    <row r="16" spans="1:59">
      <c r="A16" t="s">
        <v>130</v>
      </c>
      <c r="B16" t="s">
        <v>66</v>
      </c>
      <c r="D16" t="s">
        <v>64</v>
      </c>
      <c r="E16" t="s">
        <v>59</v>
      </c>
      <c r="F16" t="s">
        <v>60</v>
      </c>
      <c r="G16">
        <v>30000</v>
      </c>
      <c r="H16">
        <v>0</v>
      </c>
      <c r="I16">
        <v>0</v>
      </c>
      <c r="J16">
        <v>0</v>
      </c>
      <c r="K16">
        <v>1</v>
      </c>
      <c r="L16">
        <v>200000000</v>
      </c>
      <c r="M16">
        <v>190</v>
      </c>
      <c r="N16">
        <v>190</v>
      </c>
      <c r="O16">
        <v>190</v>
      </c>
      <c r="P16">
        <v>0</v>
      </c>
      <c r="Q16" t="s">
        <v>61</v>
      </c>
      <c r="R16">
        <v>1000069449276480</v>
      </c>
      <c r="S16">
        <v>10000000</v>
      </c>
      <c r="T16">
        <v>1000069449276480</v>
      </c>
      <c r="U16">
        <v>10000000</v>
      </c>
      <c r="V16" t="s">
        <v>74</v>
      </c>
      <c r="W16">
        <v>29</v>
      </c>
      <c r="X16">
        <v>5714122</v>
      </c>
      <c r="Y16">
        <v>4285879</v>
      </c>
      <c r="Z16">
        <v>10000001</v>
      </c>
      <c r="AA16">
        <v>10000000</v>
      </c>
      <c r="AB16">
        <v>1.7500500000000001</v>
      </c>
      <c r="AC16">
        <v>2.33324</v>
      </c>
      <c r="AD16">
        <v>22.6767</v>
      </c>
      <c r="AE16">
        <v>560000056</v>
      </c>
      <c r="AI16" t="s">
        <v>131</v>
      </c>
      <c r="AP16">
        <v>1392083431</v>
      </c>
      <c r="AQ16">
        <v>0</v>
      </c>
      <c r="AR16">
        <v>0</v>
      </c>
      <c r="AS16">
        <v>1392083431</v>
      </c>
      <c r="AT16">
        <v>1392083431</v>
      </c>
      <c r="AU16">
        <v>46402781</v>
      </c>
      <c r="AV16">
        <v>0</v>
      </c>
      <c r="AW16">
        <v>0</v>
      </c>
      <c r="AX16">
        <v>46402781</v>
      </c>
      <c r="AY16">
        <v>46402781</v>
      </c>
      <c r="AZ16">
        <v>101.34399999999999</v>
      </c>
      <c r="BA16">
        <v>56.709099999999999</v>
      </c>
      <c r="BB16">
        <v>11326.6</v>
      </c>
      <c r="BD16">
        <v>3328</v>
      </c>
      <c r="BE16">
        <v>568</v>
      </c>
      <c r="BF16" t="str">
        <f t="shared" si="0"/>
        <v>u=0%, k=2x10^8</v>
      </c>
      <c r="BG16">
        <f t="shared" si="1"/>
        <v>0</v>
      </c>
    </row>
    <row r="17" spans="1:59">
      <c r="A17" t="s">
        <v>132</v>
      </c>
      <c r="B17" t="s">
        <v>67</v>
      </c>
      <c r="D17" t="s">
        <v>64</v>
      </c>
      <c r="E17" t="s">
        <v>59</v>
      </c>
      <c r="F17" t="s">
        <v>60</v>
      </c>
      <c r="G17">
        <v>30000</v>
      </c>
      <c r="H17">
        <v>0</v>
      </c>
      <c r="I17">
        <v>0</v>
      </c>
      <c r="J17">
        <v>0</v>
      </c>
      <c r="K17">
        <v>1</v>
      </c>
      <c r="L17">
        <v>200000000</v>
      </c>
      <c r="M17">
        <v>24</v>
      </c>
      <c r="N17">
        <v>24</v>
      </c>
      <c r="O17">
        <v>24</v>
      </c>
      <c r="P17">
        <v>0</v>
      </c>
      <c r="Q17" t="s">
        <v>61</v>
      </c>
      <c r="R17">
        <v>999954557455281</v>
      </c>
      <c r="S17">
        <v>10000000</v>
      </c>
      <c r="T17">
        <v>999954557455281</v>
      </c>
      <c r="U17">
        <v>10000000</v>
      </c>
      <c r="V17" t="s">
        <v>74</v>
      </c>
      <c r="W17">
        <v>59</v>
      </c>
      <c r="X17">
        <v>9999999</v>
      </c>
      <c r="Y17">
        <v>10000000</v>
      </c>
      <c r="Z17">
        <v>19999999</v>
      </c>
      <c r="AA17">
        <v>10000000</v>
      </c>
      <c r="AB17">
        <v>2</v>
      </c>
      <c r="AC17">
        <v>1</v>
      </c>
      <c r="AD17">
        <v>30.891500000000001</v>
      </c>
      <c r="AE17">
        <v>639999968</v>
      </c>
      <c r="AI17" t="s">
        <v>133</v>
      </c>
      <c r="AP17">
        <v>184000701</v>
      </c>
      <c r="AQ17">
        <v>0</v>
      </c>
      <c r="AR17">
        <v>0</v>
      </c>
      <c r="AS17">
        <v>184000701</v>
      </c>
      <c r="AT17">
        <v>184000701</v>
      </c>
      <c r="AU17">
        <v>6133356</v>
      </c>
      <c r="AV17">
        <v>0</v>
      </c>
      <c r="AW17">
        <v>0</v>
      </c>
      <c r="AX17">
        <v>6133356</v>
      </c>
      <c r="AY17">
        <v>6133356</v>
      </c>
      <c r="AZ17">
        <v>98.491299999999995</v>
      </c>
      <c r="BA17">
        <v>50.249400000000001</v>
      </c>
      <c r="BB17">
        <v>10915.7</v>
      </c>
      <c r="BD17">
        <v>3279</v>
      </c>
      <c r="BE17">
        <v>2004</v>
      </c>
      <c r="BF17" t="str">
        <f t="shared" si="0"/>
        <v>u=0%, k=2x10^8</v>
      </c>
      <c r="BG17">
        <f t="shared" si="1"/>
        <v>0</v>
      </c>
    </row>
    <row r="18" spans="1:59">
      <c r="A18" t="s">
        <v>134</v>
      </c>
      <c r="B18" t="s">
        <v>67</v>
      </c>
      <c r="D18" t="s">
        <v>64</v>
      </c>
      <c r="E18" t="s">
        <v>59</v>
      </c>
      <c r="F18" t="s">
        <v>60</v>
      </c>
      <c r="G18">
        <v>30000</v>
      </c>
      <c r="H18">
        <v>0</v>
      </c>
      <c r="I18">
        <v>0</v>
      </c>
      <c r="J18">
        <v>0</v>
      </c>
      <c r="K18">
        <v>1</v>
      </c>
      <c r="L18">
        <v>200000000</v>
      </c>
      <c r="M18">
        <v>48</v>
      </c>
      <c r="N18">
        <v>48</v>
      </c>
      <c r="O18">
        <v>48</v>
      </c>
      <c r="P18">
        <v>0</v>
      </c>
      <c r="Q18" t="s">
        <v>61</v>
      </c>
      <c r="R18">
        <v>1000032895867270</v>
      </c>
      <c r="S18">
        <v>10000000</v>
      </c>
      <c r="T18">
        <v>1000032895867270</v>
      </c>
      <c r="U18">
        <v>10000000</v>
      </c>
      <c r="V18" t="s">
        <v>74</v>
      </c>
      <c r="W18">
        <v>62</v>
      </c>
      <c r="X18">
        <v>9999999</v>
      </c>
      <c r="Y18">
        <v>10000000</v>
      </c>
      <c r="Z18">
        <v>19999999</v>
      </c>
      <c r="AA18">
        <v>10000000</v>
      </c>
      <c r="AB18">
        <v>2</v>
      </c>
      <c r="AC18">
        <v>1</v>
      </c>
      <c r="AD18">
        <v>32.119700000000002</v>
      </c>
      <c r="AE18">
        <v>639999968</v>
      </c>
      <c r="AI18" t="s">
        <v>135</v>
      </c>
      <c r="AP18">
        <v>343365235</v>
      </c>
      <c r="AQ18">
        <v>0</v>
      </c>
      <c r="AR18">
        <v>0</v>
      </c>
      <c r="AS18">
        <v>343365235</v>
      </c>
      <c r="AT18">
        <v>343365235</v>
      </c>
      <c r="AU18">
        <v>11445507</v>
      </c>
      <c r="AV18">
        <v>0</v>
      </c>
      <c r="AW18">
        <v>0</v>
      </c>
      <c r="AX18">
        <v>11445507</v>
      </c>
      <c r="AY18">
        <v>11445507</v>
      </c>
      <c r="AZ18">
        <v>89.690100000000001</v>
      </c>
      <c r="BA18">
        <v>43.284500000000001</v>
      </c>
      <c r="BB18">
        <v>11693.4</v>
      </c>
      <c r="BD18">
        <v>3285</v>
      </c>
      <c r="BE18">
        <v>1352</v>
      </c>
      <c r="BF18" t="str">
        <f t="shared" si="0"/>
        <v>u=0%, k=2x10^8</v>
      </c>
      <c r="BG18">
        <f t="shared" si="1"/>
        <v>0</v>
      </c>
    </row>
    <row r="19" spans="1:59">
      <c r="A19" t="s">
        <v>136</v>
      </c>
      <c r="B19" t="s">
        <v>67</v>
      </c>
      <c r="D19" t="s">
        <v>64</v>
      </c>
      <c r="E19" t="s">
        <v>59</v>
      </c>
      <c r="F19" t="s">
        <v>60</v>
      </c>
      <c r="G19">
        <v>30000</v>
      </c>
      <c r="H19">
        <v>0</v>
      </c>
      <c r="I19">
        <v>0</v>
      </c>
      <c r="J19">
        <v>0</v>
      </c>
      <c r="K19">
        <v>1</v>
      </c>
      <c r="L19">
        <v>200000000</v>
      </c>
      <c r="M19">
        <v>96</v>
      </c>
      <c r="N19">
        <v>96</v>
      </c>
      <c r="O19">
        <v>96</v>
      </c>
      <c r="P19">
        <v>0</v>
      </c>
      <c r="Q19" t="s">
        <v>61</v>
      </c>
      <c r="R19">
        <v>999939758380824</v>
      </c>
      <c r="S19">
        <v>10000000</v>
      </c>
      <c r="T19">
        <v>999939758380824</v>
      </c>
      <c r="U19">
        <v>10000000</v>
      </c>
      <c r="V19" t="s">
        <v>74</v>
      </c>
      <c r="W19">
        <v>61</v>
      </c>
      <c r="X19">
        <v>9999999</v>
      </c>
      <c r="Y19">
        <v>10000000</v>
      </c>
      <c r="Z19">
        <v>19999999</v>
      </c>
      <c r="AA19">
        <v>10000000</v>
      </c>
      <c r="AB19">
        <v>2</v>
      </c>
      <c r="AC19">
        <v>1</v>
      </c>
      <c r="AD19">
        <v>30.994399999999999</v>
      </c>
      <c r="AE19">
        <v>639999968</v>
      </c>
      <c r="AI19" t="s">
        <v>137</v>
      </c>
      <c r="AP19">
        <v>743503935</v>
      </c>
      <c r="AQ19">
        <v>0</v>
      </c>
      <c r="AR19">
        <v>0</v>
      </c>
      <c r="AS19">
        <v>743503935</v>
      </c>
      <c r="AT19">
        <v>743503935</v>
      </c>
      <c r="AU19">
        <v>24783464</v>
      </c>
      <c r="AV19">
        <v>0</v>
      </c>
      <c r="AW19">
        <v>0</v>
      </c>
      <c r="AX19">
        <v>24783464</v>
      </c>
      <c r="AY19">
        <v>24783464</v>
      </c>
      <c r="AZ19">
        <v>92.7453</v>
      </c>
      <c r="BA19">
        <v>49.902000000000001</v>
      </c>
      <c r="BB19">
        <v>10777.1</v>
      </c>
      <c r="BD19">
        <v>3299</v>
      </c>
      <c r="BE19">
        <v>889</v>
      </c>
      <c r="BF19" t="str">
        <f t="shared" si="0"/>
        <v>u=0%, k=2x10^8</v>
      </c>
      <c r="BG19">
        <f t="shared" si="1"/>
        <v>0</v>
      </c>
    </row>
    <row r="20" spans="1:59">
      <c r="A20" t="s">
        <v>138</v>
      </c>
      <c r="B20" t="s">
        <v>67</v>
      </c>
      <c r="D20" t="s">
        <v>64</v>
      </c>
      <c r="E20" t="s">
        <v>59</v>
      </c>
      <c r="F20" t="s">
        <v>60</v>
      </c>
      <c r="G20">
        <v>30000</v>
      </c>
      <c r="H20">
        <v>0</v>
      </c>
      <c r="I20">
        <v>0</v>
      </c>
      <c r="J20">
        <v>0</v>
      </c>
      <c r="K20">
        <v>1</v>
      </c>
      <c r="L20">
        <v>200000000</v>
      </c>
      <c r="M20">
        <v>144</v>
      </c>
      <c r="N20">
        <v>144</v>
      </c>
      <c r="O20">
        <v>144</v>
      </c>
      <c r="P20">
        <v>0</v>
      </c>
      <c r="Q20" t="s">
        <v>61</v>
      </c>
      <c r="R20">
        <v>1000115445403880</v>
      </c>
      <c r="S20">
        <v>10000000</v>
      </c>
      <c r="T20">
        <v>1000115445403880</v>
      </c>
      <c r="U20">
        <v>10000000</v>
      </c>
      <c r="V20" t="s">
        <v>74</v>
      </c>
      <c r="W20">
        <v>59</v>
      </c>
      <c r="X20">
        <v>9999999</v>
      </c>
      <c r="Y20">
        <v>10000000</v>
      </c>
      <c r="Z20">
        <v>19999999</v>
      </c>
      <c r="AA20">
        <v>10000000</v>
      </c>
      <c r="AB20">
        <v>2</v>
      </c>
      <c r="AC20">
        <v>1</v>
      </c>
      <c r="AD20">
        <v>31.4176</v>
      </c>
      <c r="AE20">
        <v>639999968</v>
      </c>
      <c r="AI20" t="s">
        <v>139</v>
      </c>
      <c r="AP20">
        <v>1097050075</v>
      </c>
      <c r="AQ20">
        <v>0</v>
      </c>
      <c r="AR20">
        <v>0</v>
      </c>
      <c r="AS20">
        <v>1097050075</v>
      </c>
      <c r="AT20">
        <v>1097050075</v>
      </c>
      <c r="AU20">
        <v>36568335</v>
      </c>
      <c r="AV20">
        <v>0</v>
      </c>
      <c r="AW20">
        <v>0</v>
      </c>
      <c r="AX20">
        <v>36568335</v>
      </c>
      <c r="AY20">
        <v>36568335</v>
      </c>
      <c r="AZ20">
        <v>93.188800000000001</v>
      </c>
      <c r="BA20">
        <v>51.221299999999999</v>
      </c>
      <c r="BB20">
        <v>10945.7</v>
      </c>
      <c r="BD20">
        <v>3314</v>
      </c>
      <c r="BE20">
        <v>532</v>
      </c>
      <c r="BF20" t="str">
        <f t="shared" si="0"/>
        <v>u=0%, k=2x10^8</v>
      </c>
      <c r="BG20">
        <f t="shared" si="1"/>
        <v>0</v>
      </c>
    </row>
    <row r="21" spans="1:59">
      <c r="A21" t="s">
        <v>140</v>
      </c>
      <c r="B21" t="s">
        <v>67</v>
      </c>
      <c r="D21" t="s">
        <v>64</v>
      </c>
      <c r="E21" t="s">
        <v>59</v>
      </c>
      <c r="F21" t="s">
        <v>60</v>
      </c>
      <c r="G21">
        <v>30000</v>
      </c>
      <c r="H21">
        <v>0</v>
      </c>
      <c r="I21">
        <v>0</v>
      </c>
      <c r="J21">
        <v>0</v>
      </c>
      <c r="K21">
        <v>1</v>
      </c>
      <c r="L21">
        <v>200000000</v>
      </c>
      <c r="M21">
        <v>190</v>
      </c>
      <c r="N21">
        <v>190</v>
      </c>
      <c r="O21">
        <v>190</v>
      </c>
      <c r="P21">
        <v>0</v>
      </c>
      <c r="Q21" t="s">
        <v>61</v>
      </c>
      <c r="R21">
        <v>1000425319626970</v>
      </c>
      <c r="S21">
        <v>10000000</v>
      </c>
      <c r="T21">
        <v>1000425319626970</v>
      </c>
      <c r="U21">
        <v>10000000</v>
      </c>
      <c r="V21" t="s">
        <v>74</v>
      </c>
      <c r="W21">
        <v>62</v>
      </c>
      <c r="X21">
        <v>9999999</v>
      </c>
      <c r="Y21">
        <v>10000000</v>
      </c>
      <c r="Z21">
        <v>19999999</v>
      </c>
      <c r="AA21">
        <v>10000000</v>
      </c>
      <c r="AB21">
        <v>2</v>
      </c>
      <c r="AC21">
        <v>1</v>
      </c>
      <c r="AD21">
        <v>30.708400000000001</v>
      </c>
      <c r="AE21">
        <v>639999968</v>
      </c>
      <c r="AI21" t="s">
        <v>141</v>
      </c>
      <c r="AP21">
        <v>1415671288</v>
      </c>
      <c r="AQ21">
        <v>0</v>
      </c>
      <c r="AR21">
        <v>0</v>
      </c>
      <c r="AS21">
        <v>1415671288</v>
      </c>
      <c r="AT21">
        <v>1415671288</v>
      </c>
      <c r="AU21">
        <v>47189042</v>
      </c>
      <c r="AV21">
        <v>0</v>
      </c>
      <c r="AW21">
        <v>0</v>
      </c>
      <c r="AX21">
        <v>47189042</v>
      </c>
      <c r="AY21">
        <v>47189042</v>
      </c>
      <c r="AZ21">
        <v>93.438699999999997</v>
      </c>
      <c r="BA21">
        <v>51.734299999999998</v>
      </c>
      <c r="BB21">
        <v>11180.4</v>
      </c>
      <c r="BD21">
        <v>3326</v>
      </c>
      <c r="BE21">
        <v>530</v>
      </c>
      <c r="BF21" t="str">
        <f t="shared" si="0"/>
        <v>u=0%, k=2x10^8</v>
      </c>
      <c r="BG21">
        <f t="shared" si="1"/>
        <v>0</v>
      </c>
    </row>
    <row r="22" spans="1:59">
      <c r="A22" t="s">
        <v>142</v>
      </c>
      <c r="B22" t="s">
        <v>63</v>
      </c>
      <c r="C22">
        <v>72</v>
      </c>
      <c r="D22" t="s">
        <v>64</v>
      </c>
      <c r="E22" t="s">
        <v>59</v>
      </c>
      <c r="F22" t="s">
        <v>60</v>
      </c>
      <c r="G22">
        <v>30000</v>
      </c>
      <c r="H22">
        <v>0.5</v>
      </c>
      <c r="I22">
        <v>0.5</v>
      </c>
      <c r="J22">
        <v>0</v>
      </c>
      <c r="K22">
        <v>1</v>
      </c>
      <c r="L22">
        <v>200000000</v>
      </c>
      <c r="M22">
        <v>24</v>
      </c>
      <c r="N22">
        <v>24</v>
      </c>
      <c r="O22">
        <v>24</v>
      </c>
      <c r="P22">
        <v>0</v>
      </c>
      <c r="Q22" t="s">
        <v>61</v>
      </c>
      <c r="R22">
        <v>1149909533432260</v>
      </c>
      <c r="S22">
        <v>11500085</v>
      </c>
      <c r="T22">
        <v>1149909533432260</v>
      </c>
      <c r="U22">
        <v>11500085</v>
      </c>
      <c r="V22" t="s">
        <v>74</v>
      </c>
      <c r="W22">
        <v>7</v>
      </c>
      <c r="X22">
        <v>2222849</v>
      </c>
      <c r="Y22">
        <v>13574341</v>
      </c>
      <c r="Z22">
        <v>15797190</v>
      </c>
      <c r="AA22">
        <v>11500085</v>
      </c>
      <c r="AB22">
        <v>7.1067299999999998</v>
      </c>
      <c r="AC22">
        <v>0.84719299999999997</v>
      </c>
      <c r="AD22">
        <v>4.1010499999999999</v>
      </c>
      <c r="AE22">
        <v>395027680</v>
      </c>
      <c r="AF22" t="s">
        <v>143</v>
      </c>
      <c r="AG22" t="s">
        <v>143</v>
      </c>
      <c r="AI22">
        <v>123606</v>
      </c>
      <c r="AP22">
        <v>332489935</v>
      </c>
      <c r="AQ22">
        <v>0</v>
      </c>
      <c r="AR22">
        <v>3360398</v>
      </c>
      <c r="AS22">
        <v>332489935</v>
      </c>
      <c r="AT22">
        <v>335850333</v>
      </c>
      <c r="AU22">
        <v>11082997</v>
      </c>
      <c r="AV22">
        <v>0</v>
      </c>
      <c r="AW22">
        <v>112013</v>
      </c>
      <c r="AX22">
        <v>11082997</v>
      </c>
      <c r="AY22">
        <v>11195011</v>
      </c>
      <c r="AZ22">
        <v>87.021900000000002</v>
      </c>
      <c r="BA22">
        <v>46.273699999999998</v>
      </c>
      <c r="BB22">
        <v>5975.34</v>
      </c>
      <c r="BD22">
        <v>6083</v>
      </c>
      <c r="BE22">
        <v>1406</v>
      </c>
      <c r="BF22" t="str">
        <f t="shared" si="0"/>
        <v>u=1%, k=2x10^8</v>
      </c>
      <c r="BG22">
        <f t="shared" si="1"/>
        <v>0</v>
      </c>
    </row>
    <row r="23" spans="1:59">
      <c r="A23" t="s">
        <v>144</v>
      </c>
      <c r="B23" t="s">
        <v>63</v>
      </c>
      <c r="C23">
        <v>72</v>
      </c>
      <c r="D23" t="s">
        <v>64</v>
      </c>
      <c r="E23" t="s">
        <v>59</v>
      </c>
      <c r="F23" t="s">
        <v>60</v>
      </c>
      <c r="G23">
        <v>30000</v>
      </c>
      <c r="H23">
        <v>0.5</v>
      </c>
      <c r="I23">
        <v>0.5</v>
      </c>
      <c r="J23">
        <v>0</v>
      </c>
      <c r="K23">
        <v>1</v>
      </c>
      <c r="L23">
        <v>200000000</v>
      </c>
      <c r="M23">
        <v>48</v>
      </c>
      <c r="N23">
        <v>48</v>
      </c>
      <c r="O23">
        <v>48</v>
      </c>
      <c r="P23">
        <v>0</v>
      </c>
      <c r="Q23" t="s">
        <v>61</v>
      </c>
      <c r="R23">
        <v>1264454377365840</v>
      </c>
      <c r="S23">
        <v>12645557</v>
      </c>
      <c r="T23">
        <v>1264454377365840</v>
      </c>
      <c r="U23">
        <v>12645557</v>
      </c>
      <c r="V23" t="s">
        <v>74</v>
      </c>
      <c r="W23">
        <v>7</v>
      </c>
      <c r="X23">
        <v>2227672</v>
      </c>
      <c r="Y23">
        <v>14682844</v>
      </c>
      <c r="Z23">
        <v>16910516</v>
      </c>
      <c r="AA23">
        <v>12645557</v>
      </c>
      <c r="AB23">
        <v>7.5911200000000001</v>
      </c>
      <c r="AC23">
        <v>0.86124699999999998</v>
      </c>
      <c r="AD23">
        <v>4.0531199999999998</v>
      </c>
      <c r="AE23">
        <v>413139552</v>
      </c>
      <c r="AF23" t="s">
        <v>145</v>
      </c>
      <c r="AG23" t="s">
        <v>146</v>
      </c>
      <c r="AH23">
        <v>400</v>
      </c>
      <c r="AI23">
        <v>53674</v>
      </c>
      <c r="AP23">
        <v>590725206</v>
      </c>
      <c r="AQ23">
        <v>0</v>
      </c>
      <c r="AR23">
        <v>5966224</v>
      </c>
      <c r="AS23">
        <v>590725206</v>
      </c>
      <c r="AT23">
        <v>596691430</v>
      </c>
      <c r="AU23">
        <v>19690840</v>
      </c>
      <c r="AV23">
        <v>0</v>
      </c>
      <c r="AW23">
        <v>198874</v>
      </c>
      <c r="AX23">
        <v>19690840</v>
      </c>
      <c r="AY23">
        <v>19889714</v>
      </c>
      <c r="AZ23">
        <v>74.917500000000004</v>
      </c>
      <c r="BA23">
        <v>37.689599999999999</v>
      </c>
      <c r="BB23">
        <v>6709.52</v>
      </c>
      <c r="BD23">
        <v>6710</v>
      </c>
      <c r="BE23">
        <v>1135</v>
      </c>
      <c r="BF23" t="str">
        <f t="shared" si="0"/>
        <v>u=1%, k=2x10^8</v>
      </c>
      <c r="BG23" t="str">
        <f t="shared" si="1"/>
        <v>400</v>
      </c>
    </row>
    <row r="24" spans="1:59">
      <c r="A24" t="s">
        <v>147</v>
      </c>
      <c r="B24" t="s">
        <v>63</v>
      </c>
      <c r="C24">
        <v>72</v>
      </c>
      <c r="D24" t="s">
        <v>64</v>
      </c>
      <c r="E24" t="s">
        <v>59</v>
      </c>
      <c r="F24" t="s">
        <v>60</v>
      </c>
      <c r="G24">
        <v>30000</v>
      </c>
      <c r="H24">
        <v>0.5</v>
      </c>
      <c r="I24">
        <v>0.5</v>
      </c>
      <c r="J24">
        <v>0</v>
      </c>
      <c r="K24">
        <v>1</v>
      </c>
      <c r="L24">
        <v>200000000</v>
      </c>
      <c r="M24">
        <v>96</v>
      </c>
      <c r="N24">
        <v>96</v>
      </c>
      <c r="O24">
        <v>96</v>
      </c>
      <c r="P24">
        <v>0</v>
      </c>
      <c r="Q24" t="s">
        <v>61</v>
      </c>
      <c r="R24">
        <v>1470385659017150</v>
      </c>
      <c r="S24">
        <v>14705141</v>
      </c>
      <c r="T24">
        <v>1470385659017150</v>
      </c>
      <c r="U24">
        <v>14705141</v>
      </c>
      <c r="V24" t="s">
        <v>74</v>
      </c>
      <c r="W24">
        <v>7</v>
      </c>
      <c r="X24">
        <v>2299474</v>
      </c>
      <c r="Y24">
        <v>16794758</v>
      </c>
      <c r="Z24">
        <v>19094232</v>
      </c>
      <c r="AA24">
        <v>14705141</v>
      </c>
      <c r="AB24">
        <v>8.3037399999999995</v>
      </c>
      <c r="AC24">
        <v>0.875579</v>
      </c>
      <c r="AD24">
        <v>4.03355</v>
      </c>
      <c r="AE24">
        <v>452674704</v>
      </c>
      <c r="AF24" t="s">
        <v>148</v>
      </c>
      <c r="AG24" t="s">
        <v>149</v>
      </c>
      <c r="AH24">
        <v>1352</v>
      </c>
      <c r="AI24">
        <v>23996</v>
      </c>
      <c r="AP24">
        <v>1062978838</v>
      </c>
      <c r="AQ24">
        <v>0</v>
      </c>
      <c r="AR24">
        <v>10736425</v>
      </c>
      <c r="AS24">
        <v>1062978838</v>
      </c>
      <c r="AT24">
        <v>1073715263</v>
      </c>
      <c r="AU24">
        <v>35432627</v>
      </c>
      <c r="AV24">
        <v>0</v>
      </c>
      <c r="AW24">
        <v>357880</v>
      </c>
      <c r="AX24">
        <v>35432627</v>
      </c>
      <c r="AY24">
        <v>35790508</v>
      </c>
      <c r="AZ24">
        <v>79.867099999999994</v>
      </c>
      <c r="BA24">
        <v>45.1511</v>
      </c>
      <c r="BB24">
        <v>7417.63</v>
      </c>
      <c r="BD24">
        <v>6789</v>
      </c>
      <c r="BE24">
        <v>1234</v>
      </c>
      <c r="BF24" t="str">
        <f t="shared" si="0"/>
        <v>u=1%, k=2x10^8</v>
      </c>
      <c r="BG24" t="str">
        <f t="shared" si="1"/>
        <v>1352</v>
      </c>
    </row>
    <row r="25" spans="1:59">
      <c r="A25" t="s">
        <v>150</v>
      </c>
      <c r="B25" t="s">
        <v>63</v>
      </c>
      <c r="C25">
        <v>72</v>
      </c>
      <c r="D25" t="s">
        <v>64</v>
      </c>
      <c r="E25" t="s">
        <v>59</v>
      </c>
      <c r="F25" t="s">
        <v>60</v>
      </c>
      <c r="G25">
        <v>30000</v>
      </c>
      <c r="H25">
        <v>0.5</v>
      </c>
      <c r="I25">
        <v>0.5</v>
      </c>
      <c r="J25">
        <v>0</v>
      </c>
      <c r="K25">
        <v>1</v>
      </c>
      <c r="L25">
        <v>200000000</v>
      </c>
      <c r="M25">
        <v>144</v>
      </c>
      <c r="N25">
        <v>144</v>
      </c>
      <c r="O25">
        <v>144</v>
      </c>
      <c r="P25">
        <v>0</v>
      </c>
      <c r="Q25" t="s">
        <v>61</v>
      </c>
      <c r="R25">
        <v>1640882147806460</v>
      </c>
      <c r="S25">
        <v>16407528</v>
      </c>
      <c r="T25">
        <v>1640882147806460</v>
      </c>
      <c r="U25">
        <v>16407528</v>
      </c>
      <c r="V25" t="s">
        <v>74</v>
      </c>
      <c r="W25">
        <v>7</v>
      </c>
      <c r="X25">
        <v>2955330</v>
      </c>
      <c r="Y25">
        <v>19184058</v>
      </c>
      <c r="Z25">
        <v>22139388</v>
      </c>
      <c r="AA25">
        <v>16407528</v>
      </c>
      <c r="AB25">
        <v>7.4913400000000001</v>
      </c>
      <c r="AC25">
        <v>0.85526899999999995</v>
      </c>
      <c r="AD25">
        <v>4.0933599999999997</v>
      </c>
      <c r="AE25">
        <v>543385104</v>
      </c>
      <c r="AF25" t="s">
        <v>151</v>
      </c>
      <c r="AG25" t="s">
        <v>152</v>
      </c>
      <c r="AH25">
        <v>3204</v>
      </c>
      <c r="AI25">
        <v>14726</v>
      </c>
      <c r="AP25">
        <v>1462508456</v>
      </c>
      <c r="AQ25">
        <v>0</v>
      </c>
      <c r="AR25">
        <v>14777726</v>
      </c>
      <c r="AS25">
        <v>1462508456</v>
      </c>
      <c r="AT25">
        <v>1477286182</v>
      </c>
      <c r="AU25">
        <v>48750281</v>
      </c>
      <c r="AV25">
        <v>0</v>
      </c>
      <c r="AW25">
        <v>492590</v>
      </c>
      <c r="AX25">
        <v>48750281</v>
      </c>
      <c r="AY25">
        <v>49242872</v>
      </c>
      <c r="AZ25">
        <v>80.666899999999998</v>
      </c>
      <c r="BA25">
        <v>46.317100000000003</v>
      </c>
      <c r="BB25">
        <v>8034.35</v>
      </c>
      <c r="BD25">
        <v>7218</v>
      </c>
      <c r="BE25">
        <v>1155</v>
      </c>
      <c r="BF25" t="str">
        <f t="shared" si="0"/>
        <v>u=1%, k=2x10^8</v>
      </c>
      <c r="BG25" t="str">
        <f t="shared" si="1"/>
        <v>3204</v>
      </c>
    </row>
    <row r="26" spans="1:59">
      <c r="A26" t="s">
        <v>153</v>
      </c>
      <c r="B26" t="s">
        <v>63</v>
      </c>
      <c r="C26">
        <v>72</v>
      </c>
      <c r="D26" t="s">
        <v>64</v>
      </c>
      <c r="E26" t="s">
        <v>59</v>
      </c>
      <c r="F26" t="s">
        <v>60</v>
      </c>
      <c r="G26">
        <v>30000</v>
      </c>
      <c r="H26">
        <v>0.5</v>
      </c>
      <c r="I26">
        <v>0.5</v>
      </c>
      <c r="J26">
        <v>0</v>
      </c>
      <c r="K26">
        <v>1</v>
      </c>
      <c r="L26">
        <v>200000000</v>
      </c>
      <c r="M26">
        <v>190</v>
      </c>
      <c r="N26">
        <v>190</v>
      </c>
      <c r="O26">
        <v>190</v>
      </c>
      <c r="P26">
        <v>0</v>
      </c>
      <c r="Q26" t="s">
        <v>61</v>
      </c>
      <c r="R26">
        <v>1769326898035750</v>
      </c>
      <c r="S26">
        <v>17694529</v>
      </c>
      <c r="T26">
        <v>1769326898035750</v>
      </c>
      <c r="U26">
        <v>17694529</v>
      </c>
      <c r="V26" t="s">
        <v>74</v>
      </c>
      <c r="W26">
        <v>7</v>
      </c>
      <c r="X26">
        <v>2946780</v>
      </c>
      <c r="Y26">
        <v>20410752</v>
      </c>
      <c r="Z26">
        <v>23357532</v>
      </c>
      <c r="AA26">
        <v>17694529</v>
      </c>
      <c r="AB26">
        <v>7.9264599999999996</v>
      </c>
      <c r="AC26">
        <v>0.86692199999999997</v>
      </c>
      <c r="AD26">
        <v>4.0388200000000003</v>
      </c>
      <c r="AE26">
        <v>562315136</v>
      </c>
      <c r="AF26" t="s">
        <v>154</v>
      </c>
      <c r="AG26" t="s">
        <v>155</v>
      </c>
      <c r="AH26">
        <v>3270</v>
      </c>
      <c r="AI26">
        <v>11128</v>
      </c>
      <c r="AP26">
        <v>1768774585</v>
      </c>
      <c r="AQ26">
        <v>0</v>
      </c>
      <c r="AR26">
        <v>17873566</v>
      </c>
      <c r="AS26">
        <v>1768774585</v>
      </c>
      <c r="AT26">
        <v>1786648151</v>
      </c>
      <c r="AU26">
        <v>58959152</v>
      </c>
      <c r="AV26">
        <v>0</v>
      </c>
      <c r="AW26">
        <v>595785</v>
      </c>
      <c r="AX26">
        <v>58959152</v>
      </c>
      <c r="AY26">
        <v>59554938</v>
      </c>
      <c r="AZ26">
        <v>81.390699999999995</v>
      </c>
      <c r="BA26">
        <v>47.102200000000003</v>
      </c>
      <c r="BB26">
        <v>8767.51</v>
      </c>
      <c r="BD26">
        <v>7225</v>
      </c>
      <c r="BE26">
        <v>1230</v>
      </c>
      <c r="BF26" t="str">
        <f t="shared" si="0"/>
        <v>u=1%, k=2x10^8</v>
      </c>
      <c r="BG26" t="str">
        <f t="shared" si="1"/>
        <v>3270</v>
      </c>
    </row>
    <row r="27" spans="1:59">
      <c r="A27" t="s">
        <v>156</v>
      </c>
      <c r="B27" t="s">
        <v>65</v>
      </c>
      <c r="C27">
        <v>208</v>
      </c>
      <c r="D27" t="s">
        <v>64</v>
      </c>
      <c r="E27" t="s">
        <v>59</v>
      </c>
      <c r="F27" t="s">
        <v>60</v>
      </c>
      <c r="G27">
        <v>30000</v>
      </c>
      <c r="H27">
        <v>0.5</v>
      </c>
      <c r="I27">
        <v>0.5</v>
      </c>
      <c r="J27">
        <v>0</v>
      </c>
      <c r="K27">
        <v>1</v>
      </c>
      <c r="L27">
        <v>200000000</v>
      </c>
      <c r="M27">
        <v>24</v>
      </c>
      <c r="N27">
        <v>24</v>
      </c>
      <c r="O27">
        <v>24</v>
      </c>
      <c r="P27">
        <v>0</v>
      </c>
      <c r="Q27" t="s">
        <v>61</v>
      </c>
      <c r="R27">
        <v>1140324761987050</v>
      </c>
      <c r="S27">
        <v>11403701</v>
      </c>
      <c r="T27">
        <v>1140324761987050</v>
      </c>
      <c r="U27">
        <v>11403701</v>
      </c>
      <c r="V27" t="s">
        <v>74</v>
      </c>
      <c r="W27">
        <v>9</v>
      </c>
      <c r="X27">
        <v>212568</v>
      </c>
      <c r="Y27">
        <v>1461223</v>
      </c>
      <c r="Z27">
        <v>1673791</v>
      </c>
      <c r="AA27">
        <v>11403701</v>
      </c>
      <c r="AB27">
        <v>7.8741399999999997</v>
      </c>
      <c r="AC27">
        <v>7.8042199999999999</v>
      </c>
      <c r="AD27">
        <v>8</v>
      </c>
      <c r="AE27">
        <v>348148528</v>
      </c>
      <c r="AI27" t="s">
        <v>157</v>
      </c>
      <c r="AP27">
        <v>311824859</v>
      </c>
      <c r="AQ27">
        <v>0</v>
      </c>
      <c r="AR27">
        <v>3147351</v>
      </c>
      <c r="AS27">
        <v>311824859</v>
      </c>
      <c r="AT27">
        <v>314972210</v>
      </c>
      <c r="AU27">
        <v>10394161</v>
      </c>
      <c r="AV27">
        <v>0</v>
      </c>
      <c r="AW27">
        <v>104911</v>
      </c>
      <c r="AX27">
        <v>10394161</v>
      </c>
      <c r="AY27">
        <v>10499073</v>
      </c>
      <c r="AZ27">
        <v>89.613100000000003</v>
      </c>
      <c r="BA27">
        <v>45.459000000000003</v>
      </c>
      <c r="BB27">
        <v>6373.9</v>
      </c>
      <c r="BD27">
        <v>3041</v>
      </c>
      <c r="BE27">
        <v>1622</v>
      </c>
      <c r="BF27" t="str">
        <f t="shared" si="0"/>
        <v>u=1%, k=2x10^8</v>
      </c>
      <c r="BG27">
        <f t="shared" si="1"/>
        <v>0</v>
      </c>
    </row>
    <row r="28" spans="1:59">
      <c r="A28" t="s">
        <v>158</v>
      </c>
      <c r="B28" t="s">
        <v>65</v>
      </c>
      <c r="C28">
        <v>208</v>
      </c>
      <c r="D28" t="s">
        <v>64</v>
      </c>
      <c r="E28" t="s">
        <v>59</v>
      </c>
      <c r="F28" t="s">
        <v>60</v>
      </c>
      <c r="G28">
        <v>30000</v>
      </c>
      <c r="H28">
        <v>0.5</v>
      </c>
      <c r="I28">
        <v>0.5</v>
      </c>
      <c r="J28">
        <v>0</v>
      </c>
      <c r="K28">
        <v>1</v>
      </c>
      <c r="L28">
        <v>200000000</v>
      </c>
      <c r="M28">
        <v>48</v>
      </c>
      <c r="N28">
        <v>48</v>
      </c>
      <c r="O28">
        <v>48</v>
      </c>
      <c r="P28">
        <v>0</v>
      </c>
      <c r="Q28" t="s">
        <v>61</v>
      </c>
      <c r="R28">
        <v>1245617020831950</v>
      </c>
      <c r="S28">
        <v>12459368</v>
      </c>
      <c r="T28">
        <v>1245617020831950</v>
      </c>
      <c r="U28">
        <v>12459368</v>
      </c>
      <c r="V28" t="s">
        <v>74</v>
      </c>
      <c r="W28">
        <v>9</v>
      </c>
      <c r="X28">
        <v>232439</v>
      </c>
      <c r="Y28">
        <v>1598579</v>
      </c>
      <c r="Z28">
        <v>1831018</v>
      </c>
      <c r="AA28">
        <v>12459368</v>
      </c>
      <c r="AB28">
        <v>7.8774100000000002</v>
      </c>
      <c r="AC28">
        <v>7.7940300000000002</v>
      </c>
      <c r="AD28">
        <v>8</v>
      </c>
      <c r="AE28">
        <v>380851744</v>
      </c>
      <c r="AI28" t="s">
        <v>159</v>
      </c>
      <c r="AP28">
        <v>548927417</v>
      </c>
      <c r="AQ28">
        <v>0</v>
      </c>
      <c r="AR28">
        <v>5544342</v>
      </c>
      <c r="AS28">
        <v>548927417</v>
      </c>
      <c r="AT28">
        <v>554471759</v>
      </c>
      <c r="AU28">
        <v>18297580</v>
      </c>
      <c r="AV28">
        <v>0</v>
      </c>
      <c r="AW28">
        <v>184811</v>
      </c>
      <c r="AX28">
        <v>18297580</v>
      </c>
      <c r="AY28">
        <v>18482391</v>
      </c>
      <c r="AZ28">
        <v>80.723299999999995</v>
      </c>
      <c r="BA28">
        <v>39.049199999999999</v>
      </c>
      <c r="BB28">
        <v>7211.67</v>
      </c>
      <c r="BD28">
        <v>3120</v>
      </c>
      <c r="BE28">
        <v>1261</v>
      </c>
      <c r="BF28" t="str">
        <f t="shared" si="0"/>
        <v>u=1%, k=2x10^8</v>
      </c>
      <c r="BG28">
        <f t="shared" si="1"/>
        <v>0</v>
      </c>
    </row>
    <row r="29" spans="1:59">
      <c r="A29" t="s">
        <v>160</v>
      </c>
      <c r="B29" t="s">
        <v>65</v>
      </c>
      <c r="C29">
        <v>208</v>
      </c>
      <c r="D29" t="s">
        <v>64</v>
      </c>
      <c r="E29" t="s">
        <v>59</v>
      </c>
      <c r="F29" t="s">
        <v>60</v>
      </c>
      <c r="G29">
        <v>30000</v>
      </c>
      <c r="H29">
        <v>0.5</v>
      </c>
      <c r="I29">
        <v>0.5</v>
      </c>
      <c r="J29">
        <v>0</v>
      </c>
      <c r="K29">
        <v>1</v>
      </c>
      <c r="L29">
        <v>200000000</v>
      </c>
      <c r="M29">
        <v>96</v>
      </c>
      <c r="N29">
        <v>96</v>
      </c>
      <c r="O29">
        <v>96</v>
      </c>
      <c r="P29">
        <v>0</v>
      </c>
      <c r="Q29" t="s">
        <v>61</v>
      </c>
      <c r="R29">
        <v>1462620650930510</v>
      </c>
      <c r="S29">
        <v>14626850</v>
      </c>
      <c r="T29">
        <v>1462620650930510</v>
      </c>
      <c r="U29">
        <v>14626850</v>
      </c>
      <c r="V29" t="s">
        <v>74</v>
      </c>
      <c r="W29">
        <v>9</v>
      </c>
      <c r="X29">
        <v>273062</v>
      </c>
      <c r="Y29">
        <v>1879634</v>
      </c>
      <c r="Z29">
        <v>2152696</v>
      </c>
      <c r="AA29">
        <v>14626850</v>
      </c>
      <c r="AB29">
        <v>7.88354</v>
      </c>
      <c r="AC29">
        <v>7.7817499999999997</v>
      </c>
      <c r="AD29">
        <v>8</v>
      </c>
      <c r="AE29">
        <v>447760768</v>
      </c>
      <c r="AI29" t="s">
        <v>161</v>
      </c>
      <c r="AP29">
        <v>1045064335</v>
      </c>
      <c r="AQ29">
        <v>0</v>
      </c>
      <c r="AR29">
        <v>10550679</v>
      </c>
      <c r="AS29">
        <v>1045064335</v>
      </c>
      <c r="AT29">
        <v>1055615014</v>
      </c>
      <c r="AU29">
        <v>34835477</v>
      </c>
      <c r="AV29">
        <v>0</v>
      </c>
      <c r="AW29">
        <v>351689</v>
      </c>
      <c r="AX29">
        <v>34835477</v>
      </c>
      <c r="AY29">
        <v>35187167</v>
      </c>
      <c r="AZ29">
        <v>84.564099999999996</v>
      </c>
      <c r="BA29">
        <v>46.610900000000001</v>
      </c>
      <c r="BB29">
        <v>7556.11</v>
      </c>
      <c r="BD29">
        <v>3261</v>
      </c>
      <c r="BE29">
        <v>1149</v>
      </c>
      <c r="BF29" t="str">
        <f t="shared" si="0"/>
        <v>u=1%, k=2x10^8</v>
      </c>
      <c r="BG29">
        <f t="shared" si="1"/>
        <v>0</v>
      </c>
    </row>
    <row r="30" spans="1:59">
      <c r="A30" t="s">
        <v>162</v>
      </c>
      <c r="B30" t="s">
        <v>65</v>
      </c>
      <c r="C30">
        <v>208</v>
      </c>
      <c r="D30" t="s">
        <v>64</v>
      </c>
      <c r="E30" t="s">
        <v>59</v>
      </c>
      <c r="F30" t="s">
        <v>60</v>
      </c>
      <c r="G30">
        <v>30000</v>
      </c>
      <c r="H30">
        <v>0.5</v>
      </c>
      <c r="I30">
        <v>0.5</v>
      </c>
      <c r="J30">
        <v>0</v>
      </c>
      <c r="K30">
        <v>1</v>
      </c>
      <c r="L30">
        <v>200000000</v>
      </c>
      <c r="M30">
        <v>144</v>
      </c>
      <c r="N30">
        <v>144</v>
      </c>
      <c r="O30">
        <v>144</v>
      </c>
      <c r="P30">
        <v>0</v>
      </c>
      <c r="Q30" t="s">
        <v>61</v>
      </c>
      <c r="R30">
        <v>1649397317555460</v>
      </c>
      <c r="S30">
        <v>16490809</v>
      </c>
      <c r="T30">
        <v>1649397317555460</v>
      </c>
      <c r="U30">
        <v>16490809</v>
      </c>
      <c r="V30" t="s">
        <v>74</v>
      </c>
      <c r="W30">
        <v>9</v>
      </c>
      <c r="X30">
        <v>308382</v>
      </c>
      <c r="Y30">
        <v>2122351</v>
      </c>
      <c r="Z30">
        <v>2430733</v>
      </c>
      <c r="AA30">
        <v>16490809</v>
      </c>
      <c r="AB30">
        <v>7.8822099999999997</v>
      </c>
      <c r="AC30">
        <v>7.7700699999999996</v>
      </c>
      <c r="AD30">
        <v>8</v>
      </c>
      <c r="AE30">
        <v>505592464</v>
      </c>
      <c r="AI30" t="s">
        <v>163</v>
      </c>
      <c r="AP30">
        <v>1482178064</v>
      </c>
      <c r="AQ30">
        <v>0</v>
      </c>
      <c r="AR30">
        <v>14976007</v>
      </c>
      <c r="AS30">
        <v>1482178064</v>
      </c>
      <c r="AT30">
        <v>1497154071</v>
      </c>
      <c r="AU30">
        <v>49405935</v>
      </c>
      <c r="AV30">
        <v>0</v>
      </c>
      <c r="AW30">
        <v>499200</v>
      </c>
      <c r="AX30">
        <v>49405935</v>
      </c>
      <c r="AY30">
        <v>49905135</v>
      </c>
      <c r="AZ30">
        <v>85.651499999999999</v>
      </c>
      <c r="BA30">
        <v>47.946899999999999</v>
      </c>
      <c r="BB30">
        <v>7895.88</v>
      </c>
      <c r="BD30">
        <v>3340</v>
      </c>
      <c r="BE30">
        <v>898</v>
      </c>
      <c r="BF30" t="str">
        <f t="shared" si="0"/>
        <v>u=1%, k=2x10^8</v>
      </c>
      <c r="BG30">
        <f t="shared" si="1"/>
        <v>0</v>
      </c>
    </row>
    <row r="31" spans="1:59">
      <c r="A31" t="s">
        <v>164</v>
      </c>
      <c r="B31" t="s">
        <v>65</v>
      </c>
      <c r="C31">
        <v>208</v>
      </c>
      <c r="D31" t="s">
        <v>64</v>
      </c>
      <c r="E31" t="s">
        <v>59</v>
      </c>
      <c r="F31" t="s">
        <v>60</v>
      </c>
      <c r="G31">
        <v>30000</v>
      </c>
      <c r="H31">
        <v>0.5</v>
      </c>
      <c r="I31">
        <v>0.5</v>
      </c>
      <c r="J31">
        <v>0</v>
      </c>
      <c r="K31">
        <v>1</v>
      </c>
      <c r="L31">
        <v>200000000</v>
      </c>
      <c r="M31">
        <v>190</v>
      </c>
      <c r="N31">
        <v>190</v>
      </c>
      <c r="O31">
        <v>190</v>
      </c>
      <c r="P31">
        <v>0</v>
      </c>
      <c r="Q31" t="s">
        <v>61</v>
      </c>
      <c r="R31">
        <v>1775699507992670</v>
      </c>
      <c r="S31">
        <v>17756332</v>
      </c>
      <c r="T31">
        <v>1775699507992670</v>
      </c>
      <c r="U31">
        <v>17756332</v>
      </c>
      <c r="V31" t="s">
        <v>74</v>
      </c>
      <c r="W31">
        <v>10</v>
      </c>
      <c r="X31">
        <v>332391</v>
      </c>
      <c r="Y31">
        <v>2287124</v>
      </c>
      <c r="Z31">
        <v>2619515</v>
      </c>
      <c r="AA31">
        <v>17756332</v>
      </c>
      <c r="AB31">
        <v>7.8808199999999999</v>
      </c>
      <c r="AC31">
        <v>7.7636099999999999</v>
      </c>
      <c r="AD31">
        <v>9</v>
      </c>
      <c r="AE31">
        <v>544859120</v>
      </c>
      <c r="AI31" t="s">
        <v>165</v>
      </c>
      <c r="AP31">
        <v>1784113958</v>
      </c>
      <c r="AQ31">
        <v>0</v>
      </c>
      <c r="AR31">
        <v>18023128</v>
      </c>
      <c r="AS31">
        <v>1784113958</v>
      </c>
      <c r="AT31">
        <v>1802137086</v>
      </c>
      <c r="AU31">
        <v>59470465</v>
      </c>
      <c r="AV31">
        <v>0</v>
      </c>
      <c r="AW31">
        <v>600770</v>
      </c>
      <c r="AX31">
        <v>59470465</v>
      </c>
      <c r="AY31">
        <v>60071236</v>
      </c>
      <c r="AZ31">
        <v>86.951599999999999</v>
      </c>
      <c r="BA31">
        <v>49.000599999999999</v>
      </c>
      <c r="BB31">
        <v>8698.51</v>
      </c>
      <c r="BD31">
        <v>3462</v>
      </c>
      <c r="BE31">
        <v>969</v>
      </c>
      <c r="BF31" t="str">
        <f t="shared" si="0"/>
        <v>u=1%, k=2x10^8</v>
      </c>
      <c r="BG31">
        <f t="shared" si="1"/>
        <v>0</v>
      </c>
    </row>
    <row r="32" spans="1:59">
      <c r="A32" t="s">
        <v>166</v>
      </c>
      <c r="B32" t="s">
        <v>66</v>
      </c>
      <c r="D32" t="s">
        <v>64</v>
      </c>
      <c r="E32" t="s">
        <v>59</v>
      </c>
      <c r="F32" t="s">
        <v>60</v>
      </c>
      <c r="G32">
        <v>30000</v>
      </c>
      <c r="H32">
        <v>0.5</v>
      </c>
      <c r="I32">
        <v>0.5</v>
      </c>
      <c r="J32">
        <v>0</v>
      </c>
      <c r="K32">
        <v>1</v>
      </c>
      <c r="L32">
        <v>200000000</v>
      </c>
      <c r="M32">
        <v>24</v>
      </c>
      <c r="N32">
        <v>24</v>
      </c>
      <c r="O32">
        <v>24</v>
      </c>
      <c r="P32">
        <v>0</v>
      </c>
      <c r="Q32" t="s">
        <v>61</v>
      </c>
      <c r="R32">
        <v>1089131978057180</v>
      </c>
      <c r="S32">
        <v>10893677</v>
      </c>
      <c r="T32">
        <v>1089131978057180</v>
      </c>
      <c r="U32">
        <v>10893677</v>
      </c>
      <c r="V32" t="s">
        <v>74</v>
      </c>
      <c r="W32">
        <v>29</v>
      </c>
      <c r="X32">
        <v>6237205</v>
      </c>
      <c r="Y32">
        <v>4678732</v>
      </c>
      <c r="Z32">
        <v>10915937</v>
      </c>
      <c r="AA32">
        <v>10893677</v>
      </c>
      <c r="AB32">
        <v>1.75013</v>
      </c>
      <c r="AC32">
        <v>2.3283399999999999</v>
      </c>
      <c r="AD32">
        <v>22.8673</v>
      </c>
      <c r="AE32">
        <v>611292472</v>
      </c>
      <c r="AI32" t="s">
        <v>167</v>
      </c>
      <c r="AP32">
        <v>197434510</v>
      </c>
      <c r="AQ32">
        <v>0</v>
      </c>
      <c r="AR32">
        <v>1994555</v>
      </c>
      <c r="AS32">
        <v>197434510</v>
      </c>
      <c r="AT32">
        <v>199429065</v>
      </c>
      <c r="AU32">
        <v>6581150</v>
      </c>
      <c r="AV32">
        <v>0</v>
      </c>
      <c r="AW32">
        <v>66485</v>
      </c>
      <c r="AX32">
        <v>6581150</v>
      </c>
      <c r="AY32">
        <v>6647635</v>
      </c>
      <c r="AZ32">
        <v>104.852</v>
      </c>
      <c r="BA32">
        <v>53.415300000000002</v>
      </c>
      <c r="BB32">
        <v>10068.9</v>
      </c>
      <c r="BD32">
        <v>3340</v>
      </c>
      <c r="BE32">
        <v>2052</v>
      </c>
      <c r="BF32" t="str">
        <f t="shared" si="0"/>
        <v>u=1%, k=2x10^8</v>
      </c>
      <c r="BG32">
        <f t="shared" si="1"/>
        <v>0</v>
      </c>
    </row>
    <row r="33" spans="1:59">
      <c r="A33" t="s">
        <v>168</v>
      </c>
      <c r="B33" t="s">
        <v>66</v>
      </c>
      <c r="D33" t="s">
        <v>64</v>
      </c>
      <c r="E33" t="s">
        <v>59</v>
      </c>
      <c r="F33" t="s">
        <v>60</v>
      </c>
      <c r="G33">
        <v>30000</v>
      </c>
      <c r="H33">
        <v>0.5</v>
      </c>
      <c r="I33">
        <v>0.5</v>
      </c>
      <c r="J33">
        <v>0</v>
      </c>
      <c r="K33">
        <v>1</v>
      </c>
      <c r="L33">
        <v>200000000</v>
      </c>
      <c r="M33">
        <v>48</v>
      </c>
      <c r="N33">
        <v>48</v>
      </c>
      <c r="O33">
        <v>48</v>
      </c>
      <c r="P33">
        <v>0</v>
      </c>
      <c r="Q33" t="s">
        <v>61</v>
      </c>
      <c r="R33">
        <v>1163024732420640</v>
      </c>
      <c r="S33">
        <v>11629479</v>
      </c>
      <c r="T33">
        <v>1163024732420640</v>
      </c>
      <c r="U33">
        <v>11629479</v>
      </c>
      <c r="V33" t="s">
        <v>74</v>
      </c>
      <c r="W33">
        <v>29</v>
      </c>
      <c r="X33">
        <v>6667895</v>
      </c>
      <c r="Y33">
        <v>5003301</v>
      </c>
      <c r="Z33">
        <v>11671196</v>
      </c>
      <c r="AA33">
        <v>11629479</v>
      </c>
      <c r="AB33">
        <v>1.7503599999999999</v>
      </c>
      <c r="AC33">
        <v>2.32436</v>
      </c>
      <c r="AD33">
        <v>22.952500000000001</v>
      </c>
      <c r="AE33">
        <v>653586976</v>
      </c>
      <c r="AI33" t="s">
        <v>169</v>
      </c>
      <c r="AP33">
        <v>361660899</v>
      </c>
      <c r="AQ33">
        <v>0</v>
      </c>
      <c r="AR33">
        <v>3653078</v>
      </c>
      <c r="AS33">
        <v>361660899</v>
      </c>
      <c r="AT33">
        <v>365313977</v>
      </c>
      <c r="AU33">
        <v>12055363</v>
      </c>
      <c r="AV33">
        <v>0</v>
      </c>
      <c r="AW33">
        <v>121769</v>
      </c>
      <c r="AX33">
        <v>12055363</v>
      </c>
      <c r="AY33">
        <v>12177132</v>
      </c>
      <c r="AZ33">
        <v>98.0595</v>
      </c>
      <c r="BA33">
        <v>47.591500000000003</v>
      </c>
      <c r="BB33">
        <v>10989.3</v>
      </c>
      <c r="BD33">
        <v>3393</v>
      </c>
      <c r="BE33">
        <v>1366</v>
      </c>
      <c r="BF33" t="str">
        <f t="shared" si="0"/>
        <v>u=1%, k=2x10^8</v>
      </c>
      <c r="BG33">
        <f t="shared" si="1"/>
        <v>0</v>
      </c>
    </row>
    <row r="34" spans="1:59">
      <c r="A34" t="s">
        <v>170</v>
      </c>
      <c r="B34" t="s">
        <v>66</v>
      </c>
      <c r="D34" t="s">
        <v>64</v>
      </c>
      <c r="E34" t="s">
        <v>59</v>
      </c>
      <c r="F34" t="s">
        <v>60</v>
      </c>
      <c r="G34">
        <v>30000</v>
      </c>
      <c r="H34">
        <v>0.5</v>
      </c>
      <c r="I34">
        <v>0.5</v>
      </c>
      <c r="J34">
        <v>0</v>
      </c>
      <c r="K34">
        <v>1</v>
      </c>
      <c r="L34">
        <v>200000000</v>
      </c>
      <c r="M34">
        <v>96</v>
      </c>
      <c r="N34">
        <v>96</v>
      </c>
      <c r="O34">
        <v>96</v>
      </c>
      <c r="P34">
        <v>0</v>
      </c>
      <c r="Q34" t="s">
        <v>61</v>
      </c>
      <c r="R34">
        <v>1333626179943460</v>
      </c>
      <c r="S34">
        <v>13337064</v>
      </c>
      <c r="T34">
        <v>1333626179943460</v>
      </c>
      <c r="U34">
        <v>13337064</v>
      </c>
      <c r="V34" t="s">
        <v>74</v>
      </c>
      <c r="W34">
        <v>30</v>
      </c>
      <c r="X34">
        <v>7672272</v>
      </c>
      <c r="Y34">
        <v>5756944</v>
      </c>
      <c r="Z34">
        <v>13429216</v>
      </c>
      <c r="AA34">
        <v>13337064</v>
      </c>
      <c r="AB34">
        <v>1.7503599999999999</v>
      </c>
      <c r="AC34">
        <v>2.3166899999999999</v>
      </c>
      <c r="AD34">
        <v>23.168299999999999</v>
      </c>
      <c r="AE34">
        <v>752036096</v>
      </c>
      <c r="AI34" t="s">
        <v>171</v>
      </c>
      <c r="AP34">
        <v>747710573</v>
      </c>
      <c r="AQ34">
        <v>0</v>
      </c>
      <c r="AR34">
        <v>7553074</v>
      </c>
      <c r="AS34">
        <v>747710573</v>
      </c>
      <c r="AT34">
        <v>755263647</v>
      </c>
      <c r="AU34">
        <v>24923685</v>
      </c>
      <c r="AV34">
        <v>0</v>
      </c>
      <c r="AW34">
        <v>251769</v>
      </c>
      <c r="AX34">
        <v>24923685</v>
      </c>
      <c r="AY34">
        <v>25175454</v>
      </c>
      <c r="AZ34">
        <v>101.26300000000001</v>
      </c>
      <c r="BA34">
        <v>55.1511</v>
      </c>
      <c r="BB34">
        <v>10569.1</v>
      </c>
      <c r="BD34">
        <v>3521</v>
      </c>
      <c r="BE34">
        <v>936</v>
      </c>
      <c r="BF34" t="str">
        <f t="shared" si="0"/>
        <v>u=1%, k=2x10^8</v>
      </c>
      <c r="BG34">
        <f t="shared" si="1"/>
        <v>0</v>
      </c>
    </row>
    <row r="35" spans="1:59">
      <c r="A35" t="s">
        <v>172</v>
      </c>
      <c r="B35" t="s">
        <v>66</v>
      </c>
      <c r="D35" t="s">
        <v>64</v>
      </c>
      <c r="E35" t="s">
        <v>59</v>
      </c>
      <c r="F35" t="s">
        <v>60</v>
      </c>
      <c r="G35">
        <v>30000</v>
      </c>
      <c r="H35">
        <v>0.5</v>
      </c>
      <c r="I35">
        <v>0.5</v>
      </c>
      <c r="J35">
        <v>0</v>
      </c>
      <c r="K35">
        <v>1</v>
      </c>
      <c r="L35">
        <v>200000000</v>
      </c>
      <c r="M35">
        <v>144</v>
      </c>
      <c r="N35">
        <v>144</v>
      </c>
      <c r="O35">
        <v>144</v>
      </c>
      <c r="P35">
        <v>0</v>
      </c>
      <c r="Q35" t="s">
        <v>61</v>
      </c>
      <c r="R35">
        <v>1474098431640000</v>
      </c>
      <c r="S35">
        <v>14740597</v>
      </c>
      <c r="T35">
        <v>1474098431640000</v>
      </c>
      <c r="U35">
        <v>14740597</v>
      </c>
      <c r="V35" t="s">
        <v>74</v>
      </c>
      <c r="W35">
        <v>30</v>
      </c>
      <c r="X35">
        <v>8500201</v>
      </c>
      <c r="Y35">
        <v>6379406</v>
      </c>
      <c r="Z35">
        <v>14879607</v>
      </c>
      <c r="AA35">
        <v>14740597</v>
      </c>
      <c r="AB35">
        <v>1.7504999999999999</v>
      </c>
      <c r="AC35">
        <v>2.3106499999999999</v>
      </c>
      <c r="AD35">
        <v>23.315200000000001</v>
      </c>
      <c r="AE35">
        <v>833257992</v>
      </c>
      <c r="AI35" t="s">
        <v>173</v>
      </c>
      <c r="AP35">
        <v>1071253702</v>
      </c>
      <c r="AQ35">
        <v>0</v>
      </c>
      <c r="AR35">
        <v>10815637</v>
      </c>
      <c r="AS35">
        <v>1071253702</v>
      </c>
      <c r="AT35">
        <v>1082069339</v>
      </c>
      <c r="AU35">
        <v>35708456</v>
      </c>
      <c r="AV35">
        <v>0</v>
      </c>
      <c r="AW35">
        <v>360521</v>
      </c>
      <c r="AX35">
        <v>35708456</v>
      </c>
      <c r="AY35">
        <v>36068977</v>
      </c>
      <c r="AZ35">
        <v>102.146</v>
      </c>
      <c r="BA35">
        <v>56.854700000000001</v>
      </c>
      <c r="BB35">
        <v>11058.9</v>
      </c>
      <c r="BD35">
        <v>3629</v>
      </c>
      <c r="BE35">
        <v>565</v>
      </c>
      <c r="BF35" t="str">
        <f t="shared" si="0"/>
        <v>u=1%, k=2x10^8</v>
      </c>
      <c r="BG35">
        <f t="shared" si="1"/>
        <v>0</v>
      </c>
    </row>
    <row r="36" spans="1:59">
      <c r="A36" t="s">
        <v>174</v>
      </c>
      <c r="B36" t="s">
        <v>66</v>
      </c>
      <c r="D36" t="s">
        <v>64</v>
      </c>
      <c r="E36" t="s">
        <v>59</v>
      </c>
      <c r="F36" t="s">
        <v>60</v>
      </c>
      <c r="G36">
        <v>30000</v>
      </c>
      <c r="H36">
        <v>0.5</v>
      </c>
      <c r="I36">
        <v>0.5</v>
      </c>
      <c r="J36">
        <v>0</v>
      </c>
      <c r="K36">
        <v>1</v>
      </c>
      <c r="L36">
        <v>200000000</v>
      </c>
      <c r="M36">
        <v>190</v>
      </c>
      <c r="N36">
        <v>190</v>
      </c>
      <c r="O36">
        <v>190</v>
      </c>
      <c r="P36">
        <v>0</v>
      </c>
      <c r="Q36" t="s">
        <v>61</v>
      </c>
      <c r="R36">
        <v>1588577647129230</v>
      </c>
      <c r="S36">
        <v>15887728</v>
      </c>
      <c r="T36">
        <v>1588577647129230</v>
      </c>
      <c r="U36">
        <v>15887728</v>
      </c>
      <c r="V36" t="s">
        <v>74</v>
      </c>
      <c r="W36">
        <v>30</v>
      </c>
      <c r="X36">
        <v>9180559</v>
      </c>
      <c r="Y36">
        <v>6888439</v>
      </c>
      <c r="Z36">
        <v>16068998</v>
      </c>
      <c r="AA36">
        <v>15887728</v>
      </c>
      <c r="AB36">
        <v>1.7503299999999999</v>
      </c>
      <c r="AC36">
        <v>2.3064300000000002</v>
      </c>
      <c r="AD36">
        <v>23.407900000000001</v>
      </c>
      <c r="AE36">
        <v>899863888</v>
      </c>
      <c r="AI36" t="s">
        <v>175</v>
      </c>
      <c r="AP36">
        <v>1339685475</v>
      </c>
      <c r="AQ36">
        <v>0</v>
      </c>
      <c r="AR36">
        <v>13531234</v>
      </c>
      <c r="AS36">
        <v>1339685475</v>
      </c>
      <c r="AT36">
        <v>1353216709</v>
      </c>
      <c r="AU36">
        <v>44656182</v>
      </c>
      <c r="AV36">
        <v>0</v>
      </c>
      <c r="AW36">
        <v>451041</v>
      </c>
      <c r="AX36">
        <v>44656182</v>
      </c>
      <c r="AY36">
        <v>45107223</v>
      </c>
      <c r="AZ36">
        <v>103.099</v>
      </c>
      <c r="BA36">
        <v>57.707599999999999</v>
      </c>
      <c r="BB36">
        <v>11653.2</v>
      </c>
      <c r="BD36">
        <v>3720</v>
      </c>
      <c r="BE36">
        <v>573</v>
      </c>
      <c r="BF36" t="str">
        <f t="shared" si="0"/>
        <v>u=1%, k=2x10^8</v>
      </c>
      <c r="BG36">
        <f t="shared" si="1"/>
        <v>0</v>
      </c>
    </row>
    <row r="37" spans="1:59">
      <c r="A37" t="s">
        <v>176</v>
      </c>
      <c r="B37" t="s">
        <v>67</v>
      </c>
      <c r="D37" t="s">
        <v>64</v>
      </c>
      <c r="E37" t="s">
        <v>59</v>
      </c>
      <c r="F37" t="s">
        <v>60</v>
      </c>
      <c r="G37">
        <v>30000</v>
      </c>
      <c r="H37">
        <v>0.5</v>
      </c>
      <c r="I37">
        <v>0.5</v>
      </c>
      <c r="J37">
        <v>0</v>
      </c>
      <c r="K37">
        <v>1</v>
      </c>
      <c r="L37">
        <v>200000000</v>
      </c>
      <c r="M37">
        <v>24</v>
      </c>
      <c r="N37">
        <v>24</v>
      </c>
      <c r="O37">
        <v>24</v>
      </c>
      <c r="P37">
        <v>0</v>
      </c>
      <c r="Q37" t="s">
        <v>61</v>
      </c>
      <c r="R37">
        <v>1081277791246280</v>
      </c>
      <c r="S37">
        <v>10816249</v>
      </c>
      <c r="T37">
        <v>1081277791246280</v>
      </c>
      <c r="U37">
        <v>10816249</v>
      </c>
      <c r="V37" t="s">
        <v>74</v>
      </c>
      <c r="W37">
        <v>67</v>
      </c>
      <c r="X37">
        <v>10816248</v>
      </c>
      <c r="Y37">
        <v>10816249</v>
      </c>
      <c r="Z37">
        <v>21632497</v>
      </c>
      <c r="AA37">
        <v>10816249</v>
      </c>
      <c r="AB37">
        <v>2</v>
      </c>
      <c r="AC37">
        <v>1</v>
      </c>
      <c r="AD37">
        <v>32.284999999999997</v>
      </c>
      <c r="AE37">
        <v>692239904</v>
      </c>
      <c r="AI37" t="s">
        <v>177</v>
      </c>
      <c r="AP37">
        <v>180349692</v>
      </c>
      <c r="AQ37">
        <v>0</v>
      </c>
      <c r="AR37">
        <v>1822724</v>
      </c>
      <c r="AS37">
        <v>180349692</v>
      </c>
      <c r="AT37">
        <v>182172416</v>
      </c>
      <c r="AU37">
        <v>6011656</v>
      </c>
      <c r="AV37">
        <v>0</v>
      </c>
      <c r="AW37">
        <v>60757</v>
      </c>
      <c r="AX37">
        <v>6011656</v>
      </c>
      <c r="AY37">
        <v>6072413</v>
      </c>
      <c r="AZ37">
        <v>98.896699999999996</v>
      </c>
      <c r="BA37">
        <v>50.541800000000002</v>
      </c>
      <c r="BB37">
        <v>11023.7</v>
      </c>
      <c r="BD37">
        <v>3331</v>
      </c>
      <c r="BE37">
        <v>2009</v>
      </c>
      <c r="BF37" t="str">
        <f t="shared" si="0"/>
        <v>u=1%, k=2x10^8</v>
      </c>
      <c r="BG37">
        <f t="shared" si="1"/>
        <v>0</v>
      </c>
    </row>
    <row r="38" spans="1:59">
      <c r="A38" t="s">
        <v>178</v>
      </c>
      <c r="B38" t="s">
        <v>67</v>
      </c>
      <c r="D38" t="s">
        <v>64</v>
      </c>
      <c r="E38" t="s">
        <v>59</v>
      </c>
      <c r="F38" t="s">
        <v>60</v>
      </c>
      <c r="G38">
        <v>30000</v>
      </c>
      <c r="H38">
        <v>0.5</v>
      </c>
      <c r="I38">
        <v>0.5</v>
      </c>
      <c r="J38">
        <v>0</v>
      </c>
      <c r="K38">
        <v>1</v>
      </c>
      <c r="L38">
        <v>200000000</v>
      </c>
      <c r="M38">
        <v>48</v>
      </c>
      <c r="N38">
        <v>48</v>
      </c>
      <c r="O38">
        <v>48</v>
      </c>
      <c r="P38">
        <v>0</v>
      </c>
      <c r="Q38" t="s">
        <v>61</v>
      </c>
      <c r="R38">
        <v>1151110902051060</v>
      </c>
      <c r="S38">
        <v>11515737</v>
      </c>
      <c r="T38">
        <v>1151110902051060</v>
      </c>
      <c r="U38">
        <v>11515737</v>
      </c>
      <c r="V38" t="s">
        <v>74</v>
      </c>
      <c r="W38">
        <v>61</v>
      </c>
      <c r="X38">
        <v>11515736</v>
      </c>
      <c r="Y38">
        <v>11515737</v>
      </c>
      <c r="Z38">
        <v>23031473</v>
      </c>
      <c r="AA38">
        <v>11515737</v>
      </c>
      <c r="AB38">
        <v>2</v>
      </c>
      <c r="AC38">
        <v>1</v>
      </c>
      <c r="AD38">
        <v>31.7059</v>
      </c>
      <c r="AE38">
        <v>737007136</v>
      </c>
      <c r="AI38" t="s">
        <v>179</v>
      </c>
      <c r="AP38">
        <v>336292079</v>
      </c>
      <c r="AQ38">
        <v>0</v>
      </c>
      <c r="AR38">
        <v>3397161</v>
      </c>
      <c r="AS38">
        <v>336292079</v>
      </c>
      <c r="AT38">
        <v>339689240</v>
      </c>
      <c r="AU38">
        <v>11209735</v>
      </c>
      <c r="AV38">
        <v>0</v>
      </c>
      <c r="AW38">
        <v>113238</v>
      </c>
      <c r="AX38">
        <v>11209735</v>
      </c>
      <c r="AY38">
        <v>11322974</v>
      </c>
      <c r="AZ38">
        <v>90.279499999999999</v>
      </c>
      <c r="BA38">
        <v>43.655000000000001</v>
      </c>
      <c r="BB38">
        <v>11820.2</v>
      </c>
      <c r="BD38">
        <v>3382</v>
      </c>
      <c r="BE38">
        <v>1338</v>
      </c>
      <c r="BF38" t="str">
        <f t="shared" si="0"/>
        <v>u=1%, k=2x10^8</v>
      </c>
      <c r="BG38">
        <f t="shared" si="1"/>
        <v>0</v>
      </c>
    </row>
    <row r="39" spans="1:59">
      <c r="A39" t="s">
        <v>180</v>
      </c>
      <c r="B39" t="s">
        <v>67</v>
      </c>
      <c r="D39" t="s">
        <v>64</v>
      </c>
      <c r="E39" t="s">
        <v>59</v>
      </c>
      <c r="F39" t="s">
        <v>60</v>
      </c>
      <c r="G39">
        <v>30000</v>
      </c>
      <c r="H39">
        <v>0.5</v>
      </c>
      <c r="I39">
        <v>0.5</v>
      </c>
      <c r="J39">
        <v>0</v>
      </c>
      <c r="K39">
        <v>1</v>
      </c>
      <c r="L39">
        <v>200000000</v>
      </c>
      <c r="M39">
        <v>96</v>
      </c>
      <c r="N39">
        <v>96</v>
      </c>
      <c r="O39">
        <v>96</v>
      </c>
      <c r="P39">
        <v>0</v>
      </c>
      <c r="Q39" t="s">
        <v>61</v>
      </c>
      <c r="R39">
        <v>1320434896295040</v>
      </c>
      <c r="S39">
        <v>13205683</v>
      </c>
      <c r="T39">
        <v>1320434896295040</v>
      </c>
      <c r="U39">
        <v>13205683</v>
      </c>
      <c r="V39" t="s">
        <v>74</v>
      </c>
      <c r="W39">
        <v>62</v>
      </c>
      <c r="X39">
        <v>13205682</v>
      </c>
      <c r="Y39">
        <v>13205683</v>
      </c>
      <c r="Z39">
        <v>26411365</v>
      </c>
      <c r="AA39">
        <v>13205683</v>
      </c>
      <c r="AB39">
        <v>2</v>
      </c>
      <c r="AC39">
        <v>1</v>
      </c>
      <c r="AD39">
        <v>30.836200000000002</v>
      </c>
      <c r="AE39">
        <v>845163680</v>
      </c>
      <c r="AI39" t="s">
        <v>181</v>
      </c>
      <c r="AP39">
        <v>717981509</v>
      </c>
      <c r="AQ39">
        <v>0</v>
      </c>
      <c r="AR39">
        <v>7254667</v>
      </c>
      <c r="AS39">
        <v>717981509</v>
      </c>
      <c r="AT39">
        <v>725236176</v>
      </c>
      <c r="AU39">
        <v>23932716</v>
      </c>
      <c r="AV39">
        <v>0</v>
      </c>
      <c r="AW39">
        <v>241822</v>
      </c>
      <c r="AX39">
        <v>23932716</v>
      </c>
      <c r="AY39">
        <v>24174539</v>
      </c>
      <c r="AZ39">
        <v>93.589299999999994</v>
      </c>
      <c r="BA39">
        <v>50.409500000000001</v>
      </c>
      <c r="BB39">
        <v>11050.4</v>
      </c>
      <c r="BD39">
        <v>3506</v>
      </c>
      <c r="BE39">
        <v>879</v>
      </c>
      <c r="BF39" t="str">
        <f t="shared" si="0"/>
        <v>u=1%, k=2x10^8</v>
      </c>
      <c r="BG39">
        <f t="shared" si="1"/>
        <v>0</v>
      </c>
    </row>
    <row r="40" spans="1:59">
      <c r="A40" t="s">
        <v>182</v>
      </c>
      <c r="B40" t="s">
        <v>67</v>
      </c>
      <c r="D40" t="s">
        <v>64</v>
      </c>
      <c r="E40" t="s">
        <v>59</v>
      </c>
      <c r="F40" t="s">
        <v>60</v>
      </c>
      <c r="G40">
        <v>30000</v>
      </c>
      <c r="H40">
        <v>0.5</v>
      </c>
      <c r="I40">
        <v>0.5</v>
      </c>
      <c r="J40">
        <v>0</v>
      </c>
      <c r="K40">
        <v>1</v>
      </c>
      <c r="L40">
        <v>200000000</v>
      </c>
      <c r="M40">
        <v>144</v>
      </c>
      <c r="N40">
        <v>144</v>
      </c>
      <c r="O40">
        <v>144</v>
      </c>
      <c r="P40">
        <v>0</v>
      </c>
      <c r="Q40" t="s">
        <v>61</v>
      </c>
      <c r="R40">
        <v>1466217867890140</v>
      </c>
      <c r="S40">
        <v>14660176</v>
      </c>
      <c r="T40">
        <v>1466217867890140</v>
      </c>
      <c r="U40">
        <v>14660176</v>
      </c>
      <c r="V40" t="s">
        <v>74</v>
      </c>
      <c r="W40">
        <v>68</v>
      </c>
      <c r="X40">
        <v>14660175</v>
      </c>
      <c r="Y40">
        <v>14660176</v>
      </c>
      <c r="Z40">
        <v>29320351</v>
      </c>
      <c r="AA40">
        <v>14660176</v>
      </c>
      <c r="AB40">
        <v>2</v>
      </c>
      <c r="AC40">
        <v>1</v>
      </c>
      <c r="AD40">
        <v>32.968200000000003</v>
      </c>
      <c r="AE40">
        <v>938251232</v>
      </c>
      <c r="AI40" t="s">
        <v>183</v>
      </c>
      <c r="AP40">
        <v>1052487328</v>
      </c>
      <c r="AQ40">
        <v>0</v>
      </c>
      <c r="AR40">
        <v>10633088</v>
      </c>
      <c r="AS40">
        <v>1052487328</v>
      </c>
      <c r="AT40">
        <v>1063120416</v>
      </c>
      <c r="AU40">
        <v>35082910</v>
      </c>
      <c r="AV40">
        <v>0</v>
      </c>
      <c r="AW40">
        <v>354436</v>
      </c>
      <c r="AX40">
        <v>35082910</v>
      </c>
      <c r="AY40">
        <v>35437347</v>
      </c>
      <c r="AZ40">
        <v>94.529300000000006</v>
      </c>
      <c r="BA40">
        <v>51.946399999999997</v>
      </c>
      <c r="BB40">
        <v>11303.2</v>
      </c>
      <c r="BD40">
        <v>3614</v>
      </c>
      <c r="BE40">
        <v>535</v>
      </c>
      <c r="BF40" t="str">
        <f t="shared" si="0"/>
        <v>u=1%, k=2x10^8</v>
      </c>
      <c r="BG40">
        <f t="shared" si="1"/>
        <v>0</v>
      </c>
    </row>
    <row r="41" spans="1:59">
      <c r="A41" t="s">
        <v>184</v>
      </c>
      <c r="B41" t="s">
        <v>67</v>
      </c>
      <c r="D41" t="s">
        <v>64</v>
      </c>
      <c r="E41" t="s">
        <v>59</v>
      </c>
      <c r="F41" t="s">
        <v>60</v>
      </c>
      <c r="G41">
        <v>30000</v>
      </c>
      <c r="H41">
        <v>0.5</v>
      </c>
      <c r="I41">
        <v>0.5</v>
      </c>
      <c r="J41">
        <v>0</v>
      </c>
      <c r="K41">
        <v>1</v>
      </c>
      <c r="L41">
        <v>200000000</v>
      </c>
      <c r="M41">
        <v>190</v>
      </c>
      <c r="N41">
        <v>190</v>
      </c>
      <c r="O41">
        <v>190</v>
      </c>
      <c r="P41">
        <v>0</v>
      </c>
      <c r="Q41" t="s">
        <v>61</v>
      </c>
      <c r="R41">
        <v>1593528364333310</v>
      </c>
      <c r="S41">
        <v>15935561</v>
      </c>
      <c r="T41">
        <v>1593528364333310</v>
      </c>
      <c r="U41">
        <v>15935561</v>
      </c>
      <c r="V41" t="s">
        <v>74</v>
      </c>
      <c r="W41">
        <v>62</v>
      </c>
      <c r="X41">
        <v>15935560</v>
      </c>
      <c r="Y41">
        <v>15935561</v>
      </c>
      <c r="Z41">
        <v>31871121</v>
      </c>
      <c r="AA41">
        <v>15935561</v>
      </c>
      <c r="AB41">
        <v>2</v>
      </c>
      <c r="AC41">
        <v>1</v>
      </c>
      <c r="AD41">
        <v>32.159300000000002</v>
      </c>
      <c r="AE41">
        <v>1019875872</v>
      </c>
      <c r="AI41" t="s">
        <v>185</v>
      </c>
      <c r="AP41">
        <v>1350851791</v>
      </c>
      <c r="AQ41">
        <v>0</v>
      </c>
      <c r="AR41">
        <v>13644681</v>
      </c>
      <c r="AS41">
        <v>1350851791</v>
      </c>
      <c r="AT41">
        <v>1364496472</v>
      </c>
      <c r="AU41">
        <v>45028393</v>
      </c>
      <c r="AV41">
        <v>0</v>
      </c>
      <c r="AW41">
        <v>454822</v>
      </c>
      <c r="AX41">
        <v>45028393</v>
      </c>
      <c r="AY41">
        <v>45483215</v>
      </c>
      <c r="AZ41">
        <v>95.125</v>
      </c>
      <c r="BA41">
        <v>52.764099999999999</v>
      </c>
      <c r="BB41">
        <v>11599.4</v>
      </c>
      <c r="BD41">
        <v>3710</v>
      </c>
      <c r="BE41">
        <v>536</v>
      </c>
      <c r="BF41" t="str">
        <f t="shared" si="0"/>
        <v>u=1%, k=2x10^8</v>
      </c>
      <c r="BG41">
        <f t="shared" si="1"/>
        <v>0</v>
      </c>
    </row>
    <row r="42" spans="1:59">
      <c r="A42" t="s">
        <v>186</v>
      </c>
      <c r="B42" t="s">
        <v>63</v>
      </c>
      <c r="C42">
        <v>72</v>
      </c>
      <c r="D42" t="s">
        <v>64</v>
      </c>
      <c r="E42" t="s">
        <v>59</v>
      </c>
      <c r="F42" t="s">
        <v>60</v>
      </c>
      <c r="G42">
        <v>30000</v>
      </c>
      <c r="H42">
        <v>5</v>
      </c>
      <c r="I42">
        <v>5</v>
      </c>
      <c r="J42">
        <v>0</v>
      </c>
      <c r="K42">
        <v>1</v>
      </c>
      <c r="L42">
        <v>200000000</v>
      </c>
      <c r="M42">
        <v>24</v>
      </c>
      <c r="N42">
        <v>24</v>
      </c>
      <c r="O42">
        <v>24</v>
      </c>
      <c r="P42">
        <v>0</v>
      </c>
      <c r="Q42" t="s">
        <v>61</v>
      </c>
      <c r="R42">
        <v>2271512373256390</v>
      </c>
      <c r="S42">
        <v>22713881</v>
      </c>
      <c r="T42">
        <v>2271512373256390</v>
      </c>
      <c r="U42">
        <v>22713881</v>
      </c>
      <c r="V42" t="s">
        <v>74</v>
      </c>
      <c r="W42">
        <v>7</v>
      </c>
      <c r="X42">
        <v>4005954</v>
      </c>
      <c r="Y42">
        <v>26496132</v>
      </c>
      <c r="Z42">
        <v>30502086</v>
      </c>
      <c r="AA42">
        <v>22713881</v>
      </c>
      <c r="AB42">
        <v>7.6141899999999998</v>
      </c>
      <c r="AC42">
        <v>0.85725300000000004</v>
      </c>
      <c r="AD42">
        <v>4.0701599999999996</v>
      </c>
      <c r="AE42">
        <v>744419664</v>
      </c>
      <c r="AF42" t="s">
        <v>187</v>
      </c>
      <c r="AG42" t="s">
        <v>188</v>
      </c>
      <c r="AH42">
        <v>1616</v>
      </c>
      <c r="AI42">
        <v>111606</v>
      </c>
      <c r="AP42">
        <v>273934896</v>
      </c>
      <c r="AQ42">
        <v>0</v>
      </c>
      <c r="AR42">
        <v>30442725</v>
      </c>
      <c r="AS42">
        <v>273934896</v>
      </c>
      <c r="AT42">
        <v>304377621</v>
      </c>
      <c r="AU42">
        <v>9131163</v>
      </c>
      <c r="AV42">
        <v>0</v>
      </c>
      <c r="AW42">
        <v>1014757</v>
      </c>
      <c r="AX42">
        <v>9131163</v>
      </c>
      <c r="AY42">
        <v>10145920</v>
      </c>
      <c r="AZ42">
        <v>90.434600000000003</v>
      </c>
      <c r="BA42">
        <v>48.290100000000002</v>
      </c>
      <c r="BB42">
        <v>6556.91</v>
      </c>
      <c r="BD42">
        <v>7443</v>
      </c>
      <c r="BE42">
        <v>1469</v>
      </c>
      <c r="BF42" t="str">
        <f t="shared" si="0"/>
        <v>u=10%, k=2x10^8</v>
      </c>
      <c r="BG42" t="str">
        <f t="shared" si="1"/>
        <v>1616</v>
      </c>
    </row>
    <row r="43" spans="1:59">
      <c r="A43" t="s">
        <v>189</v>
      </c>
      <c r="B43" t="s">
        <v>63</v>
      </c>
      <c r="C43">
        <v>72</v>
      </c>
      <c r="D43" t="s">
        <v>64</v>
      </c>
      <c r="E43" t="s">
        <v>59</v>
      </c>
      <c r="F43" t="s">
        <v>60</v>
      </c>
      <c r="G43">
        <v>30000</v>
      </c>
      <c r="H43">
        <v>5</v>
      </c>
      <c r="I43">
        <v>5</v>
      </c>
      <c r="J43">
        <v>0</v>
      </c>
      <c r="K43">
        <v>1</v>
      </c>
      <c r="L43">
        <v>200000000</v>
      </c>
      <c r="M43">
        <v>48</v>
      </c>
      <c r="N43">
        <v>48</v>
      </c>
      <c r="O43">
        <v>48</v>
      </c>
      <c r="P43">
        <v>0</v>
      </c>
      <c r="Q43" t="s">
        <v>61</v>
      </c>
      <c r="R43">
        <v>3055703427023320</v>
      </c>
      <c r="S43">
        <v>30557780</v>
      </c>
      <c r="T43">
        <v>3055703427023320</v>
      </c>
      <c r="U43">
        <v>30557780</v>
      </c>
      <c r="V43" t="s">
        <v>74</v>
      </c>
      <c r="W43">
        <v>7</v>
      </c>
      <c r="X43">
        <v>4413051</v>
      </c>
      <c r="Y43">
        <v>34602392</v>
      </c>
      <c r="Z43">
        <v>39015443</v>
      </c>
      <c r="AA43">
        <v>30557780</v>
      </c>
      <c r="AB43">
        <v>8.8409200000000006</v>
      </c>
      <c r="AC43">
        <v>0.88311200000000001</v>
      </c>
      <c r="AD43">
        <v>4.0182200000000003</v>
      </c>
      <c r="AE43">
        <v>906684672</v>
      </c>
      <c r="AF43" t="s">
        <v>190</v>
      </c>
      <c r="AG43" t="s">
        <v>191</v>
      </c>
      <c r="AH43">
        <v>7876</v>
      </c>
      <c r="AI43">
        <v>46484</v>
      </c>
      <c r="AP43">
        <v>466815898</v>
      </c>
      <c r="AQ43">
        <v>0</v>
      </c>
      <c r="AR43">
        <v>51859542</v>
      </c>
      <c r="AS43">
        <v>466815898</v>
      </c>
      <c r="AT43">
        <v>518675440</v>
      </c>
      <c r="AU43">
        <v>15560529</v>
      </c>
      <c r="AV43">
        <v>0</v>
      </c>
      <c r="AW43">
        <v>1728651</v>
      </c>
      <c r="AX43">
        <v>15560529</v>
      </c>
      <c r="AY43">
        <v>17289181</v>
      </c>
      <c r="AZ43">
        <v>80.876900000000006</v>
      </c>
      <c r="BA43">
        <v>41.487299999999998</v>
      </c>
      <c r="BB43">
        <v>7652.37</v>
      </c>
      <c r="BD43">
        <v>8189</v>
      </c>
      <c r="BE43">
        <v>1016</v>
      </c>
      <c r="BF43" t="str">
        <f t="shared" si="0"/>
        <v>u=10%, k=2x10^8</v>
      </c>
      <c r="BG43" t="str">
        <f t="shared" si="1"/>
        <v>7876</v>
      </c>
    </row>
    <row r="44" spans="1:59">
      <c r="A44" t="s">
        <v>192</v>
      </c>
      <c r="B44" t="s">
        <v>63</v>
      </c>
      <c r="C44">
        <v>72</v>
      </c>
      <c r="D44" t="s">
        <v>64</v>
      </c>
      <c r="E44" t="s">
        <v>59</v>
      </c>
      <c r="F44" t="s">
        <v>60</v>
      </c>
      <c r="G44">
        <v>30000</v>
      </c>
      <c r="H44">
        <v>5</v>
      </c>
      <c r="I44">
        <v>5</v>
      </c>
      <c r="J44">
        <v>0</v>
      </c>
      <c r="K44">
        <v>1</v>
      </c>
      <c r="L44">
        <v>200000000</v>
      </c>
      <c r="M44">
        <v>96</v>
      </c>
      <c r="N44">
        <v>96</v>
      </c>
      <c r="O44">
        <v>96</v>
      </c>
      <c r="P44">
        <v>0</v>
      </c>
      <c r="Q44" t="s">
        <v>61</v>
      </c>
      <c r="R44">
        <v>4414675961893770</v>
      </c>
      <c r="S44">
        <v>44142779</v>
      </c>
      <c r="T44">
        <v>4414675961893770</v>
      </c>
      <c r="U44">
        <v>44142779</v>
      </c>
      <c r="V44" t="s">
        <v>74</v>
      </c>
      <c r="W44">
        <v>7</v>
      </c>
      <c r="X44">
        <v>7712934</v>
      </c>
      <c r="Y44">
        <v>52059457</v>
      </c>
      <c r="Z44">
        <v>59772391</v>
      </c>
      <c r="AA44">
        <v>44142779</v>
      </c>
      <c r="AB44">
        <v>7.7496299999999998</v>
      </c>
      <c r="AC44">
        <v>0.84792999999999996</v>
      </c>
      <c r="AD44">
        <v>4.1207099999999999</v>
      </c>
      <c r="AE44">
        <v>1450829440</v>
      </c>
      <c r="AF44" t="s">
        <v>193</v>
      </c>
      <c r="AG44" t="s">
        <v>194</v>
      </c>
      <c r="AH44">
        <v>25250</v>
      </c>
      <c r="AI44">
        <v>21156</v>
      </c>
      <c r="AP44">
        <v>858723372</v>
      </c>
      <c r="AQ44">
        <v>0</v>
      </c>
      <c r="AR44">
        <v>95407870</v>
      </c>
      <c r="AS44">
        <v>858723372</v>
      </c>
      <c r="AT44">
        <v>954131242</v>
      </c>
      <c r="AU44">
        <v>28624112</v>
      </c>
      <c r="AV44">
        <v>0</v>
      </c>
      <c r="AW44">
        <v>3180262</v>
      </c>
      <c r="AX44">
        <v>28624112</v>
      </c>
      <c r="AY44">
        <v>31804374</v>
      </c>
      <c r="AZ44">
        <v>83.244900000000001</v>
      </c>
      <c r="BA44">
        <v>47.697200000000002</v>
      </c>
      <c r="BB44">
        <v>8208.91</v>
      </c>
      <c r="BD44">
        <v>8915</v>
      </c>
      <c r="BE44">
        <v>1163</v>
      </c>
      <c r="BF44" t="str">
        <f t="shared" si="0"/>
        <v>u=10%, k=2x10^8</v>
      </c>
      <c r="BG44" t="str">
        <f t="shared" si="1"/>
        <v>25250</v>
      </c>
    </row>
    <row r="45" spans="1:59">
      <c r="A45" t="s">
        <v>195</v>
      </c>
      <c r="B45" t="s">
        <v>63</v>
      </c>
      <c r="C45">
        <v>72</v>
      </c>
      <c r="D45" t="s">
        <v>64</v>
      </c>
      <c r="E45" t="s">
        <v>59</v>
      </c>
      <c r="F45" t="s">
        <v>60</v>
      </c>
      <c r="G45">
        <v>30000</v>
      </c>
      <c r="H45">
        <v>5</v>
      </c>
      <c r="I45">
        <v>5</v>
      </c>
      <c r="J45">
        <v>0</v>
      </c>
      <c r="K45">
        <v>1</v>
      </c>
      <c r="L45">
        <v>200000000</v>
      </c>
      <c r="M45">
        <v>144</v>
      </c>
      <c r="N45">
        <v>144</v>
      </c>
      <c r="O45">
        <v>144</v>
      </c>
      <c r="P45">
        <v>0</v>
      </c>
      <c r="Q45" t="s">
        <v>61</v>
      </c>
      <c r="R45">
        <v>5302064488745200</v>
      </c>
      <c r="S45">
        <v>53021783</v>
      </c>
      <c r="T45">
        <v>5302064488745200</v>
      </c>
      <c r="U45">
        <v>53021783</v>
      </c>
      <c r="V45" t="s">
        <v>74</v>
      </c>
      <c r="W45">
        <v>7</v>
      </c>
      <c r="X45">
        <v>7605791</v>
      </c>
      <c r="Y45">
        <v>60266010</v>
      </c>
      <c r="Z45">
        <v>67871801</v>
      </c>
      <c r="AA45">
        <v>53021783</v>
      </c>
      <c r="AB45">
        <v>8.9237000000000002</v>
      </c>
      <c r="AC45">
        <v>0.87979600000000002</v>
      </c>
      <c r="AD45">
        <v>4.0282400000000003</v>
      </c>
      <c r="AE45">
        <v>1572767312</v>
      </c>
      <c r="AF45" t="s">
        <v>196</v>
      </c>
      <c r="AG45" t="s">
        <v>197</v>
      </c>
      <c r="AH45">
        <v>50333</v>
      </c>
      <c r="AI45">
        <v>12798</v>
      </c>
      <c r="AP45">
        <v>1170055618</v>
      </c>
      <c r="AQ45">
        <v>0</v>
      </c>
      <c r="AR45">
        <v>130020007</v>
      </c>
      <c r="AS45">
        <v>1170055618</v>
      </c>
      <c r="AT45">
        <v>1300075625</v>
      </c>
      <c r="AU45">
        <v>39001853</v>
      </c>
      <c r="AV45">
        <v>0</v>
      </c>
      <c r="AW45">
        <v>4334000</v>
      </c>
      <c r="AX45">
        <v>39001853</v>
      </c>
      <c r="AY45">
        <v>43335854</v>
      </c>
      <c r="AZ45">
        <v>84.637100000000004</v>
      </c>
      <c r="BA45">
        <v>49.429499999999997</v>
      </c>
      <c r="BB45">
        <v>8933.7199999999993</v>
      </c>
      <c r="BD45">
        <v>9966</v>
      </c>
      <c r="BE45">
        <v>1011</v>
      </c>
      <c r="BF45" t="str">
        <f t="shared" si="0"/>
        <v>u=10%, k=2x10^8</v>
      </c>
      <c r="BG45" t="str">
        <f t="shared" si="1"/>
        <v>50333</v>
      </c>
    </row>
    <row r="46" spans="1:59">
      <c r="A46" t="s">
        <v>198</v>
      </c>
      <c r="B46" t="s">
        <v>63</v>
      </c>
      <c r="C46">
        <v>72</v>
      </c>
      <c r="D46" t="s">
        <v>64</v>
      </c>
      <c r="E46" t="s">
        <v>59</v>
      </c>
      <c r="F46" t="s">
        <v>60</v>
      </c>
      <c r="G46">
        <v>30000</v>
      </c>
      <c r="H46">
        <v>5</v>
      </c>
      <c r="I46">
        <v>5</v>
      </c>
      <c r="J46">
        <v>0</v>
      </c>
      <c r="K46">
        <v>1</v>
      </c>
      <c r="L46">
        <v>200000000</v>
      </c>
      <c r="M46">
        <v>190</v>
      </c>
      <c r="N46">
        <v>190</v>
      </c>
      <c r="O46">
        <v>190</v>
      </c>
      <c r="P46">
        <v>0</v>
      </c>
      <c r="Q46" t="s">
        <v>61</v>
      </c>
      <c r="R46">
        <v>5949192646880830</v>
      </c>
      <c r="S46">
        <v>59495524</v>
      </c>
      <c r="T46">
        <v>5949192646880830</v>
      </c>
      <c r="U46">
        <v>59495524</v>
      </c>
      <c r="V46" t="s">
        <v>74</v>
      </c>
      <c r="W46">
        <v>7</v>
      </c>
      <c r="X46">
        <v>9048713</v>
      </c>
      <c r="Y46">
        <v>68562152</v>
      </c>
      <c r="Z46">
        <v>77610865</v>
      </c>
      <c r="AA46">
        <v>59495524</v>
      </c>
      <c r="AB46">
        <v>8.5770099999999996</v>
      </c>
      <c r="AC46">
        <v>0.86775999999999998</v>
      </c>
      <c r="AD46">
        <v>4.0562699999999996</v>
      </c>
      <c r="AE46">
        <v>1821238208</v>
      </c>
      <c r="AF46" t="s">
        <v>199</v>
      </c>
      <c r="AG46" t="s">
        <v>200</v>
      </c>
      <c r="AH46">
        <v>70641</v>
      </c>
      <c r="AI46">
        <v>9668</v>
      </c>
      <c r="AP46">
        <v>1437004110</v>
      </c>
      <c r="AQ46">
        <v>0</v>
      </c>
      <c r="AR46">
        <v>159663785</v>
      </c>
      <c r="AS46">
        <v>1437004110</v>
      </c>
      <c r="AT46">
        <v>1596667895</v>
      </c>
      <c r="AU46">
        <v>47900137</v>
      </c>
      <c r="AV46">
        <v>0</v>
      </c>
      <c r="AW46">
        <v>5322126</v>
      </c>
      <c r="AX46">
        <v>47900137</v>
      </c>
      <c r="AY46">
        <v>53222263</v>
      </c>
      <c r="AZ46">
        <v>85.227099999999993</v>
      </c>
      <c r="BA46">
        <v>50.295299999999997</v>
      </c>
      <c r="BB46">
        <v>9550.6200000000008</v>
      </c>
      <c r="BD46">
        <v>10373</v>
      </c>
      <c r="BE46">
        <v>1245</v>
      </c>
      <c r="BF46" t="str">
        <f t="shared" si="0"/>
        <v>u=10%, k=2x10^8</v>
      </c>
      <c r="BG46" t="str">
        <f t="shared" si="1"/>
        <v>70641</v>
      </c>
    </row>
    <row r="47" spans="1:59">
      <c r="A47" t="s">
        <v>201</v>
      </c>
      <c r="B47" t="s">
        <v>65</v>
      </c>
      <c r="C47">
        <v>208</v>
      </c>
      <c r="D47" t="s">
        <v>64</v>
      </c>
      <c r="E47" t="s">
        <v>59</v>
      </c>
      <c r="F47" t="s">
        <v>60</v>
      </c>
      <c r="G47">
        <v>30000</v>
      </c>
      <c r="H47">
        <v>5</v>
      </c>
      <c r="I47">
        <v>5</v>
      </c>
      <c r="J47">
        <v>0</v>
      </c>
      <c r="K47">
        <v>1</v>
      </c>
      <c r="L47">
        <v>200000000</v>
      </c>
      <c r="M47">
        <v>24</v>
      </c>
      <c r="N47">
        <v>24</v>
      </c>
      <c r="O47">
        <v>24</v>
      </c>
      <c r="P47">
        <v>0</v>
      </c>
      <c r="Q47" t="s">
        <v>61</v>
      </c>
      <c r="R47">
        <v>2241463441970130</v>
      </c>
      <c r="S47">
        <v>22416706</v>
      </c>
      <c r="T47">
        <v>2241463441970130</v>
      </c>
      <c r="U47">
        <v>22416706</v>
      </c>
      <c r="V47" t="s">
        <v>74</v>
      </c>
      <c r="W47">
        <v>10</v>
      </c>
      <c r="X47">
        <v>420769</v>
      </c>
      <c r="Y47">
        <v>2896431</v>
      </c>
      <c r="Z47">
        <v>3317200</v>
      </c>
      <c r="AA47">
        <v>22416706</v>
      </c>
      <c r="AB47">
        <v>7.8836599999999999</v>
      </c>
      <c r="AC47">
        <v>7.73942</v>
      </c>
      <c r="AD47">
        <v>9</v>
      </c>
      <c r="AE47">
        <v>689977600</v>
      </c>
      <c r="AI47" t="s">
        <v>202</v>
      </c>
      <c r="AP47">
        <v>267331853</v>
      </c>
      <c r="AQ47">
        <v>0</v>
      </c>
      <c r="AR47">
        <v>29694916</v>
      </c>
      <c r="AS47">
        <v>267331853</v>
      </c>
      <c r="AT47">
        <v>297026769</v>
      </c>
      <c r="AU47">
        <v>8911061</v>
      </c>
      <c r="AV47">
        <v>0</v>
      </c>
      <c r="AW47">
        <v>989830</v>
      </c>
      <c r="AX47">
        <v>8911061</v>
      </c>
      <c r="AY47">
        <v>9900892</v>
      </c>
      <c r="AZ47">
        <v>92.216300000000004</v>
      </c>
      <c r="BA47">
        <v>47.438299999999998</v>
      </c>
      <c r="BB47">
        <v>6754.99</v>
      </c>
      <c r="BD47">
        <v>3403</v>
      </c>
      <c r="BE47">
        <v>1645</v>
      </c>
      <c r="BF47" t="str">
        <f t="shared" si="0"/>
        <v>u=10%, k=2x10^8</v>
      </c>
      <c r="BG47">
        <f t="shared" si="1"/>
        <v>0</v>
      </c>
    </row>
    <row r="48" spans="1:59">
      <c r="A48" t="s">
        <v>203</v>
      </c>
      <c r="B48" t="s">
        <v>65</v>
      </c>
      <c r="C48">
        <v>208</v>
      </c>
      <c r="D48" t="s">
        <v>64</v>
      </c>
      <c r="E48" t="s">
        <v>59</v>
      </c>
      <c r="F48" t="s">
        <v>60</v>
      </c>
      <c r="G48">
        <v>30000</v>
      </c>
      <c r="H48">
        <v>5</v>
      </c>
      <c r="I48">
        <v>5</v>
      </c>
      <c r="J48">
        <v>0</v>
      </c>
      <c r="K48">
        <v>1</v>
      </c>
      <c r="L48">
        <v>200000000</v>
      </c>
      <c r="M48">
        <v>48</v>
      </c>
      <c r="N48">
        <v>48</v>
      </c>
      <c r="O48">
        <v>48</v>
      </c>
      <c r="P48">
        <v>0</v>
      </c>
      <c r="Q48" t="s">
        <v>61</v>
      </c>
      <c r="R48">
        <v>3062534979763390</v>
      </c>
      <c r="S48">
        <v>30623006</v>
      </c>
      <c r="T48">
        <v>3062534979763390</v>
      </c>
      <c r="U48">
        <v>30623006</v>
      </c>
      <c r="V48" t="s">
        <v>74</v>
      </c>
      <c r="W48">
        <v>10</v>
      </c>
      <c r="X48">
        <v>578235</v>
      </c>
      <c r="Y48">
        <v>3980085</v>
      </c>
      <c r="Z48">
        <v>4558320</v>
      </c>
      <c r="AA48">
        <v>30623006</v>
      </c>
      <c r="AB48">
        <v>7.8831600000000002</v>
      </c>
      <c r="AC48">
        <v>7.6940600000000003</v>
      </c>
      <c r="AD48">
        <v>9</v>
      </c>
      <c r="AE48">
        <v>948130560</v>
      </c>
      <c r="AI48" t="s">
        <v>204</v>
      </c>
      <c r="AP48">
        <v>468623650</v>
      </c>
      <c r="AQ48">
        <v>0</v>
      </c>
      <c r="AR48">
        <v>52065881</v>
      </c>
      <c r="AS48">
        <v>468623650</v>
      </c>
      <c r="AT48">
        <v>520689531</v>
      </c>
      <c r="AU48">
        <v>15620788</v>
      </c>
      <c r="AV48">
        <v>0</v>
      </c>
      <c r="AW48">
        <v>1735529</v>
      </c>
      <c r="AX48">
        <v>15620788</v>
      </c>
      <c r="AY48">
        <v>17356317</v>
      </c>
      <c r="AZ48">
        <v>83.685100000000006</v>
      </c>
      <c r="BA48">
        <v>41.137500000000003</v>
      </c>
      <c r="BB48">
        <v>7699.34</v>
      </c>
      <c r="BD48">
        <v>3721</v>
      </c>
      <c r="BE48">
        <v>1231</v>
      </c>
      <c r="BF48" t="str">
        <f t="shared" si="0"/>
        <v>u=10%, k=2x10^8</v>
      </c>
      <c r="BG48">
        <f t="shared" si="1"/>
        <v>0</v>
      </c>
    </row>
    <row r="49" spans="1:59">
      <c r="A49" t="s">
        <v>205</v>
      </c>
      <c r="B49" t="s">
        <v>65</v>
      </c>
      <c r="C49">
        <v>208</v>
      </c>
      <c r="D49" t="s">
        <v>64</v>
      </c>
      <c r="E49" t="s">
        <v>59</v>
      </c>
      <c r="F49" t="s">
        <v>60</v>
      </c>
      <c r="G49">
        <v>30000</v>
      </c>
      <c r="H49">
        <v>5</v>
      </c>
      <c r="I49">
        <v>5</v>
      </c>
      <c r="J49">
        <v>0</v>
      </c>
      <c r="K49">
        <v>1</v>
      </c>
      <c r="L49">
        <v>200000000</v>
      </c>
      <c r="M49">
        <v>96</v>
      </c>
      <c r="N49">
        <v>96</v>
      </c>
      <c r="O49">
        <v>96</v>
      </c>
      <c r="P49">
        <v>0</v>
      </c>
      <c r="Q49" t="s">
        <v>61</v>
      </c>
      <c r="R49">
        <v>4476859304562900</v>
      </c>
      <c r="S49">
        <v>44766917</v>
      </c>
      <c r="T49">
        <v>4476859304562900</v>
      </c>
      <c r="U49">
        <v>44766917</v>
      </c>
      <c r="V49" t="s">
        <v>74</v>
      </c>
      <c r="W49">
        <v>10</v>
      </c>
      <c r="X49">
        <v>856131</v>
      </c>
      <c r="Y49">
        <v>5894563</v>
      </c>
      <c r="Z49">
        <v>6750694</v>
      </c>
      <c r="AA49">
        <v>44766917</v>
      </c>
      <c r="AB49">
        <v>7.8851199999999997</v>
      </c>
      <c r="AC49">
        <v>7.5946100000000003</v>
      </c>
      <c r="AD49">
        <v>9</v>
      </c>
      <c r="AE49">
        <v>1404144352</v>
      </c>
      <c r="AI49" t="s">
        <v>206</v>
      </c>
      <c r="AP49">
        <v>878512570</v>
      </c>
      <c r="AQ49">
        <v>0</v>
      </c>
      <c r="AR49">
        <v>97615882</v>
      </c>
      <c r="AS49">
        <v>878512570</v>
      </c>
      <c r="AT49">
        <v>976128452</v>
      </c>
      <c r="AU49">
        <v>29283752</v>
      </c>
      <c r="AV49">
        <v>0</v>
      </c>
      <c r="AW49">
        <v>3253862</v>
      </c>
      <c r="AX49">
        <v>29283752</v>
      </c>
      <c r="AY49">
        <v>32537615</v>
      </c>
      <c r="AZ49">
        <v>87.5548</v>
      </c>
      <c r="BA49">
        <v>48.625999999999998</v>
      </c>
      <c r="BB49">
        <v>8173.13</v>
      </c>
      <c r="BD49">
        <v>4277</v>
      </c>
      <c r="BE49">
        <v>1130</v>
      </c>
      <c r="BF49" t="str">
        <f t="shared" si="0"/>
        <v>u=10%, k=2x10^8</v>
      </c>
      <c r="BG49">
        <f t="shared" si="1"/>
        <v>0</v>
      </c>
    </row>
    <row r="50" spans="1:59">
      <c r="A50" t="s">
        <v>207</v>
      </c>
      <c r="B50" t="s">
        <v>65</v>
      </c>
      <c r="C50">
        <v>208</v>
      </c>
      <c r="D50" t="s">
        <v>64</v>
      </c>
      <c r="E50" t="s">
        <v>59</v>
      </c>
      <c r="F50" t="s">
        <v>60</v>
      </c>
      <c r="G50">
        <v>30000</v>
      </c>
      <c r="H50">
        <v>5</v>
      </c>
      <c r="I50">
        <v>5</v>
      </c>
      <c r="J50">
        <v>0</v>
      </c>
      <c r="K50">
        <v>1</v>
      </c>
      <c r="L50">
        <v>200000000</v>
      </c>
      <c r="M50">
        <v>144</v>
      </c>
      <c r="N50">
        <v>144</v>
      </c>
      <c r="O50">
        <v>144</v>
      </c>
      <c r="P50">
        <v>0</v>
      </c>
      <c r="Q50" t="s">
        <v>61</v>
      </c>
      <c r="R50">
        <v>5451615360227490</v>
      </c>
      <c r="S50">
        <v>54516031</v>
      </c>
      <c r="T50">
        <v>5451615360227490</v>
      </c>
      <c r="U50">
        <v>54516031</v>
      </c>
      <c r="V50" t="s">
        <v>74</v>
      </c>
      <c r="W50">
        <v>10</v>
      </c>
      <c r="X50">
        <v>1055256</v>
      </c>
      <c r="Y50">
        <v>7262838</v>
      </c>
      <c r="Z50">
        <v>8318094</v>
      </c>
      <c r="AA50">
        <v>54516031</v>
      </c>
      <c r="AB50">
        <v>7.8825399999999997</v>
      </c>
      <c r="AC50">
        <v>7.5061600000000004</v>
      </c>
      <c r="AD50">
        <v>9</v>
      </c>
      <c r="AE50">
        <v>1730163552</v>
      </c>
      <c r="AI50" t="s">
        <v>208</v>
      </c>
      <c r="AP50">
        <v>1228893550</v>
      </c>
      <c r="AQ50">
        <v>0</v>
      </c>
      <c r="AR50">
        <v>136532612</v>
      </c>
      <c r="AS50">
        <v>1228893550</v>
      </c>
      <c r="AT50">
        <v>1365426162</v>
      </c>
      <c r="AU50">
        <v>40963118</v>
      </c>
      <c r="AV50">
        <v>0</v>
      </c>
      <c r="AW50">
        <v>4551087</v>
      </c>
      <c r="AX50">
        <v>40963118</v>
      </c>
      <c r="AY50">
        <v>45514205</v>
      </c>
      <c r="AZ50">
        <v>88.930999999999997</v>
      </c>
      <c r="BA50">
        <v>50.468200000000003</v>
      </c>
      <c r="BB50">
        <v>8691.07</v>
      </c>
      <c r="BD50">
        <v>4673</v>
      </c>
      <c r="BE50">
        <v>903</v>
      </c>
      <c r="BF50" t="str">
        <f t="shared" si="0"/>
        <v>u=10%, k=2x10^8</v>
      </c>
      <c r="BG50">
        <f t="shared" si="1"/>
        <v>0</v>
      </c>
    </row>
    <row r="51" spans="1:59">
      <c r="A51" t="s">
        <v>209</v>
      </c>
      <c r="B51" t="s">
        <v>65</v>
      </c>
      <c r="C51">
        <v>208</v>
      </c>
      <c r="D51" t="s">
        <v>64</v>
      </c>
      <c r="E51" t="s">
        <v>59</v>
      </c>
      <c r="F51" t="s">
        <v>60</v>
      </c>
      <c r="G51">
        <v>30000</v>
      </c>
      <c r="H51">
        <v>5</v>
      </c>
      <c r="I51">
        <v>5</v>
      </c>
      <c r="J51">
        <v>0</v>
      </c>
      <c r="K51">
        <v>1</v>
      </c>
      <c r="L51">
        <v>200000000</v>
      </c>
      <c r="M51">
        <v>190</v>
      </c>
      <c r="N51">
        <v>190</v>
      </c>
      <c r="O51">
        <v>190</v>
      </c>
      <c r="P51">
        <v>0</v>
      </c>
      <c r="Q51" t="s">
        <v>61</v>
      </c>
      <c r="R51">
        <v>6087027408791770</v>
      </c>
      <c r="S51">
        <v>60875753</v>
      </c>
      <c r="T51">
        <v>6087027408791770</v>
      </c>
      <c r="U51">
        <v>60875753</v>
      </c>
      <c r="V51" t="s">
        <v>74</v>
      </c>
      <c r="W51">
        <v>10</v>
      </c>
      <c r="X51">
        <v>1189240</v>
      </c>
      <c r="Y51">
        <v>8185296</v>
      </c>
      <c r="Z51">
        <v>9374536</v>
      </c>
      <c r="AA51">
        <v>60875753</v>
      </c>
      <c r="AB51">
        <v>7.8827999999999996</v>
      </c>
      <c r="AC51">
        <v>7.4372100000000003</v>
      </c>
      <c r="AD51">
        <v>9</v>
      </c>
      <c r="AE51">
        <v>1949903488</v>
      </c>
      <c r="AI51" t="s">
        <v>210</v>
      </c>
      <c r="AP51">
        <v>1499746782</v>
      </c>
      <c r="AQ51">
        <v>0</v>
      </c>
      <c r="AR51">
        <v>166643270</v>
      </c>
      <c r="AS51">
        <v>1499746782</v>
      </c>
      <c r="AT51">
        <v>1666390052</v>
      </c>
      <c r="AU51">
        <v>49991559</v>
      </c>
      <c r="AV51">
        <v>0</v>
      </c>
      <c r="AW51">
        <v>5554775</v>
      </c>
      <c r="AX51">
        <v>49991559</v>
      </c>
      <c r="AY51">
        <v>55546335</v>
      </c>
      <c r="AZ51">
        <v>90.221800000000002</v>
      </c>
      <c r="BA51">
        <v>51.723300000000002</v>
      </c>
      <c r="BB51">
        <v>9401.14</v>
      </c>
      <c r="BD51">
        <v>5030</v>
      </c>
      <c r="BE51">
        <v>998</v>
      </c>
      <c r="BF51" t="str">
        <f t="shared" si="0"/>
        <v>u=10%, k=2x10^8</v>
      </c>
      <c r="BG51">
        <f t="shared" si="1"/>
        <v>0</v>
      </c>
    </row>
    <row r="52" spans="1:59">
      <c r="A52" t="s">
        <v>211</v>
      </c>
      <c r="B52" t="s">
        <v>66</v>
      </c>
      <c r="D52" t="s">
        <v>64</v>
      </c>
      <c r="E52" t="s">
        <v>59</v>
      </c>
      <c r="F52" t="s">
        <v>60</v>
      </c>
      <c r="G52">
        <v>30000</v>
      </c>
      <c r="H52">
        <v>5</v>
      </c>
      <c r="I52">
        <v>5</v>
      </c>
      <c r="J52">
        <v>0</v>
      </c>
      <c r="K52">
        <v>1</v>
      </c>
      <c r="L52">
        <v>200000000</v>
      </c>
      <c r="M52">
        <v>24</v>
      </c>
      <c r="N52">
        <v>24</v>
      </c>
      <c r="O52">
        <v>24</v>
      </c>
      <c r="P52">
        <v>0</v>
      </c>
      <c r="Q52" t="s">
        <v>61</v>
      </c>
      <c r="R52">
        <v>1819916683960820</v>
      </c>
      <c r="S52">
        <v>18197359</v>
      </c>
      <c r="T52">
        <v>1819916683960820</v>
      </c>
      <c r="U52">
        <v>18197359</v>
      </c>
      <c r="V52" t="s">
        <v>74</v>
      </c>
      <c r="W52">
        <v>30</v>
      </c>
      <c r="X52">
        <v>10553413</v>
      </c>
      <c r="Y52">
        <v>7920173</v>
      </c>
      <c r="Z52">
        <v>18473586</v>
      </c>
      <c r="AA52">
        <v>18197359</v>
      </c>
      <c r="AB52">
        <v>1.75048</v>
      </c>
      <c r="AC52">
        <v>2.2976000000000001</v>
      </c>
      <c r="AD52">
        <v>23.607700000000001</v>
      </c>
      <c r="AE52">
        <v>1034520816</v>
      </c>
      <c r="AI52" t="s">
        <v>212</v>
      </c>
      <c r="AP52">
        <v>171948828</v>
      </c>
      <c r="AQ52">
        <v>0</v>
      </c>
      <c r="AR52">
        <v>19103147</v>
      </c>
      <c r="AS52">
        <v>171948828</v>
      </c>
      <c r="AT52">
        <v>191051975</v>
      </c>
      <c r="AU52">
        <v>5731627</v>
      </c>
      <c r="AV52">
        <v>0</v>
      </c>
      <c r="AW52">
        <v>636771</v>
      </c>
      <c r="AX52">
        <v>5731627</v>
      </c>
      <c r="AY52">
        <v>6368399</v>
      </c>
      <c r="AZ52">
        <v>107.062</v>
      </c>
      <c r="BA52">
        <v>54.713200000000001</v>
      </c>
      <c r="BB52">
        <v>10502.8</v>
      </c>
      <c r="BD52">
        <v>3826</v>
      </c>
      <c r="BE52">
        <v>2048</v>
      </c>
      <c r="BF52" t="str">
        <f t="shared" si="0"/>
        <v>u=10%, k=2x10^8</v>
      </c>
      <c r="BG52">
        <f t="shared" si="1"/>
        <v>0</v>
      </c>
    </row>
    <row r="53" spans="1:59">
      <c r="A53" t="s">
        <v>213</v>
      </c>
      <c r="B53" t="s">
        <v>66</v>
      </c>
      <c r="D53" t="s">
        <v>64</v>
      </c>
      <c r="E53" t="s">
        <v>59</v>
      </c>
      <c r="F53" t="s">
        <v>60</v>
      </c>
      <c r="G53">
        <v>30000</v>
      </c>
      <c r="H53">
        <v>5</v>
      </c>
      <c r="I53">
        <v>5</v>
      </c>
      <c r="J53">
        <v>0</v>
      </c>
      <c r="K53">
        <v>1</v>
      </c>
      <c r="L53">
        <v>200000000</v>
      </c>
      <c r="M53">
        <v>48</v>
      </c>
      <c r="N53">
        <v>48</v>
      </c>
      <c r="O53">
        <v>48</v>
      </c>
      <c r="P53">
        <v>0</v>
      </c>
      <c r="Q53" t="s">
        <v>61</v>
      </c>
      <c r="R53">
        <v>2425919474299580</v>
      </c>
      <c r="S53">
        <v>24256759</v>
      </c>
      <c r="T53">
        <v>2425919474299580</v>
      </c>
      <c r="U53">
        <v>24256759</v>
      </c>
      <c r="V53" t="s">
        <v>74</v>
      </c>
      <c r="W53">
        <v>30</v>
      </c>
      <c r="X53">
        <v>14193298</v>
      </c>
      <c r="Y53">
        <v>10653235</v>
      </c>
      <c r="Z53">
        <v>24846533</v>
      </c>
      <c r="AA53">
        <v>24256759</v>
      </c>
      <c r="AB53">
        <v>1.75058</v>
      </c>
      <c r="AC53">
        <v>2.2769400000000002</v>
      </c>
      <c r="AD53">
        <v>24.0396</v>
      </c>
      <c r="AE53">
        <v>1391405848</v>
      </c>
      <c r="AI53" t="s">
        <v>214</v>
      </c>
      <c r="AP53">
        <v>310339869</v>
      </c>
      <c r="AQ53">
        <v>0</v>
      </c>
      <c r="AR53">
        <v>34492532</v>
      </c>
      <c r="AS53">
        <v>310339869</v>
      </c>
      <c r="AT53">
        <v>344832401</v>
      </c>
      <c r="AU53">
        <v>10344662</v>
      </c>
      <c r="AV53">
        <v>0</v>
      </c>
      <c r="AW53">
        <v>1149751</v>
      </c>
      <c r="AX53">
        <v>10344662</v>
      </c>
      <c r="AY53">
        <v>11494413</v>
      </c>
      <c r="AZ53">
        <v>100.986</v>
      </c>
      <c r="BA53">
        <v>49.653100000000002</v>
      </c>
      <c r="BB53">
        <v>11632</v>
      </c>
      <c r="BD53">
        <v>4244</v>
      </c>
      <c r="BE53">
        <v>1359</v>
      </c>
      <c r="BF53" t="str">
        <f t="shared" si="0"/>
        <v>u=10%, k=2x10^8</v>
      </c>
      <c r="BG53">
        <f t="shared" si="1"/>
        <v>0</v>
      </c>
    </row>
    <row r="54" spans="1:59">
      <c r="A54" t="s">
        <v>215</v>
      </c>
      <c r="B54" t="s">
        <v>66</v>
      </c>
      <c r="D54" t="s">
        <v>64</v>
      </c>
      <c r="E54" t="s">
        <v>59</v>
      </c>
      <c r="F54" t="s">
        <v>60</v>
      </c>
      <c r="G54">
        <v>30000</v>
      </c>
      <c r="H54">
        <v>5</v>
      </c>
      <c r="I54">
        <v>5</v>
      </c>
      <c r="J54">
        <v>0</v>
      </c>
      <c r="K54">
        <v>1</v>
      </c>
      <c r="L54">
        <v>200000000</v>
      </c>
      <c r="M54">
        <v>96</v>
      </c>
      <c r="N54">
        <v>96</v>
      </c>
      <c r="O54">
        <v>96</v>
      </c>
      <c r="P54">
        <v>0</v>
      </c>
      <c r="Q54" t="s">
        <v>61</v>
      </c>
      <c r="R54">
        <v>3627434540424110</v>
      </c>
      <c r="S54">
        <v>36277782</v>
      </c>
      <c r="T54">
        <v>3627434540424110</v>
      </c>
      <c r="U54">
        <v>36277782</v>
      </c>
      <c r="V54" t="s">
        <v>74</v>
      </c>
      <c r="W54">
        <v>31</v>
      </c>
      <c r="X54">
        <v>21589614</v>
      </c>
      <c r="Y54">
        <v>16213445</v>
      </c>
      <c r="Z54">
        <v>37803059</v>
      </c>
      <c r="AA54">
        <v>36277782</v>
      </c>
      <c r="AB54">
        <v>1.75098</v>
      </c>
      <c r="AC54">
        <v>2.2375099999999999</v>
      </c>
      <c r="AD54">
        <v>24.7178</v>
      </c>
      <c r="AE54">
        <v>2116971304</v>
      </c>
      <c r="AI54" t="s">
        <v>216</v>
      </c>
      <c r="AP54">
        <v>621365697</v>
      </c>
      <c r="AQ54">
        <v>0</v>
      </c>
      <c r="AR54">
        <v>69043449</v>
      </c>
      <c r="AS54">
        <v>621365697</v>
      </c>
      <c r="AT54">
        <v>690409146</v>
      </c>
      <c r="AU54">
        <v>20712189</v>
      </c>
      <c r="AV54">
        <v>0</v>
      </c>
      <c r="AW54">
        <v>2301448</v>
      </c>
      <c r="AX54">
        <v>20712189</v>
      </c>
      <c r="AY54">
        <v>23013638</v>
      </c>
      <c r="AZ54">
        <v>104.88500000000001</v>
      </c>
      <c r="BA54">
        <v>57.678199999999997</v>
      </c>
      <c r="BB54">
        <v>11582.8</v>
      </c>
      <c r="BD54">
        <v>5096</v>
      </c>
      <c r="BE54">
        <v>948</v>
      </c>
      <c r="BF54" t="str">
        <f t="shared" si="0"/>
        <v>u=10%, k=2x10^8</v>
      </c>
      <c r="BG54">
        <f t="shared" si="1"/>
        <v>0</v>
      </c>
    </row>
    <row r="55" spans="1:59">
      <c r="A55" t="s">
        <v>217</v>
      </c>
      <c r="B55" t="s">
        <v>66</v>
      </c>
      <c r="D55" t="s">
        <v>64</v>
      </c>
      <c r="E55" t="s">
        <v>59</v>
      </c>
      <c r="F55" t="s">
        <v>60</v>
      </c>
      <c r="G55">
        <v>30000</v>
      </c>
      <c r="H55">
        <v>5</v>
      </c>
      <c r="I55">
        <v>5</v>
      </c>
      <c r="J55">
        <v>0</v>
      </c>
      <c r="K55">
        <v>1</v>
      </c>
      <c r="L55">
        <v>200000000</v>
      </c>
      <c r="M55">
        <v>144</v>
      </c>
      <c r="N55">
        <v>144</v>
      </c>
      <c r="O55">
        <v>144</v>
      </c>
      <c r="P55">
        <v>0</v>
      </c>
      <c r="Q55" t="s">
        <v>61</v>
      </c>
      <c r="R55">
        <v>4480217676682380</v>
      </c>
      <c r="S55">
        <v>44799054</v>
      </c>
      <c r="T55">
        <v>4480217676682380</v>
      </c>
      <c r="U55">
        <v>44799054</v>
      </c>
      <c r="V55" t="s">
        <v>74</v>
      </c>
      <c r="W55">
        <v>32</v>
      </c>
      <c r="X55">
        <v>26996515</v>
      </c>
      <c r="Y55">
        <v>20282118</v>
      </c>
      <c r="Z55">
        <v>47278633</v>
      </c>
      <c r="AA55">
        <v>44799054</v>
      </c>
      <c r="AB55">
        <v>1.75129</v>
      </c>
      <c r="AC55">
        <v>2.2088000000000001</v>
      </c>
      <c r="AD55">
        <v>25.081</v>
      </c>
      <c r="AE55">
        <v>2647603448</v>
      </c>
      <c r="AI55" t="s">
        <v>218</v>
      </c>
      <c r="AP55">
        <v>879998707</v>
      </c>
      <c r="AQ55">
        <v>0</v>
      </c>
      <c r="AR55">
        <v>97756076</v>
      </c>
      <c r="AS55">
        <v>879998707</v>
      </c>
      <c r="AT55">
        <v>977754783</v>
      </c>
      <c r="AU55">
        <v>29333290</v>
      </c>
      <c r="AV55">
        <v>0</v>
      </c>
      <c r="AW55">
        <v>3258535</v>
      </c>
      <c r="AX55">
        <v>29333290</v>
      </c>
      <c r="AY55">
        <v>32591826</v>
      </c>
      <c r="AZ55">
        <v>106.431</v>
      </c>
      <c r="BA55">
        <v>60.057499999999997</v>
      </c>
      <c r="BB55">
        <v>12232.1</v>
      </c>
      <c r="BD55">
        <v>5722</v>
      </c>
      <c r="BE55">
        <v>584</v>
      </c>
      <c r="BF55" t="str">
        <f t="shared" si="0"/>
        <v>u=10%, k=2x10^8</v>
      </c>
      <c r="BG55">
        <f t="shared" si="1"/>
        <v>0</v>
      </c>
    </row>
    <row r="56" spans="1:59">
      <c r="A56" t="s">
        <v>219</v>
      </c>
      <c r="B56" t="s">
        <v>66</v>
      </c>
      <c r="D56" t="s">
        <v>64</v>
      </c>
      <c r="E56" t="s">
        <v>59</v>
      </c>
      <c r="F56" t="s">
        <v>60</v>
      </c>
      <c r="G56">
        <v>30000</v>
      </c>
      <c r="H56">
        <v>5</v>
      </c>
      <c r="I56">
        <v>5</v>
      </c>
      <c r="J56">
        <v>0</v>
      </c>
      <c r="K56">
        <v>1</v>
      </c>
      <c r="L56">
        <v>200000000</v>
      </c>
      <c r="M56">
        <v>190</v>
      </c>
      <c r="N56">
        <v>190</v>
      </c>
      <c r="O56">
        <v>190</v>
      </c>
      <c r="P56">
        <v>0</v>
      </c>
      <c r="Q56" t="s">
        <v>61</v>
      </c>
      <c r="R56">
        <v>5147022819847840</v>
      </c>
      <c r="S56">
        <v>51470263</v>
      </c>
      <c r="T56">
        <v>5147022819847840</v>
      </c>
      <c r="U56">
        <v>51470263</v>
      </c>
      <c r="V56" t="s">
        <v>74</v>
      </c>
      <c r="W56">
        <v>32</v>
      </c>
      <c r="X56">
        <v>31337691</v>
      </c>
      <c r="Y56">
        <v>23552355</v>
      </c>
      <c r="Z56">
        <v>54890046</v>
      </c>
      <c r="AA56">
        <v>51470263</v>
      </c>
      <c r="AB56">
        <v>1.7515700000000001</v>
      </c>
      <c r="AC56">
        <v>2.1853600000000002</v>
      </c>
      <c r="AD56">
        <v>25.271000000000001</v>
      </c>
      <c r="AE56">
        <v>3073842576</v>
      </c>
      <c r="AI56" t="s">
        <v>220</v>
      </c>
      <c r="AP56">
        <v>1111852623</v>
      </c>
      <c r="AQ56">
        <v>0</v>
      </c>
      <c r="AR56">
        <v>123537491</v>
      </c>
      <c r="AS56">
        <v>1111852623</v>
      </c>
      <c r="AT56">
        <v>1235390114</v>
      </c>
      <c r="AU56">
        <v>37061754</v>
      </c>
      <c r="AV56">
        <v>0</v>
      </c>
      <c r="AW56">
        <v>4117916</v>
      </c>
      <c r="AX56">
        <v>37061754</v>
      </c>
      <c r="AY56">
        <v>41179670</v>
      </c>
      <c r="AZ56">
        <v>107.49</v>
      </c>
      <c r="BA56">
        <v>61.373800000000003</v>
      </c>
      <c r="BB56">
        <v>12780.2</v>
      </c>
      <c r="BD56">
        <v>6227</v>
      </c>
      <c r="BE56">
        <v>576</v>
      </c>
      <c r="BF56" t="str">
        <f t="shared" si="0"/>
        <v>u=10%, k=2x10^8</v>
      </c>
      <c r="BG56">
        <f t="shared" si="1"/>
        <v>0</v>
      </c>
    </row>
    <row r="57" spans="1:59">
      <c r="A57" t="s">
        <v>221</v>
      </c>
      <c r="B57" t="s">
        <v>67</v>
      </c>
      <c r="D57" t="s">
        <v>64</v>
      </c>
      <c r="E57" t="s">
        <v>59</v>
      </c>
      <c r="F57" t="s">
        <v>60</v>
      </c>
      <c r="G57">
        <v>30000</v>
      </c>
      <c r="H57">
        <v>5</v>
      </c>
      <c r="I57">
        <v>5</v>
      </c>
      <c r="J57">
        <v>0</v>
      </c>
      <c r="K57">
        <v>1</v>
      </c>
      <c r="L57">
        <v>200000000</v>
      </c>
      <c r="M57">
        <v>24</v>
      </c>
      <c r="N57">
        <v>24</v>
      </c>
      <c r="O57">
        <v>24</v>
      </c>
      <c r="P57">
        <v>0</v>
      </c>
      <c r="Q57" t="s">
        <v>61</v>
      </c>
      <c r="R57">
        <v>1750920393815710</v>
      </c>
      <c r="S57">
        <v>17510191</v>
      </c>
      <c r="T57">
        <v>1750920393815710</v>
      </c>
      <c r="U57">
        <v>17510191</v>
      </c>
      <c r="V57" t="s">
        <v>74</v>
      </c>
      <c r="W57">
        <v>60</v>
      </c>
      <c r="X57">
        <v>17510190</v>
      </c>
      <c r="Y57">
        <v>17510191</v>
      </c>
      <c r="Z57">
        <v>35020381</v>
      </c>
      <c r="AA57">
        <v>17510191</v>
      </c>
      <c r="AB57">
        <v>2</v>
      </c>
      <c r="AC57">
        <v>1</v>
      </c>
      <c r="AD57">
        <v>31.747</v>
      </c>
      <c r="AE57">
        <v>1120652192</v>
      </c>
      <c r="AI57" t="s">
        <v>222</v>
      </c>
      <c r="AP57">
        <v>156803551</v>
      </c>
      <c r="AQ57">
        <v>0</v>
      </c>
      <c r="AR57">
        <v>17423335</v>
      </c>
      <c r="AS57">
        <v>156803551</v>
      </c>
      <c r="AT57">
        <v>174226886</v>
      </c>
      <c r="AU57">
        <v>5226785</v>
      </c>
      <c r="AV57">
        <v>0</v>
      </c>
      <c r="AW57">
        <v>580777</v>
      </c>
      <c r="AX57">
        <v>5226785</v>
      </c>
      <c r="AY57">
        <v>5807562</v>
      </c>
      <c r="AZ57">
        <v>101.21299999999999</v>
      </c>
      <c r="BA57">
        <v>51.940100000000001</v>
      </c>
      <c r="BB57">
        <v>11517.6</v>
      </c>
      <c r="BD57">
        <v>3765</v>
      </c>
      <c r="BE57">
        <v>2008</v>
      </c>
      <c r="BF57" t="str">
        <f t="shared" si="0"/>
        <v>u=10%, k=2x10^8</v>
      </c>
      <c r="BG57">
        <f t="shared" si="1"/>
        <v>0</v>
      </c>
    </row>
    <row r="58" spans="1:59">
      <c r="A58" t="s">
        <v>223</v>
      </c>
      <c r="B58" t="s">
        <v>67</v>
      </c>
      <c r="D58" t="s">
        <v>64</v>
      </c>
      <c r="E58" t="s">
        <v>59</v>
      </c>
      <c r="F58" t="s">
        <v>60</v>
      </c>
      <c r="G58">
        <v>30000</v>
      </c>
      <c r="H58">
        <v>5</v>
      </c>
      <c r="I58">
        <v>5</v>
      </c>
      <c r="J58">
        <v>0</v>
      </c>
      <c r="K58">
        <v>1</v>
      </c>
      <c r="L58">
        <v>200000000</v>
      </c>
      <c r="M58">
        <v>48</v>
      </c>
      <c r="N58">
        <v>48</v>
      </c>
      <c r="O58">
        <v>48</v>
      </c>
      <c r="P58">
        <v>0</v>
      </c>
      <c r="Q58" t="s">
        <v>61</v>
      </c>
      <c r="R58">
        <v>2325442766402050</v>
      </c>
      <c r="S58">
        <v>23258942</v>
      </c>
      <c r="T58">
        <v>2325442766402050</v>
      </c>
      <c r="U58">
        <v>23258942</v>
      </c>
      <c r="V58" t="s">
        <v>74</v>
      </c>
      <c r="W58">
        <v>67</v>
      </c>
      <c r="X58">
        <v>23258941</v>
      </c>
      <c r="Y58">
        <v>23258942</v>
      </c>
      <c r="Z58">
        <v>46517883</v>
      </c>
      <c r="AA58">
        <v>23258942</v>
      </c>
      <c r="AB58">
        <v>2</v>
      </c>
      <c r="AC58">
        <v>1</v>
      </c>
      <c r="AD58">
        <v>34.4666</v>
      </c>
      <c r="AE58">
        <v>1488572256</v>
      </c>
      <c r="AI58" t="s">
        <v>224</v>
      </c>
      <c r="AP58">
        <v>286874581</v>
      </c>
      <c r="AQ58">
        <v>0</v>
      </c>
      <c r="AR58">
        <v>31873846</v>
      </c>
      <c r="AS58">
        <v>286874581</v>
      </c>
      <c r="AT58">
        <v>318748427</v>
      </c>
      <c r="AU58">
        <v>9562486</v>
      </c>
      <c r="AV58">
        <v>0</v>
      </c>
      <c r="AW58">
        <v>1062461</v>
      </c>
      <c r="AX58">
        <v>9562486</v>
      </c>
      <c r="AY58">
        <v>10624947</v>
      </c>
      <c r="AZ58">
        <v>92.876800000000003</v>
      </c>
      <c r="BA58">
        <v>45.421399999999998</v>
      </c>
      <c r="BB58">
        <v>12585.8</v>
      </c>
      <c r="BD58">
        <v>4141</v>
      </c>
      <c r="BE58">
        <v>1335</v>
      </c>
      <c r="BF58" t="str">
        <f t="shared" si="0"/>
        <v>u=10%, k=2x10^8</v>
      </c>
      <c r="BG58">
        <f t="shared" si="1"/>
        <v>0</v>
      </c>
    </row>
    <row r="59" spans="1:59">
      <c r="A59" t="s">
        <v>225</v>
      </c>
      <c r="B59" t="s">
        <v>67</v>
      </c>
      <c r="D59" t="s">
        <v>64</v>
      </c>
      <c r="E59" t="s">
        <v>59</v>
      </c>
      <c r="F59" t="s">
        <v>60</v>
      </c>
      <c r="G59">
        <v>30000</v>
      </c>
      <c r="H59">
        <v>5</v>
      </c>
      <c r="I59">
        <v>5</v>
      </c>
      <c r="J59">
        <v>0</v>
      </c>
      <c r="K59">
        <v>1</v>
      </c>
      <c r="L59">
        <v>200000000</v>
      </c>
      <c r="M59">
        <v>96</v>
      </c>
      <c r="N59">
        <v>96</v>
      </c>
      <c r="O59">
        <v>96</v>
      </c>
      <c r="P59">
        <v>0</v>
      </c>
      <c r="Q59" t="s">
        <v>61</v>
      </c>
      <c r="R59">
        <v>3516357987978790</v>
      </c>
      <c r="S59">
        <v>35164859</v>
      </c>
      <c r="T59">
        <v>3516357987978790</v>
      </c>
      <c r="U59">
        <v>35164859</v>
      </c>
      <c r="V59" t="s">
        <v>74</v>
      </c>
      <c r="W59">
        <v>66</v>
      </c>
      <c r="X59">
        <v>35164858</v>
      </c>
      <c r="Y59">
        <v>35164859</v>
      </c>
      <c r="Z59">
        <v>70329717</v>
      </c>
      <c r="AA59">
        <v>35164859</v>
      </c>
      <c r="AB59">
        <v>2</v>
      </c>
      <c r="AC59">
        <v>1</v>
      </c>
      <c r="AD59">
        <v>34.254100000000001</v>
      </c>
      <c r="AE59">
        <v>2250550944</v>
      </c>
      <c r="AI59" t="s">
        <v>226</v>
      </c>
      <c r="AP59">
        <v>590298601</v>
      </c>
      <c r="AQ59">
        <v>0</v>
      </c>
      <c r="AR59">
        <v>65585905</v>
      </c>
      <c r="AS59">
        <v>590298601</v>
      </c>
      <c r="AT59">
        <v>655884506</v>
      </c>
      <c r="AU59">
        <v>19676620</v>
      </c>
      <c r="AV59">
        <v>0</v>
      </c>
      <c r="AW59">
        <v>2186196</v>
      </c>
      <c r="AX59">
        <v>19676620</v>
      </c>
      <c r="AY59">
        <v>21862816</v>
      </c>
      <c r="AZ59">
        <v>97.022400000000005</v>
      </c>
      <c r="BA59">
        <v>52.801200000000001</v>
      </c>
      <c r="BB59">
        <v>12208.7</v>
      </c>
      <c r="BD59">
        <v>4923</v>
      </c>
      <c r="BE59">
        <v>883</v>
      </c>
      <c r="BF59" t="str">
        <f t="shared" si="0"/>
        <v>u=10%, k=2x10^8</v>
      </c>
      <c r="BG59">
        <f t="shared" si="1"/>
        <v>0</v>
      </c>
    </row>
    <row r="60" spans="1:59">
      <c r="A60" t="s">
        <v>227</v>
      </c>
      <c r="B60" t="s">
        <v>67</v>
      </c>
      <c r="D60" t="s">
        <v>64</v>
      </c>
      <c r="E60" t="s">
        <v>59</v>
      </c>
      <c r="F60" t="s">
        <v>60</v>
      </c>
      <c r="G60">
        <v>30000</v>
      </c>
      <c r="H60">
        <v>5</v>
      </c>
      <c r="I60">
        <v>5</v>
      </c>
      <c r="J60">
        <v>0</v>
      </c>
      <c r="K60">
        <v>1</v>
      </c>
      <c r="L60">
        <v>200000000</v>
      </c>
      <c r="M60">
        <v>144</v>
      </c>
      <c r="N60">
        <v>144</v>
      </c>
      <c r="O60">
        <v>144</v>
      </c>
      <c r="P60">
        <v>0</v>
      </c>
      <c r="Q60" t="s">
        <v>61</v>
      </c>
      <c r="R60">
        <v>4397745472570130</v>
      </c>
      <c r="S60">
        <v>43973122</v>
      </c>
      <c r="T60">
        <v>4397745472570130</v>
      </c>
      <c r="U60">
        <v>43973122</v>
      </c>
      <c r="V60" t="s">
        <v>74</v>
      </c>
      <c r="W60">
        <v>71</v>
      </c>
      <c r="X60">
        <v>43973121</v>
      </c>
      <c r="Y60">
        <v>43973122</v>
      </c>
      <c r="Z60">
        <v>87946243</v>
      </c>
      <c r="AA60">
        <v>43973122</v>
      </c>
      <c r="AB60">
        <v>2</v>
      </c>
      <c r="AC60">
        <v>1</v>
      </c>
      <c r="AD60">
        <v>34.655099999999997</v>
      </c>
      <c r="AE60">
        <v>2814279776</v>
      </c>
      <c r="AI60" t="s">
        <v>228</v>
      </c>
      <c r="AP60">
        <v>853127825</v>
      </c>
      <c r="AQ60">
        <v>0</v>
      </c>
      <c r="AR60">
        <v>94805261</v>
      </c>
      <c r="AS60">
        <v>853127825</v>
      </c>
      <c r="AT60">
        <v>947933086</v>
      </c>
      <c r="AU60">
        <v>28437594</v>
      </c>
      <c r="AV60">
        <v>0</v>
      </c>
      <c r="AW60">
        <v>3160175</v>
      </c>
      <c r="AX60">
        <v>28437594</v>
      </c>
      <c r="AY60">
        <v>31597769</v>
      </c>
      <c r="AZ60">
        <v>98.759399999999999</v>
      </c>
      <c r="BA60">
        <v>54.980899999999998</v>
      </c>
      <c r="BB60">
        <v>12669.5</v>
      </c>
      <c r="BD60">
        <v>5508</v>
      </c>
      <c r="BE60">
        <v>524</v>
      </c>
      <c r="BF60" t="str">
        <f t="shared" si="0"/>
        <v>u=10%, k=2x10^8</v>
      </c>
      <c r="BG60">
        <f t="shared" si="1"/>
        <v>0</v>
      </c>
    </row>
    <row r="61" spans="1:59">
      <c r="A61" t="s">
        <v>229</v>
      </c>
      <c r="B61" t="s">
        <v>67</v>
      </c>
      <c r="D61" t="s">
        <v>64</v>
      </c>
      <c r="E61" t="s">
        <v>59</v>
      </c>
      <c r="F61" t="s">
        <v>60</v>
      </c>
      <c r="G61">
        <v>30000</v>
      </c>
      <c r="H61">
        <v>5</v>
      </c>
      <c r="I61">
        <v>5</v>
      </c>
      <c r="J61">
        <v>0</v>
      </c>
      <c r="K61">
        <v>1</v>
      </c>
      <c r="L61">
        <v>200000000</v>
      </c>
      <c r="M61">
        <v>190</v>
      </c>
      <c r="N61">
        <v>190</v>
      </c>
      <c r="O61">
        <v>190</v>
      </c>
      <c r="P61">
        <v>0</v>
      </c>
      <c r="Q61" t="s">
        <v>61</v>
      </c>
      <c r="R61">
        <v>5092771034384370</v>
      </c>
      <c r="S61">
        <v>50922436</v>
      </c>
      <c r="T61">
        <v>5092771034384370</v>
      </c>
      <c r="U61">
        <v>50922436</v>
      </c>
      <c r="V61" t="s">
        <v>74</v>
      </c>
      <c r="W61">
        <v>64</v>
      </c>
      <c r="X61">
        <v>50922435</v>
      </c>
      <c r="Y61">
        <v>50922436</v>
      </c>
      <c r="Z61">
        <v>101844871</v>
      </c>
      <c r="AA61">
        <v>50922436</v>
      </c>
      <c r="AB61">
        <v>2</v>
      </c>
      <c r="AC61">
        <v>1</v>
      </c>
      <c r="AD61">
        <v>34.248600000000003</v>
      </c>
      <c r="AE61">
        <v>3259035872</v>
      </c>
      <c r="AI61" t="s">
        <v>230</v>
      </c>
      <c r="AP61">
        <v>1091321807</v>
      </c>
      <c r="AQ61">
        <v>0</v>
      </c>
      <c r="AR61">
        <v>121269011</v>
      </c>
      <c r="AS61">
        <v>1091321807</v>
      </c>
      <c r="AT61">
        <v>1212590818</v>
      </c>
      <c r="AU61">
        <v>36377393</v>
      </c>
      <c r="AV61">
        <v>0</v>
      </c>
      <c r="AW61">
        <v>4042300</v>
      </c>
      <c r="AX61">
        <v>36377393</v>
      </c>
      <c r="AY61">
        <v>40419693</v>
      </c>
      <c r="AZ61">
        <v>99.980999999999995</v>
      </c>
      <c r="BA61">
        <v>56.212499999999999</v>
      </c>
      <c r="BB61">
        <v>13058</v>
      </c>
      <c r="BD61">
        <v>5969</v>
      </c>
      <c r="BE61">
        <v>537</v>
      </c>
      <c r="BF61" t="str">
        <f t="shared" si="0"/>
        <v>u=10%, k=2x10^8</v>
      </c>
      <c r="BG61">
        <f t="shared" si="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97</v>
      </c>
      <c r="Z2" s="2" t="s">
        <v>0</v>
      </c>
      <c r="AA2" t="s">
        <v>69</v>
      </c>
    </row>
    <row r="3" spans="1:27">
      <c r="Z3" s="2"/>
    </row>
    <row r="4" spans="1:27">
      <c r="A4" s="6" t="s">
        <v>83</v>
      </c>
      <c r="B4" s="6" t="s">
        <v>18</v>
      </c>
      <c r="Z4" s="2"/>
    </row>
    <row r="5" spans="1:27">
      <c r="A5" s="6" t="s">
        <v>19</v>
      </c>
      <c r="B5" t="s">
        <v>67</v>
      </c>
      <c r="C5" t="s">
        <v>66</v>
      </c>
      <c r="D5" t="s">
        <v>65</v>
      </c>
      <c r="E5" t="s">
        <v>63</v>
      </c>
      <c r="Z5" s="2"/>
    </row>
    <row r="6" spans="1:27">
      <c r="A6" s="7">
        <v>24</v>
      </c>
      <c r="B6" s="8">
        <v>3458.3333333333335</v>
      </c>
      <c r="C6" s="8">
        <v>3481.6666666666665</v>
      </c>
      <c r="D6" s="8">
        <v>3146.6666666666665</v>
      </c>
      <c r="E6" s="8">
        <v>6481</v>
      </c>
      <c r="N6" s="2"/>
    </row>
    <row r="7" spans="1:27">
      <c r="A7" s="7">
        <v>48</v>
      </c>
      <c r="B7" s="8">
        <v>3602.6666666666665</v>
      </c>
      <c r="C7" s="8">
        <v>3640.6666666666665</v>
      </c>
      <c r="D7" s="8">
        <v>3293.6666666666665</v>
      </c>
      <c r="E7" s="8">
        <v>6941.333333333333</v>
      </c>
    </row>
    <row r="8" spans="1:27">
      <c r="A8" s="7">
        <v>96</v>
      </c>
      <c r="B8" s="8">
        <v>3909.3333333333335</v>
      </c>
      <c r="C8" s="8">
        <v>3972.3333333333335</v>
      </c>
      <c r="D8" s="8">
        <v>3550</v>
      </c>
      <c r="E8" s="8">
        <v>7214.666666666667</v>
      </c>
      <c r="N8" s="2"/>
    </row>
    <row r="9" spans="1:27">
      <c r="A9" s="7">
        <v>144</v>
      </c>
      <c r="B9" s="8">
        <v>4145.333333333333</v>
      </c>
      <c r="C9" s="8">
        <v>4222</v>
      </c>
      <c r="D9" s="8">
        <v>3723.3333333333335</v>
      </c>
      <c r="E9" s="8">
        <v>7714</v>
      </c>
    </row>
    <row r="10" spans="1:27">
      <c r="A10" s="7">
        <v>190</v>
      </c>
      <c r="B10" s="8">
        <v>4335</v>
      </c>
      <c r="C10" s="8">
        <v>4425</v>
      </c>
      <c r="D10" s="8">
        <v>3896.6666666666665</v>
      </c>
      <c r="E10" s="8">
        <v>7858</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3458.3333333333335</v>
      </c>
      <c r="C21" s="8">
        <f t="shared" si="1"/>
        <v>3481.6666666666665</v>
      </c>
      <c r="D21" s="8">
        <f t="shared" si="1"/>
        <v>3146.6666666666665</v>
      </c>
      <c r="E21" s="8">
        <f t="shared" si="1"/>
        <v>6481</v>
      </c>
      <c r="F21" s="8">
        <f t="shared" si="1"/>
        <v>0</v>
      </c>
    </row>
    <row r="22" spans="1:6">
      <c r="A22">
        <f t="shared" ref="A22:F25" si="2">A7</f>
        <v>48</v>
      </c>
      <c r="B22" s="8">
        <f t="shared" si="1"/>
        <v>3602.6666666666665</v>
      </c>
      <c r="C22" s="8">
        <f t="shared" si="1"/>
        <v>3640.6666666666665</v>
      </c>
      <c r="D22" s="8">
        <f t="shared" si="1"/>
        <v>3293.6666666666665</v>
      </c>
      <c r="E22" s="8">
        <f t="shared" si="1"/>
        <v>6941.333333333333</v>
      </c>
      <c r="F22" s="8">
        <f t="shared" si="1"/>
        <v>0</v>
      </c>
    </row>
    <row r="23" spans="1:6">
      <c r="A23">
        <f t="shared" si="2"/>
        <v>96</v>
      </c>
      <c r="B23" s="8">
        <f t="shared" si="1"/>
        <v>3909.3333333333335</v>
      </c>
      <c r="C23" s="8">
        <f t="shared" si="1"/>
        <v>3972.3333333333335</v>
      </c>
      <c r="D23" s="8">
        <f t="shared" si="1"/>
        <v>3550</v>
      </c>
      <c r="E23" s="8">
        <f t="shared" si="1"/>
        <v>7214.666666666667</v>
      </c>
      <c r="F23" s="8">
        <f t="shared" si="1"/>
        <v>0</v>
      </c>
    </row>
    <row r="24" spans="1:6">
      <c r="A24">
        <f t="shared" si="2"/>
        <v>144</v>
      </c>
      <c r="B24" s="8">
        <f t="shared" si="2"/>
        <v>4145.333333333333</v>
      </c>
      <c r="C24" s="8">
        <f t="shared" si="2"/>
        <v>4222</v>
      </c>
      <c r="D24" s="8">
        <f t="shared" si="2"/>
        <v>3723.3333333333335</v>
      </c>
      <c r="E24" s="8">
        <f t="shared" si="2"/>
        <v>7714</v>
      </c>
      <c r="F24" s="8">
        <f t="shared" si="2"/>
        <v>0</v>
      </c>
    </row>
    <row r="25" spans="1:6">
      <c r="A25">
        <f t="shared" si="2"/>
        <v>190</v>
      </c>
      <c r="B25" s="8">
        <f t="shared" si="2"/>
        <v>4335</v>
      </c>
      <c r="C25" s="8">
        <f t="shared" si="2"/>
        <v>4425</v>
      </c>
      <c r="D25" s="8">
        <f t="shared" si="2"/>
        <v>3896.6666666666665</v>
      </c>
      <c r="E25" s="8">
        <f t="shared" si="2"/>
        <v>7858</v>
      </c>
      <c r="F25" s="8">
        <f t="shared" si="2"/>
        <v>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97</v>
      </c>
      <c r="Z2" s="2" t="s">
        <v>0</v>
      </c>
      <c r="AA2" t="s">
        <v>69</v>
      </c>
    </row>
    <row r="3" spans="1:27">
      <c r="Z3" s="2"/>
    </row>
    <row r="4" spans="1:27">
      <c r="A4" s="6" t="s">
        <v>84</v>
      </c>
      <c r="B4" s="6" t="s">
        <v>18</v>
      </c>
      <c r="Z4" s="2"/>
    </row>
    <row r="5" spans="1:27">
      <c r="A5" s="6" t="s">
        <v>19</v>
      </c>
      <c r="B5" t="s">
        <v>67</v>
      </c>
      <c r="C5" t="s">
        <v>66</v>
      </c>
      <c r="D5" t="s">
        <v>65</v>
      </c>
      <c r="E5" t="s">
        <v>63</v>
      </c>
      <c r="Z5" s="2"/>
    </row>
    <row r="6" spans="1:27">
      <c r="A6" s="7">
        <v>24</v>
      </c>
      <c r="B6" s="8">
        <v>11152.333333333334</v>
      </c>
      <c r="C6" s="8">
        <v>10184.16</v>
      </c>
      <c r="D6" s="8">
        <v>6486.166666666667</v>
      </c>
      <c r="E6" s="8">
        <v>6097.6533333333327</v>
      </c>
      <c r="N6" s="2"/>
    </row>
    <row r="7" spans="1:27">
      <c r="A7" s="7">
        <v>48</v>
      </c>
      <c r="B7" s="8">
        <v>12033.133333333331</v>
      </c>
      <c r="C7" s="8">
        <v>11166.166666666666</v>
      </c>
      <c r="D7" s="8">
        <v>7352.333333333333</v>
      </c>
      <c r="E7" s="8">
        <v>6974.376666666667</v>
      </c>
    </row>
    <row r="8" spans="1:27">
      <c r="A8" s="7">
        <v>96</v>
      </c>
      <c r="B8" s="8">
        <v>11345.4</v>
      </c>
      <c r="C8" s="8">
        <v>10811.866666666667</v>
      </c>
      <c r="D8" s="8">
        <v>7705.793333333334</v>
      </c>
      <c r="E8" s="8">
        <v>7566.69</v>
      </c>
      <c r="N8" s="2"/>
    </row>
    <row r="9" spans="1:27">
      <c r="A9" s="7">
        <v>144</v>
      </c>
      <c r="B9" s="8">
        <v>11639.466666666667</v>
      </c>
      <c r="C9" s="8">
        <v>11349.099999999999</v>
      </c>
      <c r="D9" s="8">
        <v>8092.6466666666665</v>
      </c>
      <c r="E9" s="8">
        <v>8267.9499999999989</v>
      </c>
    </row>
    <row r="10" spans="1:27">
      <c r="A10" s="7">
        <v>190</v>
      </c>
      <c r="B10" s="8">
        <v>11945.933333333334</v>
      </c>
      <c r="C10" s="8">
        <v>11920</v>
      </c>
      <c r="D10" s="8">
        <v>8871.2966666666671</v>
      </c>
      <c r="E10" s="8">
        <v>8954.4233333333341</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11152.333333333334</v>
      </c>
      <c r="C21" s="8">
        <f t="shared" si="1"/>
        <v>10184.16</v>
      </c>
      <c r="D21" s="8">
        <f t="shared" si="1"/>
        <v>6486.166666666667</v>
      </c>
      <c r="E21" s="8">
        <f t="shared" si="1"/>
        <v>6097.6533333333327</v>
      </c>
      <c r="F21" s="8">
        <f t="shared" si="1"/>
        <v>0</v>
      </c>
    </row>
    <row r="22" spans="1:6">
      <c r="A22">
        <f t="shared" ref="A22:F25" si="2">A7</f>
        <v>48</v>
      </c>
      <c r="B22" s="8">
        <f t="shared" si="1"/>
        <v>12033.133333333331</v>
      </c>
      <c r="C22" s="8">
        <f t="shared" si="1"/>
        <v>11166.166666666666</v>
      </c>
      <c r="D22" s="8">
        <f t="shared" si="1"/>
        <v>7352.333333333333</v>
      </c>
      <c r="E22" s="8">
        <f t="shared" si="1"/>
        <v>6974.376666666667</v>
      </c>
      <c r="F22" s="8">
        <f t="shared" si="1"/>
        <v>0</v>
      </c>
    </row>
    <row r="23" spans="1:6">
      <c r="A23">
        <f t="shared" si="2"/>
        <v>96</v>
      </c>
      <c r="B23" s="8">
        <f t="shared" si="1"/>
        <v>11345.4</v>
      </c>
      <c r="C23" s="8">
        <f t="shared" si="1"/>
        <v>10811.866666666667</v>
      </c>
      <c r="D23" s="8">
        <f t="shared" si="1"/>
        <v>7705.793333333334</v>
      </c>
      <c r="E23" s="8">
        <f t="shared" si="1"/>
        <v>7566.69</v>
      </c>
      <c r="F23" s="8">
        <f t="shared" si="1"/>
        <v>0</v>
      </c>
    </row>
    <row r="24" spans="1:6">
      <c r="A24">
        <f t="shared" si="2"/>
        <v>144</v>
      </c>
      <c r="B24" s="8">
        <f t="shared" si="2"/>
        <v>11639.466666666667</v>
      </c>
      <c r="C24" s="8">
        <f t="shared" si="2"/>
        <v>11349.099999999999</v>
      </c>
      <c r="D24" s="8">
        <f t="shared" si="2"/>
        <v>8092.6466666666665</v>
      </c>
      <c r="E24" s="8">
        <f t="shared" si="2"/>
        <v>8267.9499999999989</v>
      </c>
      <c r="F24" s="8">
        <f t="shared" si="2"/>
        <v>0</v>
      </c>
    </row>
    <row r="25" spans="1:6">
      <c r="A25">
        <f t="shared" si="2"/>
        <v>190</v>
      </c>
      <c r="B25" s="8">
        <f t="shared" si="2"/>
        <v>11945.933333333334</v>
      </c>
      <c r="C25" s="8">
        <f t="shared" si="2"/>
        <v>11920</v>
      </c>
      <c r="D25" s="8">
        <f t="shared" si="2"/>
        <v>8871.2966666666671</v>
      </c>
      <c r="E25" s="8">
        <f t="shared" si="2"/>
        <v>8954.4233333333341</v>
      </c>
      <c r="F25" s="8">
        <f t="shared" si="2"/>
        <v>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A83"/>
  <sheetViews>
    <sheetView tabSelected="1" zoomScale="80" zoomScaleNormal="80" workbookViewId="0">
      <selection activeCell="F10" sqref="F10"/>
    </sheetView>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231</v>
      </c>
      <c r="C2" t="str">
        <f>"10^7 Zipfian keys from [1,10^8]; "&amp;LEFT(B2,FIND(",",B2)-1)</f>
        <v>10^7 Zipfian keys from [1,10^8]; u=10%</v>
      </c>
      <c r="Z2" s="2" t="s">
        <v>0</v>
      </c>
      <c r="AA2" t="s">
        <v>69</v>
      </c>
    </row>
    <row r="3" spans="1:27">
      <c r="Z3" s="2"/>
    </row>
    <row r="4" spans="1:27">
      <c r="A4" s="6" t="s">
        <v>62</v>
      </c>
      <c r="B4" s="6" t="s">
        <v>18</v>
      </c>
      <c r="Z4" s="2"/>
    </row>
    <row r="5" spans="1:27">
      <c r="A5" s="6" t="s">
        <v>19</v>
      </c>
      <c r="B5" t="s">
        <v>67</v>
      </c>
      <c r="C5" t="s">
        <v>66</v>
      </c>
      <c r="D5" t="s">
        <v>65</v>
      </c>
      <c r="E5" t="s">
        <v>63</v>
      </c>
      <c r="Z5" s="2"/>
    </row>
    <row r="6" spans="1:27">
      <c r="A6" s="7">
        <v>24</v>
      </c>
      <c r="B6" s="8">
        <v>5807562</v>
      </c>
      <c r="C6" s="8">
        <v>6368399</v>
      </c>
      <c r="D6" s="8">
        <v>9900892</v>
      </c>
      <c r="E6" s="8">
        <v>10145920</v>
      </c>
      <c r="N6" s="2"/>
    </row>
    <row r="7" spans="1:27">
      <c r="A7" s="7">
        <v>48</v>
      </c>
      <c r="B7" s="8">
        <v>10624947</v>
      </c>
      <c r="C7" s="8">
        <v>11494413</v>
      </c>
      <c r="D7" s="8">
        <v>17356317</v>
      </c>
      <c r="E7" s="8">
        <v>17289181</v>
      </c>
    </row>
    <row r="8" spans="1:27">
      <c r="A8" s="7">
        <v>96</v>
      </c>
      <c r="B8" s="8">
        <v>21862816</v>
      </c>
      <c r="C8" s="8">
        <v>23013638</v>
      </c>
      <c r="D8" s="8">
        <v>32537615</v>
      </c>
      <c r="E8" s="8">
        <v>31804374</v>
      </c>
      <c r="N8" s="2"/>
    </row>
    <row r="9" spans="1:27">
      <c r="A9" s="7">
        <v>144</v>
      </c>
      <c r="B9" s="8">
        <v>31597769</v>
      </c>
      <c r="C9" s="8">
        <v>32591826</v>
      </c>
      <c r="D9" s="8">
        <v>45514205</v>
      </c>
      <c r="E9" s="8">
        <v>43335854</v>
      </c>
    </row>
    <row r="10" spans="1:27">
      <c r="A10" s="7">
        <v>190</v>
      </c>
      <c r="B10" s="8">
        <v>40419693</v>
      </c>
      <c r="C10" s="8">
        <v>41179670</v>
      </c>
      <c r="D10" s="8">
        <v>55546335</v>
      </c>
      <c r="E10" s="8">
        <v>53222263</v>
      </c>
    </row>
    <row r="13" spans="1:27">
      <c r="O13" s="3"/>
    </row>
    <row r="14" spans="1:27">
      <c r="Z14" s="2"/>
    </row>
    <row r="20" spans="1:6">
      <c r="B20" t="s">
        <v>94</v>
      </c>
      <c r="C20" t="s">
        <v>93</v>
      </c>
      <c r="D20" t="s">
        <v>95</v>
      </c>
      <c r="E20" t="s">
        <v>96</v>
      </c>
      <c r="F20">
        <f t="shared" ref="F20" si="0">F5</f>
        <v>0</v>
      </c>
    </row>
    <row r="21" spans="1:6">
      <c r="A21">
        <f>A6</f>
        <v>24</v>
      </c>
      <c r="B21" s="8">
        <f t="shared" ref="B21:F21" si="1">B6</f>
        <v>5807562</v>
      </c>
      <c r="C21" s="8">
        <f t="shared" si="1"/>
        <v>6368399</v>
      </c>
      <c r="D21" s="8">
        <f t="shared" si="1"/>
        <v>9900892</v>
      </c>
      <c r="E21" s="8">
        <f t="shared" si="1"/>
        <v>10145920</v>
      </c>
      <c r="F21" s="8">
        <f t="shared" si="1"/>
        <v>0</v>
      </c>
    </row>
    <row r="22" spans="1:6">
      <c r="A22">
        <f t="shared" ref="A22:F25" si="2">A7</f>
        <v>48</v>
      </c>
      <c r="B22" s="8">
        <f t="shared" ref="B22:F22" si="3">B7</f>
        <v>10624947</v>
      </c>
      <c r="C22" s="8">
        <f t="shared" si="3"/>
        <v>11494413</v>
      </c>
      <c r="D22" s="8">
        <f t="shared" si="3"/>
        <v>17356317</v>
      </c>
      <c r="E22" s="8">
        <f t="shared" si="3"/>
        <v>17289181</v>
      </c>
      <c r="F22" s="8">
        <f t="shared" si="3"/>
        <v>0</v>
      </c>
    </row>
    <row r="23" spans="1:6">
      <c r="A23">
        <f t="shared" si="2"/>
        <v>96</v>
      </c>
      <c r="B23" s="8">
        <f t="shared" ref="B23:F23" si="4">B8</f>
        <v>21862816</v>
      </c>
      <c r="C23" s="8">
        <f t="shared" si="4"/>
        <v>23013638</v>
      </c>
      <c r="D23" s="8">
        <f t="shared" si="4"/>
        <v>32537615</v>
      </c>
      <c r="E23" s="8">
        <f t="shared" si="4"/>
        <v>31804374</v>
      </c>
      <c r="F23" s="8">
        <f t="shared" si="4"/>
        <v>0</v>
      </c>
    </row>
    <row r="24" spans="1:6">
      <c r="A24">
        <f t="shared" si="2"/>
        <v>144</v>
      </c>
      <c r="B24" s="8">
        <f t="shared" si="2"/>
        <v>31597769</v>
      </c>
      <c r="C24" s="8">
        <f t="shared" si="2"/>
        <v>32591826</v>
      </c>
      <c r="D24" s="8">
        <f t="shared" si="2"/>
        <v>45514205</v>
      </c>
      <c r="E24" s="8">
        <f t="shared" si="2"/>
        <v>43335854</v>
      </c>
      <c r="F24" s="8">
        <f t="shared" si="2"/>
        <v>0</v>
      </c>
    </row>
    <row r="25" spans="1:6">
      <c r="A25">
        <f t="shared" si="2"/>
        <v>190</v>
      </c>
      <c r="B25" s="8">
        <f t="shared" si="2"/>
        <v>40419693</v>
      </c>
      <c r="C25" s="8">
        <f t="shared" si="2"/>
        <v>41179670</v>
      </c>
      <c r="D25" s="8">
        <f t="shared" si="2"/>
        <v>55546335</v>
      </c>
      <c r="E25" s="8">
        <f t="shared" si="2"/>
        <v>53222263</v>
      </c>
      <c r="F25" s="8">
        <f t="shared" si="2"/>
        <v>0</v>
      </c>
    </row>
    <row r="36" spans="1:5">
      <c r="A36" s="6" t="s">
        <v>68</v>
      </c>
      <c r="B36" t="s">
        <v>231</v>
      </c>
    </row>
    <row r="38" spans="1:5">
      <c r="A38" s="6" t="s">
        <v>98</v>
      </c>
      <c r="B38" s="6" t="s">
        <v>18</v>
      </c>
    </row>
    <row r="39" spans="1:5">
      <c r="A39" s="6" t="s">
        <v>19</v>
      </c>
      <c r="B39" t="s">
        <v>67</v>
      </c>
      <c r="C39" t="s">
        <v>66</v>
      </c>
      <c r="D39" t="s">
        <v>65</v>
      </c>
      <c r="E39" t="s">
        <v>63</v>
      </c>
    </row>
    <row r="40" spans="1:5">
      <c r="A40" s="7">
        <v>24</v>
      </c>
      <c r="B40" s="8">
        <v>5807562</v>
      </c>
      <c r="C40" s="8">
        <v>6368399</v>
      </c>
      <c r="D40" s="8">
        <v>9900892</v>
      </c>
      <c r="E40" s="8">
        <v>10145920</v>
      </c>
    </row>
    <row r="41" spans="1:5">
      <c r="A41" s="7">
        <v>48</v>
      </c>
      <c r="B41" s="8">
        <v>10624947</v>
      </c>
      <c r="C41" s="8">
        <v>11494413</v>
      </c>
      <c r="D41" s="8">
        <v>17356317</v>
      </c>
      <c r="E41" s="8">
        <v>17289181</v>
      </c>
    </row>
    <row r="42" spans="1:5">
      <c r="A42" s="7">
        <v>96</v>
      </c>
      <c r="B42" s="8">
        <v>21862816</v>
      </c>
      <c r="C42" s="8">
        <v>23013638</v>
      </c>
      <c r="D42" s="8">
        <v>32537615</v>
      </c>
      <c r="E42" s="8">
        <v>31804374</v>
      </c>
    </row>
    <row r="43" spans="1:5">
      <c r="A43" s="7">
        <v>144</v>
      </c>
      <c r="B43" s="8">
        <v>31597769</v>
      </c>
      <c r="C43" s="8">
        <v>32591826</v>
      </c>
      <c r="D43" s="8">
        <v>45514205</v>
      </c>
      <c r="E43" s="8">
        <v>43335854</v>
      </c>
    </row>
    <row r="44" spans="1:5">
      <c r="A44" s="7">
        <v>190</v>
      </c>
      <c r="B44" s="8">
        <v>40419693</v>
      </c>
      <c r="C44" s="8">
        <v>41179670</v>
      </c>
      <c r="D44" s="8">
        <v>55546335</v>
      </c>
      <c r="E44" s="8">
        <v>53222263</v>
      </c>
    </row>
    <row r="50" spans="1:6">
      <c r="A50" t="str">
        <f>A39</f>
        <v>Row Labels</v>
      </c>
      <c r="B50" t="str">
        <f t="shared" ref="B50:E50" si="5">B39</f>
        <v>natarajan_ext_bst_lf</v>
      </c>
      <c r="C50" t="str">
        <f t="shared" si="5"/>
        <v>bronson_pext_bst_occ</v>
      </c>
      <c r="D50" t="str">
        <f t="shared" si="5"/>
        <v>brown_ext_abtree_lf</v>
      </c>
      <c r="E50" t="str">
        <f t="shared" si="5"/>
        <v>brown_ext_ist_lf</v>
      </c>
    </row>
    <row r="51" spans="1:6">
      <c r="A51">
        <f t="shared" ref="A51:A56" si="6">A40</f>
        <v>24</v>
      </c>
      <c r="B51" s="8">
        <f>B21-B40</f>
        <v>0</v>
      </c>
      <c r="C51" s="8">
        <f t="shared" ref="C51:E51" si="7">C21-C40</f>
        <v>0</v>
      </c>
      <c r="D51" s="8">
        <f t="shared" si="7"/>
        <v>0</v>
      </c>
      <c r="E51" s="8">
        <f t="shared" si="7"/>
        <v>0</v>
      </c>
    </row>
    <row r="52" spans="1:6">
      <c r="A52">
        <f t="shared" si="6"/>
        <v>48</v>
      </c>
      <c r="B52" s="8">
        <f t="shared" ref="B52:E56" si="8">B22-B41</f>
        <v>0</v>
      </c>
      <c r="C52" s="8">
        <f t="shared" si="8"/>
        <v>0</v>
      </c>
      <c r="D52" s="8">
        <f t="shared" si="8"/>
        <v>0</v>
      </c>
      <c r="E52" s="8">
        <f t="shared" si="8"/>
        <v>0</v>
      </c>
    </row>
    <row r="53" spans="1:6">
      <c r="A53">
        <f t="shared" si="6"/>
        <v>96</v>
      </c>
      <c r="B53" s="8">
        <f t="shared" si="8"/>
        <v>0</v>
      </c>
      <c r="C53" s="8">
        <f t="shared" si="8"/>
        <v>0</v>
      </c>
      <c r="D53" s="8">
        <f t="shared" si="8"/>
        <v>0</v>
      </c>
      <c r="E53" s="8">
        <f t="shared" si="8"/>
        <v>0</v>
      </c>
    </row>
    <row r="54" spans="1:6">
      <c r="A54">
        <f t="shared" si="6"/>
        <v>144</v>
      </c>
      <c r="B54" s="8">
        <f t="shared" si="8"/>
        <v>0</v>
      </c>
      <c r="C54" s="8">
        <f t="shared" si="8"/>
        <v>0</v>
      </c>
      <c r="D54" s="8">
        <f t="shared" si="8"/>
        <v>0</v>
      </c>
      <c r="E54" s="8">
        <f t="shared" si="8"/>
        <v>0</v>
      </c>
    </row>
    <row r="55" spans="1:6">
      <c r="A55">
        <f t="shared" si="6"/>
        <v>190</v>
      </c>
      <c r="B55" s="8">
        <f t="shared" si="8"/>
        <v>0</v>
      </c>
      <c r="C55" s="8">
        <f t="shared" si="8"/>
        <v>0</v>
      </c>
      <c r="D55" s="8">
        <f t="shared" si="8"/>
        <v>0</v>
      </c>
      <c r="E55" s="8">
        <f t="shared" si="8"/>
        <v>0</v>
      </c>
      <c r="F55" s="9"/>
    </row>
    <row r="56" spans="1:6">
      <c r="A56">
        <f t="shared" si="6"/>
        <v>0</v>
      </c>
      <c r="B56" s="8">
        <f t="shared" si="8"/>
        <v>0</v>
      </c>
      <c r="C56" s="8">
        <f t="shared" si="8"/>
        <v>0</v>
      </c>
      <c r="D56" s="8">
        <f t="shared" si="8"/>
        <v>0</v>
      </c>
      <c r="E56" s="8">
        <f t="shared" si="8"/>
        <v>0</v>
      </c>
    </row>
    <row r="63" spans="1:6">
      <c r="A63" s="6" t="s">
        <v>68</v>
      </c>
      <c r="B63" t="s">
        <v>231</v>
      </c>
    </row>
    <row r="65" spans="1:5">
      <c r="A65" s="6" t="s">
        <v>99</v>
      </c>
      <c r="B65" s="6" t="s">
        <v>18</v>
      </c>
    </row>
    <row r="66" spans="1:5">
      <c r="A66" s="6" t="s">
        <v>19</v>
      </c>
      <c r="B66" t="s">
        <v>67</v>
      </c>
      <c r="C66" t="s">
        <v>66</v>
      </c>
      <c r="D66" t="s">
        <v>65</v>
      </c>
      <c r="E66" t="s">
        <v>63</v>
      </c>
    </row>
    <row r="67" spans="1:5">
      <c r="A67" s="7">
        <v>24</v>
      </c>
      <c r="B67" s="8">
        <v>5807562</v>
      </c>
      <c r="C67" s="8">
        <v>6368399</v>
      </c>
      <c r="D67" s="8">
        <v>9900892</v>
      </c>
      <c r="E67" s="8">
        <v>10145920</v>
      </c>
    </row>
    <row r="68" spans="1:5">
      <c r="A68" s="7">
        <v>48</v>
      </c>
      <c r="B68" s="8">
        <v>10624947</v>
      </c>
      <c r="C68" s="8">
        <v>11494413</v>
      </c>
      <c r="D68" s="8">
        <v>17356317</v>
      </c>
      <c r="E68" s="8">
        <v>17289181</v>
      </c>
    </row>
    <row r="69" spans="1:5">
      <c r="A69" s="7">
        <v>96</v>
      </c>
      <c r="B69" s="8">
        <v>21862816</v>
      </c>
      <c r="C69" s="8">
        <v>23013638</v>
      </c>
      <c r="D69" s="8">
        <v>32537615</v>
      </c>
      <c r="E69" s="8">
        <v>31804374</v>
      </c>
    </row>
    <row r="70" spans="1:5">
      <c r="A70" s="7">
        <v>144</v>
      </c>
      <c r="B70" s="8">
        <v>31597769</v>
      </c>
      <c r="C70" s="8">
        <v>32591826</v>
      </c>
      <c r="D70" s="8">
        <v>45514205</v>
      </c>
      <c r="E70" s="8">
        <v>43335854</v>
      </c>
    </row>
    <row r="71" spans="1:5">
      <c r="A71" s="7">
        <v>190</v>
      </c>
      <c r="B71" s="8">
        <v>40419693</v>
      </c>
      <c r="C71" s="8">
        <v>41179670</v>
      </c>
      <c r="D71" s="8">
        <v>55546335</v>
      </c>
      <c r="E71" s="8">
        <v>53222263</v>
      </c>
    </row>
    <row r="77" spans="1:5">
      <c r="A77" t="str">
        <f>A66</f>
        <v>Row Labels</v>
      </c>
      <c r="B77" t="str">
        <f t="shared" ref="B77:E77" si="9">B66</f>
        <v>natarajan_ext_bst_lf</v>
      </c>
      <c r="C77" t="str">
        <f t="shared" si="9"/>
        <v>bronson_pext_bst_occ</v>
      </c>
      <c r="D77" t="str">
        <f t="shared" si="9"/>
        <v>brown_ext_abtree_lf</v>
      </c>
      <c r="E77" t="str">
        <f t="shared" si="9"/>
        <v>brown_ext_ist_lf</v>
      </c>
    </row>
    <row r="78" spans="1:5">
      <c r="A78">
        <f t="shared" ref="A78:A83" si="10">A67</f>
        <v>24</v>
      </c>
      <c r="B78" s="8">
        <f t="shared" ref="B78:D81" si="11">B67-B21</f>
        <v>0</v>
      </c>
      <c r="C78" s="8">
        <f t="shared" si="11"/>
        <v>0</v>
      </c>
      <c r="D78" s="8">
        <f t="shared" si="11"/>
        <v>0</v>
      </c>
      <c r="E78" s="8">
        <f t="shared" ref="E78:E81" si="12">E67-E21</f>
        <v>0</v>
      </c>
    </row>
    <row r="79" spans="1:5">
      <c r="A79">
        <f t="shared" si="10"/>
        <v>48</v>
      </c>
      <c r="B79" s="8">
        <f t="shared" si="11"/>
        <v>0</v>
      </c>
      <c r="C79" s="8">
        <f t="shared" si="11"/>
        <v>0</v>
      </c>
      <c r="D79" s="8">
        <f t="shared" si="11"/>
        <v>0</v>
      </c>
      <c r="E79" s="8">
        <f t="shared" si="12"/>
        <v>0</v>
      </c>
    </row>
    <row r="80" spans="1:5">
      <c r="A80">
        <f t="shared" si="10"/>
        <v>96</v>
      </c>
      <c r="B80" s="8">
        <f t="shared" si="11"/>
        <v>0</v>
      </c>
      <c r="C80" s="8">
        <f t="shared" si="11"/>
        <v>0</v>
      </c>
      <c r="D80" s="8">
        <f t="shared" si="11"/>
        <v>0</v>
      </c>
      <c r="E80" s="8">
        <f t="shared" si="12"/>
        <v>0</v>
      </c>
    </row>
    <row r="81" spans="1:5">
      <c r="A81">
        <f t="shared" si="10"/>
        <v>144</v>
      </c>
      <c r="B81" s="8">
        <f t="shared" si="11"/>
        <v>0</v>
      </c>
      <c r="C81" s="8">
        <f t="shared" si="11"/>
        <v>0</v>
      </c>
      <c r="D81" s="8">
        <f t="shared" si="11"/>
        <v>0</v>
      </c>
      <c r="E81" s="8">
        <f t="shared" si="12"/>
        <v>0</v>
      </c>
    </row>
    <row r="82" spans="1:5">
      <c r="A82">
        <f>A71</f>
        <v>190</v>
      </c>
      <c r="B82" s="8">
        <f t="shared" ref="B82:D82" si="13">B71-B25</f>
        <v>0</v>
      </c>
      <c r="C82" s="8">
        <f t="shared" si="13"/>
        <v>0</v>
      </c>
      <c r="D82" s="8">
        <f t="shared" si="13"/>
        <v>0</v>
      </c>
      <c r="E82" s="8">
        <f>E71-E25</f>
        <v>0</v>
      </c>
    </row>
    <row r="83" spans="1:5">
      <c r="A83">
        <f t="shared" si="10"/>
        <v>0</v>
      </c>
      <c r="B83" s="8">
        <f t="shared" ref="B83:D83" si="14">B72-B26</f>
        <v>0</v>
      </c>
      <c r="C83" s="8">
        <f t="shared" si="14"/>
        <v>0</v>
      </c>
      <c r="D83" s="8">
        <f t="shared" si="14"/>
        <v>0</v>
      </c>
      <c r="E83" s="8">
        <f>E72-E26</f>
        <v>0</v>
      </c>
    </row>
  </sheetData>
  <pageMargins left="0.7" right="0.7" top="0.75" bottom="0.75" header="0.3" footer="0.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97</v>
      </c>
      <c r="Z2" s="2" t="s">
        <v>0</v>
      </c>
      <c r="AA2" t="s">
        <v>69</v>
      </c>
    </row>
    <row r="3" spans="1:27">
      <c r="Z3" s="2"/>
    </row>
    <row r="4" spans="1:27">
      <c r="A4" s="6" t="s">
        <v>86</v>
      </c>
      <c r="B4" s="6" t="s">
        <v>18</v>
      </c>
      <c r="Z4" s="2"/>
    </row>
    <row r="5" spans="1:27">
      <c r="A5" s="6" t="s">
        <v>19</v>
      </c>
      <c r="B5" t="s">
        <v>67</v>
      </c>
      <c r="C5" t="s">
        <v>66</v>
      </c>
      <c r="D5" t="s">
        <v>65</v>
      </c>
      <c r="E5" t="s">
        <v>63</v>
      </c>
      <c r="Z5" s="2"/>
    </row>
    <row r="6" spans="1:27">
      <c r="A6" s="7">
        <v>24</v>
      </c>
      <c r="B6" s="8">
        <v>62</v>
      </c>
      <c r="C6" s="8">
        <v>29.333333333333332</v>
      </c>
      <c r="D6" s="8">
        <v>9.3333333333333339</v>
      </c>
      <c r="E6" s="8">
        <v>6.666666666666667</v>
      </c>
      <c r="N6" s="2"/>
    </row>
    <row r="7" spans="1:27">
      <c r="A7" s="7">
        <v>48</v>
      </c>
      <c r="B7" s="8">
        <v>63.333333333333336</v>
      </c>
      <c r="C7" s="8">
        <v>29.333333333333332</v>
      </c>
      <c r="D7" s="8">
        <v>9.3333333333333339</v>
      </c>
      <c r="E7" s="8">
        <v>6.666666666666667</v>
      </c>
    </row>
    <row r="8" spans="1:27">
      <c r="A8" s="7">
        <v>96</v>
      </c>
      <c r="B8" s="8">
        <v>63</v>
      </c>
      <c r="C8" s="8">
        <v>30</v>
      </c>
      <c r="D8" s="8">
        <v>9.3333333333333339</v>
      </c>
      <c r="E8" s="8">
        <v>6.666666666666667</v>
      </c>
      <c r="N8" s="2"/>
    </row>
    <row r="9" spans="1:27">
      <c r="A9" s="7">
        <v>144</v>
      </c>
      <c r="B9" s="8">
        <v>66</v>
      </c>
      <c r="C9" s="8">
        <v>30.333333333333332</v>
      </c>
      <c r="D9" s="8">
        <v>9.3333333333333339</v>
      </c>
      <c r="E9" s="8">
        <v>6.666666666666667</v>
      </c>
    </row>
    <row r="10" spans="1:27">
      <c r="A10" s="7">
        <v>190</v>
      </c>
      <c r="B10" s="8">
        <v>62.666666666666664</v>
      </c>
      <c r="C10" s="8">
        <v>30.333333333333332</v>
      </c>
      <c r="D10" s="8">
        <v>9.6666666666666661</v>
      </c>
      <c r="E10" s="8">
        <v>6.666666666666667</v>
      </c>
    </row>
    <row r="13" spans="1:27">
      <c r="O13" s="3"/>
    </row>
    <row r="14" spans="1:27">
      <c r="Z14" s="2"/>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62</v>
      </c>
      <c r="C21" s="8">
        <f t="shared" si="1"/>
        <v>29.333333333333332</v>
      </c>
      <c r="D21" s="8">
        <f t="shared" si="1"/>
        <v>9.3333333333333339</v>
      </c>
      <c r="E21" s="8">
        <f t="shared" si="1"/>
        <v>6.666666666666667</v>
      </c>
      <c r="F21" s="8">
        <f t="shared" si="1"/>
        <v>0</v>
      </c>
    </row>
    <row r="22" spans="1:6">
      <c r="A22">
        <f t="shared" ref="A22:F25" si="2">A7</f>
        <v>48</v>
      </c>
      <c r="B22" s="8">
        <f t="shared" si="1"/>
        <v>63.333333333333336</v>
      </c>
      <c r="C22" s="8">
        <f t="shared" si="1"/>
        <v>29.333333333333332</v>
      </c>
      <c r="D22" s="8">
        <f t="shared" si="1"/>
        <v>9.3333333333333339</v>
      </c>
      <c r="E22" s="8">
        <f t="shared" si="1"/>
        <v>6.666666666666667</v>
      </c>
      <c r="F22" s="8">
        <f t="shared" si="1"/>
        <v>0</v>
      </c>
    </row>
    <row r="23" spans="1:6">
      <c r="A23">
        <f t="shared" si="2"/>
        <v>96</v>
      </c>
      <c r="B23" s="8">
        <f t="shared" si="1"/>
        <v>63</v>
      </c>
      <c r="C23" s="8">
        <f t="shared" si="1"/>
        <v>30</v>
      </c>
      <c r="D23" s="8">
        <f t="shared" si="1"/>
        <v>9.3333333333333339</v>
      </c>
      <c r="E23" s="8">
        <f t="shared" si="1"/>
        <v>6.666666666666667</v>
      </c>
      <c r="F23" s="8">
        <f t="shared" si="1"/>
        <v>0</v>
      </c>
    </row>
    <row r="24" spans="1:6">
      <c r="A24">
        <f t="shared" si="2"/>
        <v>144</v>
      </c>
      <c r="B24" s="8">
        <f t="shared" si="2"/>
        <v>66</v>
      </c>
      <c r="C24" s="8">
        <f t="shared" si="2"/>
        <v>30.333333333333332</v>
      </c>
      <c r="D24" s="8">
        <f t="shared" si="2"/>
        <v>9.3333333333333339</v>
      </c>
      <c r="E24" s="8">
        <f t="shared" si="2"/>
        <v>6.666666666666667</v>
      </c>
      <c r="F24" s="8">
        <f t="shared" si="2"/>
        <v>0</v>
      </c>
    </row>
    <row r="25" spans="1:6">
      <c r="A25">
        <f t="shared" si="2"/>
        <v>190</v>
      </c>
      <c r="B25" s="8">
        <f t="shared" si="2"/>
        <v>62.666666666666664</v>
      </c>
      <c r="C25" s="8">
        <f t="shared" si="2"/>
        <v>30.333333333333332</v>
      </c>
      <c r="D25" s="8">
        <f t="shared" si="2"/>
        <v>9.6666666666666661</v>
      </c>
      <c r="E25" s="8">
        <f t="shared" si="2"/>
        <v>6.666666666666667</v>
      </c>
      <c r="F25" s="8">
        <f t="shared" si="2"/>
        <v>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A25"/>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68</v>
      </c>
      <c r="B2" t="s">
        <v>97</v>
      </c>
      <c r="Z2" s="2" t="s">
        <v>0</v>
      </c>
      <c r="AA2" t="s">
        <v>69</v>
      </c>
    </row>
    <row r="3" spans="1:27">
      <c r="Z3" s="2"/>
    </row>
    <row r="4" spans="1:27">
      <c r="A4" s="6" t="s">
        <v>87</v>
      </c>
      <c r="B4" s="6" t="s">
        <v>18</v>
      </c>
      <c r="Z4" s="2"/>
    </row>
    <row r="5" spans="1:27">
      <c r="A5" s="6" t="s">
        <v>19</v>
      </c>
      <c r="B5" t="s">
        <v>67</v>
      </c>
      <c r="C5" t="s">
        <v>66</v>
      </c>
      <c r="D5" t="s">
        <v>65</v>
      </c>
      <c r="E5" t="s">
        <v>63</v>
      </c>
      <c r="Z5" s="2"/>
    </row>
    <row r="6" spans="1:27">
      <c r="A6" s="7">
        <v>24</v>
      </c>
      <c r="B6" s="8">
        <v>2007</v>
      </c>
      <c r="C6" s="8">
        <v>2048</v>
      </c>
      <c r="D6" s="8">
        <v>1630.3333333333333</v>
      </c>
      <c r="E6" s="8">
        <v>1438</v>
      </c>
      <c r="N6" s="2"/>
    </row>
    <row r="7" spans="1:27">
      <c r="A7" s="7">
        <v>48</v>
      </c>
      <c r="B7" s="8">
        <v>1341.6666666666667</v>
      </c>
      <c r="C7" s="8">
        <v>1368</v>
      </c>
      <c r="D7" s="8">
        <v>1256.6666666666667</v>
      </c>
      <c r="E7" s="8">
        <v>1137.6666666666667</v>
      </c>
    </row>
    <row r="8" spans="1:27">
      <c r="A8" s="7">
        <v>96</v>
      </c>
      <c r="B8" s="8">
        <v>883.66666666666663</v>
      </c>
      <c r="C8" s="8">
        <v>937.66666666666663</v>
      </c>
      <c r="D8" s="8">
        <v>1139.6666666666667</v>
      </c>
      <c r="E8" s="8">
        <v>1167.3333333333333</v>
      </c>
      <c r="N8" s="2"/>
    </row>
    <row r="9" spans="1:27">
      <c r="A9" s="7">
        <v>144</v>
      </c>
      <c r="B9" s="8">
        <v>530.33333333333337</v>
      </c>
      <c r="C9" s="8">
        <v>573.66666666666663</v>
      </c>
      <c r="D9" s="8">
        <v>909.33333333333337</v>
      </c>
      <c r="E9" s="8">
        <v>1082.6666666666667</v>
      </c>
    </row>
    <row r="10" spans="1:27">
      <c r="A10" s="7">
        <v>190</v>
      </c>
      <c r="B10" s="8">
        <v>534.33333333333337</v>
      </c>
      <c r="C10" s="8">
        <v>572.33333333333337</v>
      </c>
      <c r="D10" s="8">
        <v>990.33333333333337</v>
      </c>
      <c r="E10" s="8">
        <v>1232.6666666666667</v>
      </c>
    </row>
    <row r="13" spans="1:27">
      <c r="B13" s="1" t="s">
        <v>88</v>
      </c>
      <c r="O13" s="3"/>
    </row>
    <row r="14" spans="1:27">
      <c r="B14" t="s">
        <v>89</v>
      </c>
      <c r="Z14" s="2"/>
    </row>
    <row r="15" spans="1:27">
      <c r="B15" s="1" t="s">
        <v>90</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3" si="1">B6</f>
        <v>2007</v>
      </c>
      <c r="C21" s="8">
        <f t="shared" si="1"/>
        <v>2048</v>
      </c>
      <c r="D21" s="8">
        <f t="shared" si="1"/>
        <v>1630.3333333333333</v>
      </c>
      <c r="E21" s="8">
        <f t="shared" si="1"/>
        <v>1438</v>
      </c>
      <c r="F21" s="8">
        <f t="shared" si="1"/>
        <v>0</v>
      </c>
    </row>
    <row r="22" spans="1:6">
      <c r="A22">
        <f t="shared" ref="A22:F25" si="2">A7</f>
        <v>48</v>
      </c>
      <c r="B22" s="8">
        <f t="shared" si="1"/>
        <v>1341.6666666666667</v>
      </c>
      <c r="C22" s="8">
        <f t="shared" si="1"/>
        <v>1368</v>
      </c>
      <c r="D22" s="8">
        <f t="shared" si="1"/>
        <v>1256.6666666666667</v>
      </c>
      <c r="E22" s="8">
        <f t="shared" si="1"/>
        <v>1137.6666666666667</v>
      </c>
      <c r="F22" s="8">
        <f t="shared" si="1"/>
        <v>0</v>
      </c>
    </row>
    <row r="23" spans="1:6">
      <c r="A23">
        <f t="shared" si="2"/>
        <v>96</v>
      </c>
      <c r="B23" s="8">
        <f t="shared" si="1"/>
        <v>883.66666666666663</v>
      </c>
      <c r="C23" s="8">
        <f t="shared" si="1"/>
        <v>937.66666666666663</v>
      </c>
      <c r="D23" s="8">
        <f t="shared" si="1"/>
        <v>1139.6666666666667</v>
      </c>
      <c r="E23" s="8">
        <f t="shared" si="1"/>
        <v>1167.3333333333333</v>
      </c>
      <c r="F23" s="8">
        <f t="shared" si="1"/>
        <v>0</v>
      </c>
    </row>
    <row r="24" spans="1:6">
      <c r="A24">
        <f t="shared" si="2"/>
        <v>144</v>
      </c>
      <c r="B24" s="8">
        <f t="shared" si="2"/>
        <v>530.33333333333337</v>
      </c>
      <c r="C24" s="8">
        <f t="shared" si="2"/>
        <v>573.66666666666663</v>
      </c>
      <c r="D24" s="8">
        <f t="shared" si="2"/>
        <v>909.33333333333337</v>
      </c>
      <c r="E24" s="8">
        <f t="shared" si="2"/>
        <v>1082.6666666666667</v>
      </c>
      <c r="F24" s="8">
        <f t="shared" si="2"/>
        <v>0</v>
      </c>
    </row>
    <row r="25" spans="1:6">
      <c r="A25">
        <f t="shared" si="2"/>
        <v>190</v>
      </c>
      <c r="B25" s="8">
        <f t="shared" si="2"/>
        <v>534.33333333333337</v>
      </c>
      <c r="C25" s="8">
        <f t="shared" si="2"/>
        <v>572.33333333333337</v>
      </c>
      <c r="D25" s="8">
        <f t="shared" si="2"/>
        <v>990.33333333333337</v>
      </c>
      <c r="E25" s="8">
        <f t="shared" si="2"/>
        <v>1232.6666666666667</v>
      </c>
      <c r="F25" s="8">
        <f t="shared" si="2"/>
        <v>0</v>
      </c>
    </row>
  </sheetData>
  <pageMargins left="0.7" right="0.7" top="0.75" bottom="0.75" header="0.3" footer="0.3"/>
  <pageSetup paperSize="0"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A48"/>
  <sheetViews>
    <sheetView zoomScale="80" zoomScaleNormal="80" workbookViewId="0"/>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A1" s="6" t="s">
        <v>33</v>
      </c>
      <c r="B1" s="7">
        <v>190</v>
      </c>
      <c r="Z1" s="1" t="s">
        <v>8</v>
      </c>
    </row>
    <row r="2" spans="1:27">
      <c r="A2" s="6" t="s">
        <v>68</v>
      </c>
      <c r="B2" t="s">
        <v>97</v>
      </c>
      <c r="Z2" s="2" t="s">
        <v>0</v>
      </c>
      <c r="AA2" t="s">
        <v>69</v>
      </c>
    </row>
    <row r="3" spans="1:27">
      <c r="Z3" s="2"/>
    </row>
    <row r="4" spans="1:27">
      <c r="A4" s="6" t="s">
        <v>19</v>
      </c>
      <c r="B4" t="s">
        <v>84</v>
      </c>
      <c r="Z4" s="2"/>
    </row>
    <row r="5" spans="1:27">
      <c r="A5" s="7" t="s">
        <v>67</v>
      </c>
      <c r="B5" s="8">
        <v>11945.933333333334</v>
      </c>
      <c r="Z5" s="2"/>
    </row>
    <row r="6" spans="1:27">
      <c r="A6" s="7" t="s">
        <v>66</v>
      </c>
      <c r="B6" s="8">
        <v>11920</v>
      </c>
      <c r="N6" s="2"/>
    </row>
    <row r="7" spans="1:27">
      <c r="A7" s="7" t="s">
        <v>65</v>
      </c>
      <c r="B7" s="8">
        <v>8871.2966666666671</v>
      </c>
    </row>
    <row r="8" spans="1:27">
      <c r="A8" s="7" t="s">
        <v>63</v>
      </c>
      <c r="B8" s="8">
        <v>8954.4233333333341</v>
      </c>
      <c r="N8" s="2"/>
    </row>
    <row r="13" spans="1:27">
      <c r="O13" s="3"/>
    </row>
    <row r="14" spans="1:27">
      <c r="Z14" s="2"/>
    </row>
    <row r="20" spans="1:6">
      <c r="A20" t="str">
        <f>A4</f>
        <v>Row Labels</v>
      </c>
      <c r="B20" t="s">
        <v>91</v>
      </c>
      <c r="C20" t="s">
        <v>92</v>
      </c>
      <c r="D20">
        <f t="shared" ref="D20:F20" si="0">D5</f>
        <v>0</v>
      </c>
      <c r="E20">
        <f t="shared" si="0"/>
        <v>0</v>
      </c>
      <c r="F20">
        <f t="shared" si="0"/>
        <v>0</v>
      </c>
    </row>
    <row r="21" spans="1:6">
      <c r="A21" t="s">
        <v>94</v>
      </c>
      <c r="B21" s="8">
        <f>B5-B45</f>
        <v>11945.933333333334</v>
      </c>
      <c r="C21">
        <f t="shared" ref="C21:C24" si="1">B45</f>
        <v>0</v>
      </c>
      <c r="D21" s="8">
        <f t="shared" ref="D21:F23" si="2">D6</f>
        <v>0</v>
      </c>
      <c r="E21" s="8">
        <f t="shared" si="2"/>
        <v>0</v>
      </c>
      <c r="F21" s="8">
        <f t="shared" si="2"/>
        <v>0</v>
      </c>
    </row>
    <row r="22" spans="1:6">
      <c r="A22" t="s">
        <v>93</v>
      </c>
      <c r="B22" s="8">
        <f t="shared" ref="B22:B25" si="3">B6-B46</f>
        <v>11920</v>
      </c>
      <c r="C22">
        <f t="shared" si="1"/>
        <v>0</v>
      </c>
      <c r="D22" s="8">
        <f t="shared" si="2"/>
        <v>0</v>
      </c>
      <c r="E22" s="8">
        <f t="shared" si="2"/>
        <v>0</v>
      </c>
      <c r="F22" s="8">
        <f t="shared" si="2"/>
        <v>0</v>
      </c>
    </row>
    <row r="23" spans="1:6">
      <c r="A23" t="s">
        <v>95</v>
      </c>
      <c r="B23" s="8">
        <f t="shared" si="3"/>
        <v>8871.2966666666671</v>
      </c>
      <c r="C23">
        <f t="shared" si="1"/>
        <v>0</v>
      </c>
      <c r="D23" s="8">
        <f t="shared" si="2"/>
        <v>0</v>
      </c>
      <c r="E23" s="8">
        <f t="shared" si="2"/>
        <v>0</v>
      </c>
      <c r="F23" s="8">
        <f t="shared" si="2"/>
        <v>0</v>
      </c>
    </row>
    <row r="24" spans="1:6">
      <c r="A24" t="s">
        <v>96</v>
      </c>
      <c r="B24" s="8">
        <f t="shared" si="3"/>
        <v>8954.4233333333341</v>
      </c>
      <c r="C24">
        <f t="shared" si="1"/>
        <v>0</v>
      </c>
      <c r="D24" s="8">
        <f t="shared" ref="C24:F25" si="4">D9</f>
        <v>0</v>
      </c>
      <c r="E24" s="8">
        <f t="shared" si="4"/>
        <v>0</v>
      </c>
      <c r="F24" s="8">
        <f t="shared" si="4"/>
        <v>0</v>
      </c>
    </row>
    <row r="25" spans="1:6">
      <c r="A25">
        <f t="shared" ref="A25" si="5">A9</f>
        <v>0</v>
      </c>
      <c r="B25" s="8">
        <f t="shared" si="3"/>
        <v>0</v>
      </c>
      <c r="C25" s="8">
        <f t="shared" si="4"/>
        <v>0</v>
      </c>
      <c r="D25" s="8">
        <f t="shared" si="4"/>
        <v>0</v>
      </c>
      <c r="E25" s="8">
        <f t="shared" si="4"/>
        <v>0</v>
      </c>
      <c r="F25" s="8">
        <f t="shared" si="4"/>
        <v>0</v>
      </c>
    </row>
    <row r="41" spans="1:2">
      <c r="A41" s="6" t="s">
        <v>33</v>
      </c>
      <c r="B41" s="7">
        <v>190</v>
      </c>
    </row>
    <row r="42" spans="1:2">
      <c r="A42" s="6" t="s">
        <v>68</v>
      </c>
      <c r="B42" t="s">
        <v>97</v>
      </c>
    </row>
    <row r="44" spans="1:2">
      <c r="A44" s="6" t="s">
        <v>19</v>
      </c>
      <c r="B44" t="s">
        <v>85</v>
      </c>
    </row>
    <row r="45" spans="1:2">
      <c r="A45" s="7" t="s">
        <v>67</v>
      </c>
      <c r="B45" s="8"/>
    </row>
    <row r="46" spans="1:2">
      <c r="A46" s="7" t="s">
        <v>66</v>
      </c>
      <c r="B46" s="8"/>
    </row>
    <row r="47" spans="1:2">
      <c r="A47" s="7" t="s">
        <v>65</v>
      </c>
      <c r="B47" s="8"/>
    </row>
    <row r="48" spans="1:2">
      <c r="A48" s="7" t="s">
        <v>63</v>
      </c>
      <c r="B48" s="8"/>
    </row>
  </sheetData>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instructions</vt:lpstr>
      <vt:lpstr>data</vt:lpstr>
      <vt:lpstr>maxresident (no)</vt:lpstr>
      <vt:lpstr>cycles (maybe no)</vt:lpstr>
      <vt:lpstr>throughput</vt:lpstr>
      <vt:lpstr>height (no)</vt:lpstr>
      <vt:lpstr>prefilling (no)</vt:lpstr>
      <vt:lpstr>cycle_breakdown (replaced)</vt:lpstr>
      <vt:lpstr>data!ExternalData_11</vt:lpstr>
      <vt:lpstr>data!ExternalData_12</vt:lpstr>
      <vt:lpstr>data!ExternalData_13</vt:lpstr>
      <vt:lpstr>data!ExternalData_14</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trbot</cp:lastModifiedBy>
  <cp:lastPrinted>2018-05-15T15:43:05Z</cp:lastPrinted>
  <dcterms:created xsi:type="dcterms:W3CDTF">2018-05-15T13:15:36Z</dcterms:created>
  <dcterms:modified xsi:type="dcterms:W3CDTF">2019-08-07T01:52:12Z</dcterms:modified>
</cp:coreProperties>
</file>